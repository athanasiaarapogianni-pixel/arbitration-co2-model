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edc3236c2fd3a93/Documents/Work/CGA/"/>
    </mc:Choice>
  </mc:AlternateContent>
  <xr:revisionPtr revIDLastSave="238" documentId="8_{F960D8A7-8B4C-4C47-98A6-96C51E2D59EC}" xr6:coauthVersionLast="47" xr6:coauthVersionMax="47" xr10:uidLastSave="{B63CD158-0738-48A4-BC78-D3AC4A2E72AE}"/>
  <bookViews>
    <workbookView xWindow="57480" yWindow="-120" windowWidth="29040" windowHeight="15720" activeTab="2" xr2:uid="{04C64C3C-4750-4547-9BC9-80D90A504956}"/>
  </bookViews>
  <sheets>
    <sheet name="User Inputs" sheetId="75" r:id="rId1"/>
    <sheet name="Inputs (detail)" sheetId="63" r:id="rId2"/>
    <sheet name="Outputs" sheetId="64" r:id="rId3"/>
    <sheet name="Assumptions" sheetId="62" r:id="rId4"/>
    <sheet name="Helpers &gt;" sheetId="74" r:id="rId5"/>
    <sheet name="Transport Calcs" sheetId="73" r:id="rId6"/>
    <sheet name="Emissions Calcs" sheetId="67" r:id="rId7"/>
    <sheet name="List Selections" sheetId="65" r:id="rId8"/>
    <sheet name="Travel Matrix" sheetId="70" r:id="rId9"/>
    <sheet name="Raw Data &gt;" sheetId="57" r:id="rId10"/>
    <sheet name="Electricity Emissions" sheetId="51" r:id="rId11"/>
    <sheet name="Hotel Emissions" sheetId="53" r:id="rId12"/>
  </sheets>
  <definedNames>
    <definedName name="_xlnm._FilterDatabase" localSheetId="10" hidden="1">'Electricity Emissions'!$A$1:$G$4268</definedName>
    <definedName name="_xlnm._FilterDatabase" localSheetId="11" hidden="1">'Hotel Emissions'!$A$4:$K$68</definedName>
    <definedName name="_xlnm._FilterDatabase" localSheetId="7" hidden="1">'List Selections'!$B$4:$I$205</definedName>
    <definedName name="_xlnm._FilterDatabase" localSheetId="8" hidden="1">'Travel Matrix'!$A$6:$IJ$205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ity_list" localSheetId="0">INDEX(Country_Table[],,MATCH('User Inputs'!Selection,'User Inputs'!Country_List,0))</definedName>
    <definedName name="city_list">INDEX(Country_Table[],,MATCH(Selection,Country_List,0))</definedName>
    <definedName name="city_list2" localSheetId="0">INDEX(Country_Table[],1,'User Inputs'!col_num) : INDEX('List Selections'!#REF!, COUNTA('User Inputs'!entire_col), 'User Inputs'!col_num)</definedName>
    <definedName name="city_list2">INDEX(Country_Table[],1,col_num) : INDEX('List Selections'!#REF!, COUNTA(entire_col), col_num)</definedName>
    <definedName name="col_num" localSheetId="0">MATCH('User Inputs'!Selection,'User Inputs'!Country_List,0)</definedName>
    <definedName name="col_num">MATCH(Selection,Country_List,0)</definedName>
    <definedName name="Country_List" localSheetId="0">Country_Table[#Headers]</definedName>
    <definedName name="Country_List">Country_Table[#Headers]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ntire_col" localSheetId="0">INDEX('User Inputs'!city_list,,'User Inputs'!col_num)</definedName>
    <definedName name="entire_col">INDEX(city_list,,col_num)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Selection" localSheetId="0">'User Inputs'!$D1</definedName>
    <definedName name="Selection">'Inputs (detail)'!$D1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64" l="1"/>
  <c r="D55" i="64"/>
  <c r="D51" i="64"/>
  <c r="D42" i="64"/>
  <c r="D50" i="64"/>
  <c r="D49" i="64"/>
  <c r="D48" i="64"/>
  <c r="D47" i="64"/>
  <c r="D46" i="64"/>
  <c r="D45" i="64"/>
  <c r="D41" i="64"/>
  <c r="D40" i="64"/>
  <c r="C115" i="67"/>
  <c r="C36" i="67"/>
  <c r="C112" i="67"/>
  <c r="C113" i="67"/>
  <c r="C111" i="67"/>
  <c r="D109" i="63"/>
  <c r="D108" i="63"/>
  <c r="D107" i="63"/>
  <c r="C57" i="67"/>
  <c r="D12" i="64" s="1"/>
  <c r="C87" i="67"/>
  <c r="C63" i="67"/>
  <c r="C62" i="67"/>
  <c r="C61" i="67"/>
  <c r="C60" i="67"/>
  <c r="C33" i="67"/>
  <c r="C32" i="67"/>
  <c r="C31" i="67"/>
  <c r="C30" i="67"/>
  <c r="C34" i="67"/>
  <c r="C64" i="67"/>
  <c r="C104" i="67"/>
  <c r="C109" i="67"/>
  <c r="E17" i="62"/>
  <c r="C107" i="67" s="1"/>
  <c r="C101" i="67"/>
  <c r="C99" i="67"/>
  <c r="D32" i="64"/>
  <c r="D15" i="64"/>
  <c r="C65" i="67"/>
  <c r="D30" i="64" s="1"/>
  <c r="C24" i="67"/>
  <c r="D24" i="64" s="1"/>
  <c r="D62" i="63"/>
  <c r="D58" i="63"/>
  <c r="D53" i="63"/>
  <c r="D48" i="63"/>
  <c r="D87" i="63"/>
  <c r="D92" i="63"/>
  <c r="D97" i="63"/>
  <c r="D101" i="63"/>
  <c r="D23" i="63"/>
  <c r="D63" i="63"/>
  <c r="D81" i="63"/>
  <c r="D42" i="63"/>
  <c r="D33" i="63"/>
  <c r="D83" i="63"/>
  <c r="D44" i="63"/>
  <c r="D41" i="63"/>
  <c r="D22" i="63"/>
  <c r="D99" i="63"/>
  <c r="D98" i="63"/>
  <c r="D94" i="63"/>
  <c r="D93" i="63"/>
  <c r="D89" i="63"/>
  <c r="D88" i="63"/>
  <c r="D96" i="63"/>
  <c r="D95" i="63"/>
  <c r="D91" i="63"/>
  <c r="D90" i="63"/>
  <c r="D86" i="63"/>
  <c r="D85" i="63"/>
  <c r="D103" i="63"/>
  <c r="D104" i="63"/>
  <c r="D102" i="63"/>
  <c r="D64" i="63"/>
  <c r="D65" i="63"/>
  <c r="D69" i="63"/>
  <c r="D70" i="63"/>
  <c r="D68" i="63"/>
  <c r="D78" i="63"/>
  <c r="D57" i="63"/>
  <c r="D56" i="63"/>
  <c r="D52" i="63"/>
  <c r="D51" i="63"/>
  <c r="D60" i="63"/>
  <c r="D59" i="63"/>
  <c r="D55" i="63"/>
  <c r="D54" i="63"/>
  <c r="D50" i="63"/>
  <c r="D49" i="63"/>
  <c r="D47" i="63"/>
  <c r="D46" i="63"/>
  <c r="D30" i="63"/>
  <c r="D31" i="63"/>
  <c r="D29" i="63"/>
  <c r="D39" i="63"/>
  <c r="F17" i="63"/>
  <c r="G17" i="63"/>
  <c r="F18" i="63"/>
  <c r="G18" i="63"/>
  <c r="F19" i="63"/>
  <c r="G19" i="63"/>
  <c r="E10" i="63"/>
  <c r="E11" i="63"/>
  <c r="E12" i="63"/>
  <c r="E13" i="63"/>
  <c r="E14" i="63"/>
  <c r="E15" i="63"/>
  <c r="L31" i="73"/>
  <c r="E39" i="73" s="1"/>
  <c r="C80" i="67" s="1"/>
  <c r="E16" i="63"/>
  <c r="E17" i="63"/>
  <c r="E18" i="63"/>
  <c r="E19" i="63"/>
  <c r="D11" i="63"/>
  <c r="D12" i="63"/>
  <c r="D13" i="63"/>
  <c r="D14" i="63"/>
  <c r="D15" i="63"/>
  <c r="D16" i="63"/>
  <c r="D17" i="63"/>
  <c r="D18" i="63"/>
  <c r="D19" i="63"/>
  <c r="D10" i="63"/>
  <c r="C97" i="67"/>
  <c r="C96" i="67"/>
  <c r="C95" i="67"/>
  <c r="C82" i="67"/>
  <c r="C52" i="67"/>
  <c r="D72" i="63"/>
  <c r="D40" i="63"/>
  <c r="D79" i="63"/>
  <c r="D80" i="63"/>
  <c r="D46" i="73"/>
  <c r="G45" i="73"/>
  <c r="G47" i="73"/>
  <c r="K31" i="73"/>
  <c r="E38" i="73" s="1"/>
  <c r="C79" i="67" s="1"/>
  <c r="F45" i="73"/>
  <c r="E45" i="73"/>
  <c r="E46" i="73"/>
  <c r="C45" i="73"/>
  <c r="C91" i="67" s="1"/>
  <c r="D45" i="73"/>
  <c r="E47" i="73"/>
  <c r="F46" i="73"/>
  <c r="F47" i="73"/>
  <c r="G46" i="73"/>
  <c r="C46" i="73"/>
  <c r="C92" i="67" s="1"/>
  <c r="C47" i="73"/>
  <c r="D47" i="73"/>
  <c r="C93" i="67" s="1"/>
  <c r="F31" i="73"/>
  <c r="C37" i="67"/>
  <c r="C67" i="67"/>
  <c r="C66" i="67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64" i="51"/>
  <c r="B65" i="51"/>
  <c r="B66" i="51"/>
  <c r="B67" i="51"/>
  <c r="B68" i="51"/>
  <c r="B69" i="51"/>
  <c r="B70" i="51"/>
  <c r="B71" i="51"/>
  <c r="B72" i="51"/>
  <c r="B73" i="51"/>
  <c r="B74" i="51"/>
  <c r="B75" i="51"/>
  <c r="B76" i="51"/>
  <c r="B77" i="51"/>
  <c r="B78" i="51"/>
  <c r="B79" i="51"/>
  <c r="B80" i="51"/>
  <c r="B81" i="51"/>
  <c r="B82" i="51"/>
  <c r="B83" i="51"/>
  <c r="B84" i="51"/>
  <c r="B85" i="51"/>
  <c r="B86" i="51"/>
  <c r="B87" i="51"/>
  <c r="B88" i="51"/>
  <c r="B89" i="51"/>
  <c r="B90" i="51"/>
  <c r="B91" i="51"/>
  <c r="B92" i="51"/>
  <c r="B93" i="51"/>
  <c r="B94" i="51"/>
  <c r="B95" i="51"/>
  <c r="B96" i="51"/>
  <c r="B97" i="51"/>
  <c r="B98" i="51"/>
  <c r="B99" i="51"/>
  <c r="B100" i="51"/>
  <c r="B101" i="51"/>
  <c r="B102" i="51"/>
  <c r="B103" i="51"/>
  <c r="B104" i="51"/>
  <c r="B105" i="51"/>
  <c r="B106" i="51"/>
  <c r="B107" i="51"/>
  <c r="B108" i="51"/>
  <c r="B109" i="51"/>
  <c r="B110" i="51"/>
  <c r="B111" i="51"/>
  <c r="B112" i="51"/>
  <c r="B113" i="51"/>
  <c r="B114" i="51"/>
  <c r="B115" i="51"/>
  <c r="B116" i="51"/>
  <c r="B117" i="51"/>
  <c r="B118" i="51"/>
  <c r="B119" i="51"/>
  <c r="B120" i="51"/>
  <c r="B121" i="51"/>
  <c r="B122" i="51"/>
  <c r="B123" i="51"/>
  <c r="B124" i="51"/>
  <c r="B125" i="51"/>
  <c r="B126" i="51"/>
  <c r="B127" i="51"/>
  <c r="B128" i="51"/>
  <c r="B129" i="51"/>
  <c r="B130" i="51"/>
  <c r="B131" i="51"/>
  <c r="B132" i="51"/>
  <c r="B133" i="51"/>
  <c r="B134" i="51"/>
  <c r="B135" i="51"/>
  <c r="B136" i="51"/>
  <c r="B137" i="51"/>
  <c r="B138" i="51"/>
  <c r="B139" i="51"/>
  <c r="B140" i="51"/>
  <c r="B141" i="51"/>
  <c r="B142" i="51"/>
  <c r="B143" i="51"/>
  <c r="B144" i="51"/>
  <c r="B145" i="51"/>
  <c r="B146" i="51"/>
  <c r="B147" i="51"/>
  <c r="B148" i="51"/>
  <c r="B149" i="51"/>
  <c r="B150" i="51"/>
  <c r="B151" i="51"/>
  <c r="B152" i="51"/>
  <c r="B153" i="51"/>
  <c r="B154" i="51"/>
  <c r="B155" i="51"/>
  <c r="B156" i="51"/>
  <c r="B157" i="51"/>
  <c r="B158" i="51"/>
  <c r="B159" i="51"/>
  <c r="B160" i="51"/>
  <c r="B161" i="51"/>
  <c r="B162" i="51"/>
  <c r="B163" i="51"/>
  <c r="B164" i="51"/>
  <c r="B165" i="51"/>
  <c r="B166" i="51"/>
  <c r="B167" i="51"/>
  <c r="B168" i="51"/>
  <c r="B169" i="51"/>
  <c r="B170" i="51"/>
  <c r="B171" i="51"/>
  <c r="B172" i="51"/>
  <c r="B173" i="51"/>
  <c r="B174" i="51"/>
  <c r="B175" i="51"/>
  <c r="B176" i="51"/>
  <c r="B177" i="51"/>
  <c r="B178" i="51"/>
  <c r="B179" i="51"/>
  <c r="B180" i="51"/>
  <c r="B181" i="51"/>
  <c r="B182" i="51"/>
  <c r="B2" i="51"/>
  <c r="B3" i="51"/>
  <c r="B4" i="51"/>
  <c r="AL6" i="53"/>
  <c r="AL7" i="53"/>
  <c r="AL8" i="53"/>
  <c r="AL9" i="53"/>
  <c r="AL10" i="53"/>
  <c r="AL11" i="53"/>
  <c r="AL12" i="53"/>
  <c r="AL13" i="53"/>
  <c r="AL14" i="53"/>
  <c r="AL15" i="53"/>
  <c r="AL16" i="53"/>
  <c r="AL17" i="53"/>
  <c r="AL18" i="53"/>
  <c r="AL19" i="53"/>
  <c r="AL20" i="53"/>
  <c r="AL21" i="53"/>
  <c r="AL22" i="53"/>
  <c r="AL23" i="53"/>
  <c r="AL24" i="53"/>
  <c r="AL25" i="53"/>
  <c r="AL26" i="53"/>
  <c r="AL27" i="53"/>
  <c r="AL28" i="53"/>
  <c r="AL29" i="53"/>
  <c r="AL30" i="53"/>
  <c r="AL31" i="53"/>
  <c r="AL32" i="53"/>
  <c r="AL33" i="53"/>
  <c r="AL34" i="53"/>
  <c r="AL35" i="53"/>
  <c r="AL36" i="53"/>
  <c r="AL37" i="53"/>
  <c r="AL38" i="53"/>
  <c r="AL39" i="53"/>
  <c r="AL40" i="53"/>
  <c r="AL41" i="53"/>
  <c r="AL42" i="53"/>
  <c r="AL43" i="53"/>
  <c r="AL44" i="53"/>
  <c r="AL45" i="53"/>
  <c r="AL46" i="53"/>
  <c r="AL47" i="53"/>
  <c r="AL48" i="53"/>
  <c r="AL49" i="53"/>
  <c r="AL50" i="53"/>
  <c r="AL51" i="53"/>
  <c r="AL52" i="53"/>
  <c r="AL53" i="53"/>
  <c r="AL54" i="53"/>
  <c r="AL55" i="53"/>
  <c r="AL56" i="53"/>
  <c r="AL57" i="53"/>
  <c r="AL58" i="53"/>
  <c r="AL59" i="53"/>
  <c r="AL60" i="53"/>
  <c r="AL61" i="53"/>
  <c r="AL62" i="53"/>
  <c r="AL63" i="53"/>
  <c r="AL64" i="53"/>
  <c r="AL65" i="53"/>
  <c r="AL66" i="53"/>
  <c r="AL67" i="53"/>
  <c r="AL68" i="53"/>
  <c r="AL5" i="53"/>
  <c r="AC6" i="53"/>
  <c r="AC7" i="53"/>
  <c r="AC8" i="53"/>
  <c r="AC9" i="53"/>
  <c r="AC10" i="53"/>
  <c r="AC11" i="53"/>
  <c r="AC12" i="53"/>
  <c r="AC13" i="53"/>
  <c r="AC14" i="53"/>
  <c r="AC15" i="53"/>
  <c r="AC16" i="53"/>
  <c r="AC17" i="53"/>
  <c r="AC18" i="53"/>
  <c r="AC19" i="53"/>
  <c r="AC20" i="53"/>
  <c r="AC21" i="53"/>
  <c r="AC22" i="53"/>
  <c r="AC23" i="53"/>
  <c r="AC24" i="53"/>
  <c r="AC25" i="53"/>
  <c r="AC26" i="53"/>
  <c r="AC27" i="53"/>
  <c r="AC28" i="53"/>
  <c r="AC29" i="53"/>
  <c r="AC30" i="53"/>
  <c r="AC31" i="53"/>
  <c r="AC32" i="53"/>
  <c r="AC33" i="53"/>
  <c r="AC34" i="53"/>
  <c r="AC35" i="53"/>
  <c r="AC36" i="53"/>
  <c r="AC37" i="53"/>
  <c r="AC38" i="53"/>
  <c r="AC39" i="53"/>
  <c r="AC40" i="53"/>
  <c r="AC41" i="53"/>
  <c r="AC42" i="53"/>
  <c r="AC43" i="53"/>
  <c r="AC44" i="53"/>
  <c r="AC45" i="53"/>
  <c r="AC46" i="53"/>
  <c r="AC47" i="53"/>
  <c r="AC48" i="53"/>
  <c r="AC49" i="53"/>
  <c r="AC50" i="53"/>
  <c r="AC51" i="53"/>
  <c r="AC52" i="53"/>
  <c r="AC53" i="53"/>
  <c r="AC54" i="53"/>
  <c r="AC55" i="53"/>
  <c r="AC56" i="53"/>
  <c r="AC57" i="53"/>
  <c r="AC58" i="53"/>
  <c r="AC59" i="53"/>
  <c r="AC60" i="53"/>
  <c r="AC61" i="53"/>
  <c r="AC62" i="53"/>
  <c r="AC63" i="53"/>
  <c r="AC64" i="53"/>
  <c r="AC65" i="53"/>
  <c r="AC66" i="53"/>
  <c r="AC67" i="53"/>
  <c r="AC68" i="53"/>
  <c r="AC5" i="53"/>
  <c r="T6" i="53"/>
  <c r="T7" i="53"/>
  <c r="T8" i="53"/>
  <c r="T9" i="53"/>
  <c r="T10" i="53"/>
  <c r="T11" i="53"/>
  <c r="T12" i="53"/>
  <c r="T13" i="53"/>
  <c r="T14" i="53"/>
  <c r="T15" i="53"/>
  <c r="T16" i="53"/>
  <c r="T17" i="53"/>
  <c r="T18" i="53"/>
  <c r="T19" i="53"/>
  <c r="T20" i="53"/>
  <c r="T21" i="53"/>
  <c r="T22" i="53"/>
  <c r="T23" i="53"/>
  <c r="T24" i="53"/>
  <c r="T25" i="53"/>
  <c r="T26" i="53"/>
  <c r="T27" i="53"/>
  <c r="T28" i="53"/>
  <c r="T29" i="53"/>
  <c r="T30" i="53"/>
  <c r="T31" i="53"/>
  <c r="T32" i="53"/>
  <c r="T33" i="53"/>
  <c r="T34" i="53"/>
  <c r="T35" i="53"/>
  <c r="T36" i="53"/>
  <c r="T37" i="53"/>
  <c r="T38" i="53"/>
  <c r="T39" i="53"/>
  <c r="T40" i="53"/>
  <c r="T41" i="53"/>
  <c r="T42" i="53"/>
  <c r="T43" i="53"/>
  <c r="T44" i="53"/>
  <c r="T45" i="53"/>
  <c r="T46" i="53"/>
  <c r="T47" i="53"/>
  <c r="T48" i="53"/>
  <c r="T49" i="53"/>
  <c r="T50" i="53"/>
  <c r="T51" i="53"/>
  <c r="T52" i="53"/>
  <c r="T53" i="53"/>
  <c r="T54" i="53"/>
  <c r="T55" i="53"/>
  <c r="T56" i="53"/>
  <c r="T57" i="53"/>
  <c r="T58" i="53"/>
  <c r="T59" i="53"/>
  <c r="T60" i="53"/>
  <c r="T61" i="53"/>
  <c r="T62" i="53"/>
  <c r="T63" i="53"/>
  <c r="T64" i="53"/>
  <c r="T65" i="53"/>
  <c r="T66" i="53"/>
  <c r="T67" i="53"/>
  <c r="T68" i="53"/>
  <c r="T5" i="53"/>
  <c r="H4" i="65"/>
  <c r="G4" i="65"/>
  <c r="F4" i="65"/>
  <c r="E4" i="65"/>
  <c r="J5" i="65"/>
  <c r="C78" i="67"/>
  <c r="C10" i="51"/>
  <c r="C77" i="51"/>
  <c r="C61" i="51"/>
  <c r="C9" i="51"/>
  <c r="C76" i="51"/>
  <c r="C60" i="51"/>
  <c r="C75" i="51"/>
  <c r="C8" i="51"/>
  <c r="C7" i="51"/>
  <c r="C74" i="51"/>
  <c r="C59" i="51"/>
  <c r="C6" i="51"/>
  <c r="C73" i="51"/>
  <c r="C58" i="51"/>
  <c r="C23" i="51"/>
  <c r="C72" i="51"/>
  <c r="C57" i="51"/>
  <c r="C22" i="51"/>
  <c r="C5" i="51"/>
  <c r="C71" i="51"/>
  <c r="C56" i="51"/>
  <c r="C21" i="51"/>
  <c r="C4" i="51"/>
  <c r="C70" i="51"/>
  <c r="C55" i="51"/>
  <c r="C20" i="51"/>
  <c r="C3" i="51"/>
  <c r="C69" i="51"/>
  <c r="C54" i="51"/>
  <c r="C2" i="51"/>
  <c r="C53" i="51"/>
  <c r="C19" i="51"/>
  <c r="C86" i="51"/>
  <c r="C68" i="51"/>
  <c r="C52" i="51"/>
  <c r="C18" i="51"/>
  <c r="C85" i="51"/>
  <c r="C51" i="51"/>
  <c r="C17" i="51"/>
  <c r="C84" i="51"/>
  <c r="C67" i="51"/>
  <c r="C50" i="51"/>
  <c r="C16" i="51"/>
  <c r="C83" i="51"/>
  <c r="C66" i="51"/>
  <c r="C49" i="51"/>
  <c r="C15" i="51"/>
  <c r="C82" i="51"/>
  <c r="C65" i="51"/>
  <c r="C48" i="51"/>
  <c r="C14" i="51"/>
  <c r="C81" i="51"/>
  <c r="C64" i="51"/>
  <c r="C47" i="51"/>
  <c r="C13" i="51"/>
  <c r="C80" i="51"/>
  <c r="C63" i="51"/>
  <c r="C46" i="51"/>
  <c r="C12" i="51"/>
  <c r="C79" i="51"/>
  <c r="C62" i="51"/>
  <c r="C45" i="51"/>
  <c r="C11" i="51"/>
  <c r="C78" i="51"/>
  <c r="C44" i="51"/>
  <c r="D6" i="65"/>
  <c r="D7" i="65"/>
  <c r="D8" i="65"/>
  <c r="D9" i="65"/>
  <c r="D10" i="65"/>
  <c r="D11" i="65"/>
  <c r="D12" i="65"/>
  <c r="D13" i="65"/>
  <c r="D1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38" i="65"/>
  <c r="D39" i="65"/>
  <c r="D40" i="65"/>
  <c r="D41" i="65"/>
  <c r="D42" i="65"/>
  <c r="D43" i="65"/>
  <c r="D44" i="65"/>
  <c r="D45" i="65"/>
  <c r="D46" i="65"/>
  <c r="D47" i="65"/>
  <c r="D48" i="65"/>
  <c r="D49" i="65"/>
  <c r="D50" i="65"/>
  <c r="E50" i="65"/>
  <c r="D51" i="65"/>
  <c r="D52" i="65"/>
  <c r="D53" i="65"/>
  <c r="D54" i="65"/>
  <c r="D55" i="65"/>
  <c r="D56" i="65"/>
  <c r="D57" i="65"/>
  <c r="D58" i="65"/>
  <c r="D59" i="65"/>
  <c r="D60" i="65"/>
  <c r="D61" i="65"/>
  <c r="D62" i="65"/>
  <c r="D63" i="65"/>
  <c r="D64" i="65"/>
  <c r="D65" i="65"/>
  <c r="D66" i="65"/>
  <c r="D67" i="65"/>
  <c r="D68" i="65"/>
  <c r="D69" i="65"/>
  <c r="D70" i="65"/>
  <c r="D71" i="65"/>
  <c r="D72" i="65"/>
  <c r="D73" i="65"/>
  <c r="D74" i="65"/>
  <c r="D75" i="65"/>
  <c r="D76" i="65"/>
  <c r="D77" i="65"/>
  <c r="D78" i="65"/>
  <c r="D79" i="65"/>
  <c r="D80" i="65"/>
  <c r="D81" i="65"/>
  <c r="D82" i="65"/>
  <c r="D83" i="65"/>
  <c r="D84" i="65"/>
  <c r="D85" i="65"/>
  <c r="D86" i="65"/>
  <c r="D87" i="65"/>
  <c r="D88" i="65"/>
  <c r="D89" i="65"/>
  <c r="D90" i="65"/>
  <c r="D91" i="65"/>
  <c r="D92" i="65"/>
  <c r="D93" i="65"/>
  <c r="D94" i="65"/>
  <c r="D95" i="65"/>
  <c r="D96" i="65"/>
  <c r="D97" i="65"/>
  <c r="D98" i="65"/>
  <c r="D99" i="65"/>
  <c r="D100" i="65"/>
  <c r="D101" i="65"/>
  <c r="D102" i="65"/>
  <c r="D103" i="65"/>
  <c r="D104" i="65"/>
  <c r="D105" i="65"/>
  <c r="D106" i="65"/>
  <c r="D107" i="65"/>
  <c r="D108" i="65"/>
  <c r="D109" i="65"/>
  <c r="D110" i="65"/>
  <c r="D111" i="65"/>
  <c r="D112" i="65"/>
  <c r="D113" i="65"/>
  <c r="D114" i="65"/>
  <c r="D115" i="65"/>
  <c r="D116" i="65"/>
  <c r="D117" i="65"/>
  <c r="D118" i="65"/>
  <c r="D119" i="65"/>
  <c r="D120" i="65"/>
  <c r="D121" i="65"/>
  <c r="D122" i="65"/>
  <c r="D123" i="65"/>
  <c r="D124" i="65"/>
  <c r="D125" i="65"/>
  <c r="D126" i="65"/>
  <c r="D127" i="65"/>
  <c r="D128" i="65"/>
  <c r="D129" i="65"/>
  <c r="D130" i="65"/>
  <c r="D131" i="65"/>
  <c r="D132" i="65"/>
  <c r="D133" i="65"/>
  <c r="D134" i="65"/>
  <c r="D135" i="65"/>
  <c r="D136" i="65"/>
  <c r="D137" i="65"/>
  <c r="D138" i="65"/>
  <c r="D139" i="65"/>
  <c r="D140" i="65"/>
  <c r="D141" i="65"/>
  <c r="D142" i="65"/>
  <c r="D143" i="65"/>
  <c r="D144" i="65"/>
  <c r="D145" i="65"/>
  <c r="D146" i="65"/>
  <c r="D147" i="65"/>
  <c r="D148" i="65"/>
  <c r="D149" i="65"/>
  <c r="D150" i="65"/>
  <c r="D151" i="65"/>
  <c r="E151" i="65"/>
  <c r="D152" i="65"/>
  <c r="D153" i="65"/>
  <c r="D154" i="65"/>
  <c r="D155" i="65"/>
  <c r="D156" i="65"/>
  <c r="D157" i="65"/>
  <c r="D158" i="65"/>
  <c r="D159" i="65"/>
  <c r="D160" i="65"/>
  <c r="D161" i="65"/>
  <c r="D162" i="65"/>
  <c r="D163" i="65"/>
  <c r="D164" i="65"/>
  <c r="D165" i="65"/>
  <c r="D166" i="65"/>
  <c r="D167" i="65"/>
  <c r="D168" i="65"/>
  <c r="D169" i="65"/>
  <c r="D170" i="65"/>
  <c r="D171" i="65"/>
  <c r="D172" i="65"/>
  <c r="D173" i="65"/>
  <c r="D174" i="65"/>
  <c r="D175" i="65"/>
  <c r="D176" i="65"/>
  <c r="D177" i="65"/>
  <c r="D178" i="65"/>
  <c r="D179" i="65"/>
  <c r="D180" i="65"/>
  <c r="D181" i="65"/>
  <c r="D182" i="65"/>
  <c r="D183" i="65"/>
  <c r="D184" i="65"/>
  <c r="D185" i="65"/>
  <c r="D186" i="65"/>
  <c r="D187" i="65"/>
  <c r="D188" i="65"/>
  <c r="D189" i="65"/>
  <c r="D190" i="65"/>
  <c r="D191" i="65"/>
  <c r="D192" i="65"/>
  <c r="D193" i="65"/>
  <c r="D194" i="65"/>
  <c r="D195" i="65"/>
  <c r="D196" i="65"/>
  <c r="D197" i="65"/>
  <c r="D198" i="65"/>
  <c r="D199" i="65"/>
  <c r="D200" i="65"/>
  <c r="D201" i="65"/>
  <c r="D202" i="65"/>
  <c r="D203" i="65"/>
  <c r="D204" i="65"/>
  <c r="D205" i="65"/>
  <c r="D5" i="65"/>
  <c r="E86" i="65"/>
  <c r="E87" i="65"/>
  <c r="E106" i="65"/>
  <c r="E146" i="65"/>
  <c r="E186" i="65"/>
  <c r="E6" i="65"/>
  <c r="E7" i="65"/>
  <c r="E8" i="65"/>
  <c r="E26" i="65"/>
  <c r="E27" i="65"/>
  <c r="E28" i="65"/>
  <c r="E46" i="65"/>
  <c r="E47" i="65"/>
  <c r="E66" i="65"/>
  <c r="E67" i="65"/>
  <c r="E68" i="65"/>
  <c r="E107" i="65"/>
  <c r="E108" i="65"/>
  <c r="E126" i="65"/>
  <c r="E127" i="65"/>
  <c r="E147" i="65"/>
  <c r="E166" i="65"/>
  <c r="E167" i="65"/>
  <c r="E170" i="65"/>
  <c r="E177" i="65"/>
  <c r="H177" i="65"/>
  <c r="F177" i="65"/>
  <c r="G177" i="65"/>
  <c r="E135" i="65"/>
  <c r="G135" i="65"/>
  <c r="F135" i="65"/>
  <c r="H135" i="65"/>
  <c r="E152" i="65"/>
  <c r="H152" i="65"/>
  <c r="G152" i="65"/>
  <c r="F152" i="65"/>
  <c r="E131" i="65"/>
  <c r="F131" i="65"/>
  <c r="G131" i="65"/>
  <c r="H131" i="65"/>
  <c r="F170" i="65"/>
  <c r="G170" i="65"/>
  <c r="H170" i="65"/>
  <c r="G90" i="65"/>
  <c r="F90" i="65"/>
  <c r="H90" i="65"/>
  <c r="F70" i="65"/>
  <c r="H70" i="65"/>
  <c r="G70" i="65"/>
  <c r="E30" i="65"/>
  <c r="H30" i="65"/>
  <c r="F30" i="65"/>
  <c r="G30" i="65"/>
  <c r="E90" i="65"/>
  <c r="E189" i="65"/>
  <c r="F189" i="65"/>
  <c r="G189" i="65"/>
  <c r="H189" i="65"/>
  <c r="E109" i="65"/>
  <c r="G109" i="65"/>
  <c r="H109" i="65"/>
  <c r="F109" i="65"/>
  <c r="H69" i="65"/>
  <c r="G69" i="65"/>
  <c r="F69" i="65"/>
  <c r="E29" i="65"/>
  <c r="F29" i="65"/>
  <c r="G29" i="65"/>
  <c r="H29" i="65"/>
  <c r="E168" i="65"/>
  <c r="G168" i="65"/>
  <c r="H168" i="65"/>
  <c r="F168" i="65"/>
  <c r="E148" i="65"/>
  <c r="G148" i="65"/>
  <c r="F148" i="65"/>
  <c r="H148" i="65"/>
  <c r="E88" i="65"/>
  <c r="G88" i="65"/>
  <c r="H88" i="65"/>
  <c r="F88" i="65"/>
  <c r="E48" i="65"/>
  <c r="G48" i="65"/>
  <c r="F48" i="65"/>
  <c r="H48" i="65"/>
  <c r="H167" i="65"/>
  <c r="G167" i="65"/>
  <c r="F167" i="65"/>
  <c r="H127" i="65"/>
  <c r="G127" i="65"/>
  <c r="F127" i="65"/>
  <c r="F107" i="65"/>
  <c r="H107" i="65"/>
  <c r="G107" i="65"/>
  <c r="E69" i="65"/>
  <c r="E205" i="65"/>
  <c r="G205" i="65"/>
  <c r="H205" i="65"/>
  <c r="F205" i="65"/>
  <c r="E185" i="65"/>
  <c r="H185" i="65"/>
  <c r="G185" i="65"/>
  <c r="F185" i="65"/>
  <c r="E165" i="65"/>
  <c r="H165" i="65"/>
  <c r="G165" i="65"/>
  <c r="F165" i="65"/>
  <c r="E145" i="65"/>
  <c r="G145" i="65"/>
  <c r="F145" i="65"/>
  <c r="H145" i="65"/>
  <c r="E125" i="65"/>
  <c r="H125" i="65"/>
  <c r="F125" i="65"/>
  <c r="G125" i="65"/>
  <c r="E105" i="65"/>
  <c r="H105" i="65"/>
  <c r="G105" i="65"/>
  <c r="F105" i="65"/>
  <c r="E85" i="65"/>
  <c r="F85" i="65"/>
  <c r="H85" i="65"/>
  <c r="G85" i="65"/>
  <c r="E65" i="65"/>
  <c r="G65" i="65"/>
  <c r="H65" i="65"/>
  <c r="F65" i="65"/>
  <c r="E45" i="65"/>
  <c r="H45" i="65"/>
  <c r="G45" i="65"/>
  <c r="F45" i="65"/>
  <c r="E25" i="65"/>
  <c r="H25" i="65"/>
  <c r="G25" i="65"/>
  <c r="F25" i="65"/>
  <c r="E97" i="65"/>
  <c r="F97" i="65"/>
  <c r="C70" i="67"/>
  <c r="G97" i="65"/>
  <c r="H97" i="65"/>
  <c r="E155" i="65"/>
  <c r="H155" i="65"/>
  <c r="G155" i="65"/>
  <c r="F155" i="65"/>
  <c r="E133" i="65"/>
  <c r="H133" i="65"/>
  <c r="F133" i="65"/>
  <c r="G133" i="65"/>
  <c r="E191" i="65"/>
  <c r="F191" i="65"/>
  <c r="G191" i="65"/>
  <c r="H191" i="65"/>
  <c r="E124" i="65"/>
  <c r="F124" i="65"/>
  <c r="G124" i="65"/>
  <c r="H124" i="65"/>
  <c r="E44" i="65"/>
  <c r="F44" i="65"/>
  <c r="H44" i="65"/>
  <c r="G44" i="65"/>
  <c r="E24" i="65"/>
  <c r="H24" i="65"/>
  <c r="F24" i="65"/>
  <c r="G24" i="65"/>
  <c r="E178" i="65"/>
  <c r="H178" i="65"/>
  <c r="G178" i="65"/>
  <c r="F178" i="65"/>
  <c r="E156" i="65"/>
  <c r="F156" i="65"/>
  <c r="H156" i="65"/>
  <c r="G156" i="65"/>
  <c r="E193" i="65"/>
  <c r="G193" i="65"/>
  <c r="H193" i="65"/>
  <c r="F193" i="65"/>
  <c r="E184" i="65"/>
  <c r="H184" i="65"/>
  <c r="F184" i="65"/>
  <c r="G184" i="65"/>
  <c r="E183" i="65"/>
  <c r="H183" i="65"/>
  <c r="G183" i="65"/>
  <c r="F183" i="65"/>
  <c r="E23" i="65"/>
  <c r="G23" i="65"/>
  <c r="F23" i="65"/>
  <c r="H23" i="65"/>
  <c r="E198" i="65"/>
  <c r="H198" i="65"/>
  <c r="G198" i="65"/>
  <c r="F198" i="65"/>
  <c r="E115" i="65"/>
  <c r="G115" i="65"/>
  <c r="H115" i="65"/>
  <c r="F115" i="65"/>
  <c r="E153" i="65"/>
  <c r="H153" i="65"/>
  <c r="G153" i="65"/>
  <c r="F153" i="65"/>
  <c r="E144" i="65"/>
  <c r="H144" i="65"/>
  <c r="G144" i="65"/>
  <c r="F144" i="65"/>
  <c r="E43" i="65"/>
  <c r="G43" i="65"/>
  <c r="H43" i="65"/>
  <c r="F43" i="65"/>
  <c r="E196" i="65"/>
  <c r="H196" i="65"/>
  <c r="F196" i="65"/>
  <c r="G196" i="65"/>
  <c r="E194" i="65"/>
  <c r="F194" i="65"/>
  <c r="G194" i="65"/>
  <c r="H194" i="65"/>
  <c r="E192" i="65"/>
  <c r="G192" i="65"/>
  <c r="H192" i="65"/>
  <c r="F192" i="65"/>
  <c r="E204" i="65"/>
  <c r="G204" i="65"/>
  <c r="F204" i="65"/>
  <c r="H204" i="65"/>
  <c r="E104" i="65"/>
  <c r="H104" i="65"/>
  <c r="G104" i="65"/>
  <c r="F104" i="65"/>
  <c r="E63" i="65"/>
  <c r="G63" i="65"/>
  <c r="H63" i="65"/>
  <c r="F63" i="65"/>
  <c r="E138" i="65"/>
  <c r="H138" i="65"/>
  <c r="G138" i="65"/>
  <c r="F138" i="65"/>
  <c r="E136" i="65"/>
  <c r="G136" i="65"/>
  <c r="H136" i="65"/>
  <c r="F136" i="65"/>
  <c r="E154" i="65"/>
  <c r="H154" i="65"/>
  <c r="G154" i="65"/>
  <c r="F154" i="65"/>
  <c r="E113" i="65"/>
  <c r="G113" i="65"/>
  <c r="H113" i="65"/>
  <c r="F113" i="65"/>
  <c r="E52" i="65"/>
  <c r="F52" i="65"/>
  <c r="G52" i="65"/>
  <c r="H52" i="65"/>
  <c r="E164" i="65"/>
  <c r="G164" i="65"/>
  <c r="F164" i="65"/>
  <c r="H164" i="65"/>
  <c r="E64" i="65"/>
  <c r="G64" i="65"/>
  <c r="H64" i="65"/>
  <c r="F64" i="65"/>
  <c r="E203" i="65"/>
  <c r="H203" i="65"/>
  <c r="F203" i="65"/>
  <c r="G203" i="65"/>
  <c r="E143" i="65"/>
  <c r="H143" i="65"/>
  <c r="G143" i="65"/>
  <c r="F143" i="65"/>
  <c r="E103" i="65"/>
  <c r="F103" i="65"/>
  <c r="H103" i="65"/>
  <c r="G103" i="65"/>
  <c r="E83" i="65"/>
  <c r="H83" i="65"/>
  <c r="G83" i="65"/>
  <c r="F83" i="65"/>
  <c r="E182" i="65"/>
  <c r="G182" i="65"/>
  <c r="H182" i="65"/>
  <c r="F182" i="65"/>
  <c r="E142" i="65"/>
  <c r="H142" i="65"/>
  <c r="G142" i="65"/>
  <c r="F142" i="65"/>
  <c r="E102" i="65"/>
  <c r="H102" i="65"/>
  <c r="G102" i="65"/>
  <c r="F102" i="65"/>
  <c r="E62" i="65"/>
  <c r="H62" i="65"/>
  <c r="G62" i="65"/>
  <c r="F62" i="65"/>
  <c r="E201" i="65"/>
  <c r="G201" i="65"/>
  <c r="H201" i="65"/>
  <c r="F201" i="65"/>
  <c r="E161" i="65"/>
  <c r="G161" i="65"/>
  <c r="F161" i="65"/>
  <c r="H161" i="65"/>
  <c r="E121" i="65"/>
  <c r="F121" i="65"/>
  <c r="G121" i="65"/>
  <c r="H121" i="65"/>
  <c r="E81" i="65"/>
  <c r="H81" i="65"/>
  <c r="G81" i="65"/>
  <c r="F81" i="65"/>
  <c r="E61" i="65"/>
  <c r="F61" i="65"/>
  <c r="G61" i="65"/>
  <c r="H61" i="65"/>
  <c r="E200" i="65"/>
  <c r="H200" i="65"/>
  <c r="G200" i="65"/>
  <c r="F200" i="65"/>
  <c r="E180" i="65"/>
  <c r="G180" i="65"/>
  <c r="H180" i="65"/>
  <c r="F180" i="65"/>
  <c r="E160" i="65"/>
  <c r="H160" i="65"/>
  <c r="F160" i="65"/>
  <c r="G160" i="65"/>
  <c r="E140" i="65"/>
  <c r="H140" i="65"/>
  <c r="G140" i="65"/>
  <c r="F140" i="65"/>
  <c r="E120" i="65"/>
  <c r="H120" i="65"/>
  <c r="G120" i="65"/>
  <c r="F120" i="65"/>
  <c r="E100" i="65"/>
  <c r="H100" i="65"/>
  <c r="G100" i="65"/>
  <c r="F100" i="65"/>
  <c r="E80" i="65"/>
  <c r="H80" i="65"/>
  <c r="G80" i="65"/>
  <c r="F80" i="65"/>
  <c r="E60" i="65"/>
  <c r="H60" i="65"/>
  <c r="G60" i="65"/>
  <c r="F60" i="65"/>
  <c r="E40" i="65"/>
  <c r="H40" i="65"/>
  <c r="G40" i="65"/>
  <c r="F40" i="65"/>
  <c r="E20" i="65"/>
  <c r="H20" i="65"/>
  <c r="G20" i="65"/>
  <c r="F20" i="65"/>
  <c r="E117" i="65"/>
  <c r="H117" i="65"/>
  <c r="G117" i="65"/>
  <c r="F117" i="65"/>
  <c r="E114" i="65"/>
  <c r="G114" i="65"/>
  <c r="H114" i="65"/>
  <c r="F114" i="65"/>
  <c r="E92" i="65"/>
  <c r="H92" i="65"/>
  <c r="F92" i="65"/>
  <c r="G92" i="65"/>
  <c r="E84" i="65"/>
  <c r="F84" i="65"/>
  <c r="G84" i="65"/>
  <c r="H84" i="65"/>
  <c r="E163" i="65"/>
  <c r="H163" i="65"/>
  <c r="F163" i="65"/>
  <c r="G163" i="65"/>
  <c r="E123" i="65"/>
  <c r="F123" i="65"/>
  <c r="H123" i="65"/>
  <c r="G123" i="65"/>
  <c r="E202" i="65"/>
  <c r="F202" i="65"/>
  <c r="G202" i="65"/>
  <c r="H202" i="65"/>
  <c r="E162" i="65"/>
  <c r="G162" i="65"/>
  <c r="H162" i="65"/>
  <c r="F162" i="65"/>
  <c r="C74" i="67"/>
  <c r="E122" i="65"/>
  <c r="H122" i="65"/>
  <c r="F122" i="65"/>
  <c r="G122" i="65"/>
  <c r="E82" i="65"/>
  <c r="H82" i="65"/>
  <c r="G82" i="65"/>
  <c r="F82" i="65"/>
  <c r="E42" i="65"/>
  <c r="G42" i="65"/>
  <c r="H42" i="65"/>
  <c r="F42" i="65"/>
  <c r="E22" i="65"/>
  <c r="G22" i="65"/>
  <c r="F22" i="65"/>
  <c r="H22" i="65"/>
  <c r="E181" i="65"/>
  <c r="G181" i="65"/>
  <c r="H181" i="65"/>
  <c r="F181" i="65"/>
  <c r="E141" i="65"/>
  <c r="F141" i="65"/>
  <c r="G141" i="65"/>
  <c r="H141" i="65"/>
  <c r="E101" i="65"/>
  <c r="F101" i="65"/>
  <c r="G101" i="65"/>
  <c r="H101" i="65"/>
  <c r="E41" i="65"/>
  <c r="G41" i="65"/>
  <c r="H41" i="65"/>
  <c r="F41" i="65"/>
  <c r="E21" i="65"/>
  <c r="F21" i="65"/>
  <c r="H21" i="65"/>
  <c r="G21" i="65"/>
  <c r="E199" i="65"/>
  <c r="H199" i="65"/>
  <c r="F199" i="65"/>
  <c r="G199" i="65"/>
  <c r="E179" i="65"/>
  <c r="H179" i="65"/>
  <c r="G179" i="65"/>
  <c r="F179" i="65"/>
  <c r="E159" i="65"/>
  <c r="H159" i="65"/>
  <c r="G159" i="65"/>
  <c r="F159" i="65"/>
  <c r="E139" i="65"/>
  <c r="H139" i="65"/>
  <c r="G139" i="65"/>
  <c r="F139" i="65"/>
  <c r="E119" i="65"/>
  <c r="H119" i="65"/>
  <c r="G119" i="65"/>
  <c r="F119" i="65"/>
  <c r="E99" i="65"/>
  <c r="H99" i="65"/>
  <c r="G99" i="65"/>
  <c r="F99" i="65"/>
  <c r="E79" i="65"/>
  <c r="H79" i="65"/>
  <c r="F79" i="65"/>
  <c r="G79" i="65"/>
  <c r="E59" i="65"/>
  <c r="H59" i="65"/>
  <c r="F59" i="65"/>
  <c r="G59" i="65"/>
  <c r="E39" i="65"/>
  <c r="H39" i="65"/>
  <c r="G39" i="65"/>
  <c r="F39" i="65"/>
  <c r="E19" i="65"/>
  <c r="H19" i="65"/>
  <c r="G19" i="65"/>
  <c r="F19" i="65"/>
  <c r="E118" i="65"/>
  <c r="H118" i="65"/>
  <c r="G118" i="65"/>
  <c r="F118" i="65"/>
  <c r="E98" i="65"/>
  <c r="H98" i="65"/>
  <c r="G98" i="65"/>
  <c r="F98" i="65"/>
  <c r="E78" i="65"/>
  <c r="H78" i="65"/>
  <c r="G78" i="65"/>
  <c r="F78" i="65"/>
  <c r="E58" i="65"/>
  <c r="H58" i="65"/>
  <c r="G58" i="65"/>
  <c r="F58" i="65"/>
  <c r="E38" i="65"/>
  <c r="H38" i="65"/>
  <c r="G38" i="65"/>
  <c r="F38" i="65"/>
  <c r="E18" i="65"/>
  <c r="H18" i="65"/>
  <c r="G18" i="65"/>
  <c r="F18" i="65"/>
  <c r="E137" i="65"/>
  <c r="G137" i="65"/>
  <c r="F137" i="65"/>
  <c r="H137" i="65"/>
  <c r="E77" i="65"/>
  <c r="H77" i="65"/>
  <c r="G77" i="65"/>
  <c r="F77" i="65"/>
  <c r="E57" i="65"/>
  <c r="H57" i="65"/>
  <c r="G57" i="65"/>
  <c r="F57" i="65"/>
  <c r="E37" i="65"/>
  <c r="H37" i="65"/>
  <c r="G37" i="65"/>
  <c r="F37" i="65"/>
  <c r="E17" i="65"/>
  <c r="G17" i="65"/>
  <c r="F17" i="65"/>
  <c r="H17" i="65"/>
  <c r="E76" i="65"/>
  <c r="G76" i="65"/>
  <c r="H76" i="65"/>
  <c r="F76" i="65"/>
  <c r="E56" i="65"/>
  <c r="H56" i="65"/>
  <c r="F56" i="65"/>
  <c r="G56" i="65"/>
  <c r="E36" i="65"/>
  <c r="H36" i="65"/>
  <c r="G36" i="65"/>
  <c r="F36" i="65"/>
  <c r="E16" i="65"/>
  <c r="F16" i="65"/>
  <c r="H16" i="65"/>
  <c r="G16" i="65"/>
  <c r="E95" i="65"/>
  <c r="F95" i="65"/>
  <c r="G95" i="65"/>
  <c r="H95" i="65"/>
  <c r="E75" i="65"/>
  <c r="G75" i="65"/>
  <c r="F75" i="65"/>
  <c r="H75" i="65"/>
  <c r="E55" i="65"/>
  <c r="H55" i="65"/>
  <c r="G55" i="65"/>
  <c r="F55" i="65"/>
  <c r="E35" i="65"/>
  <c r="G35" i="65"/>
  <c r="H35" i="65"/>
  <c r="F35" i="65"/>
  <c r="E15" i="65"/>
  <c r="H15" i="65"/>
  <c r="G15" i="65"/>
  <c r="F15" i="65"/>
  <c r="E94" i="65"/>
  <c r="F94" i="65"/>
  <c r="G94" i="65"/>
  <c r="H94" i="65"/>
  <c r="E74" i="65"/>
  <c r="F74" i="65"/>
  <c r="G74" i="65"/>
  <c r="H74" i="65"/>
  <c r="E54" i="65"/>
  <c r="F54" i="65"/>
  <c r="G54" i="65"/>
  <c r="H54" i="65"/>
  <c r="E34" i="65"/>
  <c r="H34" i="65"/>
  <c r="G34" i="65"/>
  <c r="F34" i="65"/>
  <c r="E14" i="65"/>
  <c r="H14" i="65"/>
  <c r="F14" i="65"/>
  <c r="G14" i="65"/>
  <c r="E53" i="65"/>
  <c r="G53" i="65"/>
  <c r="F53" i="65"/>
  <c r="H53" i="65"/>
  <c r="E33" i="65"/>
  <c r="H33" i="65"/>
  <c r="F33" i="65"/>
  <c r="G33" i="65"/>
  <c r="E13" i="65"/>
  <c r="F13" i="65"/>
  <c r="H13" i="65"/>
  <c r="G13" i="65"/>
  <c r="E195" i="65"/>
  <c r="F195" i="65"/>
  <c r="G195" i="65"/>
  <c r="H195" i="65"/>
  <c r="H72" i="65"/>
  <c r="F72" i="65"/>
  <c r="G72" i="65"/>
  <c r="E32" i="65"/>
  <c r="H32" i="65"/>
  <c r="G32" i="65"/>
  <c r="F32" i="65"/>
  <c r="E12" i="65"/>
  <c r="F12" i="65"/>
  <c r="H12" i="65"/>
  <c r="G12" i="65"/>
  <c r="E73" i="65"/>
  <c r="F73" i="65"/>
  <c r="G73" i="65"/>
  <c r="H73" i="65"/>
  <c r="E111" i="65"/>
  <c r="H111" i="65"/>
  <c r="G111" i="65"/>
  <c r="F111" i="65"/>
  <c r="E51" i="65"/>
  <c r="H51" i="65"/>
  <c r="G51" i="65"/>
  <c r="F51" i="65"/>
  <c r="E31" i="65"/>
  <c r="F31" i="65"/>
  <c r="G31" i="65"/>
  <c r="H31" i="65"/>
  <c r="E11" i="65"/>
  <c r="H11" i="65"/>
  <c r="G11" i="65"/>
  <c r="F11" i="65"/>
  <c r="E116" i="65"/>
  <c r="H116" i="65"/>
  <c r="G116" i="65"/>
  <c r="F116" i="65"/>
  <c r="E134" i="65"/>
  <c r="G134" i="65"/>
  <c r="F134" i="65"/>
  <c r="H134" i="65"/>
  <c r="E132" i="65"/>
  <c r="G132" i="65"/>
  <c r="F132" i="65"/>
  <c r="H132" i="65"/>
  <c r="E71" i="65"/>
  <c r="H71" i="65"/>
  <c r="G71" i="65"/>
  <c r="F71" i="65"/>
  <c r="E130" i="65"/>
  <c r="F130" i="65"/>
  <c r="G130" i="65"/>
  <c r="H130" i="65"/>
  <c r="E10" i="65"/>
  <c r="F10" i="65"/>
  <c r="H10" i="65"/>
  <c r="G10" i="65"/>
  <c r="E197" i="65"/>
  <c r="H197" i="65"/>
  <c r="F197" i="65"/>
  <c r="G197" i="65"/>
  <c r="E175" i="65"/>
  <c r="H175" i="65"/>
  <c r="G175" i="65"/>
  <c r="F175" i="65"/>
  <c r="E93" i="65"/>
  <c r="H93" i="65"/>
  <c r="G93" i="65"/>
  <c r="F93" i="65"/>
  <c r="F151" i="65"/>
  <c r="H151" i="65"/>
  <c r="G151" i="65"/>
  <c r="E190" i="65"/>
  <c r="F190" i="65"/>
  <c r="G190" i="65"/>
  <c r="H190" i="65"/>
  <c r="E110" i="65"/>
  <c r="H110" i="65"/>
  <c r="F110" i="65"/>
  <c r="G110" i="65"/>
  <c r="E129" i="65"/>
  <c r="H129" i="65"/>
  <c r="G129" i="65"/>
  <c r="F129" i="65"/>
  <c r="E176" i="65"/>
  <c r="H176" i="65"/>
  <c r="G176" i="65"/>
  <c r="F176" i="65"/>
  <c r="E112" i="65"/>
  <c r="G112" i="65"/>
  <c r="H112" i="65"/>
  <c r="F112" i="65"/>
  <c r="E149" i="65"/>
  <c r="H149" i="65"/>
  <c r="G149" i="65"/>
  <c r="F149" i="65"/>
  <c r="E158" i="65"/>
  <c r="H158" i="65"/>
  <c r="G158" i="65"/>
  <c r="F158" i="65"/>
  <c r="E174" i="65"/>
  <c r="H174" i="65"/>
  <c r="G174" i="65"/>
  <c r="F174" i="65"/>
  <c r="E172" i="65"/>
  <c r="G172" i="65"/>
  <c r="H172" i="65"/>
  <c r="F172" i="65"/>
  <c r="E169" i="65"/>
  <c r="F169" i="65"/>
  <c r="G169" i="65"/>
  <c r="H169" i="65"/>
  <c r="E157" i="65"/>
  <c r="F157" i="65"/>
  <c r="G157" i="65"/>
  <c r="H157" i="65"/>
  <c r="E96" i="65"/>
  <c r="H96" i="65"/>
  <c r="G96" i="65"/>
  <c r="F96" i="65"/>
  <c r="E173" i="65"/>
  <c r="H173" i="65"/>
  <c r="F173" i="65"/>
  <c r="G173" i="65"/>
  <c r="E171" i="65"/>
  <c r="F171" i="65"/>
  <c r="G171" i="65"/>
  <c r="H171" i="65"/>
  <c r="E91" i="65"/>
  <c r="F91" i="65"/>
  <c r="H91" i="65"/>
  <c r="G91" i="65"/>
  <c r="E150" i="65"/>
  <c r="H150" i="65"/>
  <c r="G150" i="65"/>
  <c r="F150" i="65"/>
  <c r="G50" i="65"/>
  <c r="F50" i="65"/>
  <c r="H50" i="65"/>
  <c r="G89" i="65"/>
  <c r="F89" i="65"/>
  <c r="H89" i="65"/>
  <c r="E49" i="65"/>
  <c r="G49" i="65"/>
  <c r="F49" i="65"/>
  <c r="H49" i="65"/>
  <c r="E9" i="65"/>
  <c r="H9" i="65"/>
  <c r="F9" i="65"/>
  <c r="G9" i="65"/>
  <c r="E89" i="65"/>
  <c r="E188" i="65"/>
  <c r="H188" i="65"/>
  <c r="G188" i="65"/>
  <c r="F188" i="65"/>
  <c r="E128" i="65"/>
  <c r="F128" i="65"/>
  <c r="H128" i="65"/>
  <c r="G128" i="65"/>
  <c r="H108" i="65"/>
  <c r="F108" i="65"/>
  <c r="G108" i="65"/>
  <c r="F68" i="65"/>
  <c r="H68" i="65"/>
  <c r="G68" i="65"/>
  <c r="F28" i="65"/>
  <c r="G28" i="65"/>
  <c r="H28" i="65"/>
  <c r="G8" i="65"/>
  <c r="H8" i="65"/>
  <c r="F8" i="65"/>
  <c r="E72" i="65"/>
  <c r="E187" i="65"/>
  <c r="H187" i="65"/>
  <c r="G187" i="65"/>
  <c r="F187" i="65"/>
  <c r="G147" i="65"/>
  <c r="F147" i="65"/>
  <c r="H147" i="65"/>
  <c r="F87" i="65"/>
  <c r="H87" i="65"/>
  <c r="G87" i="65"/>
  <c r="F67" i="65"/>
  <c r="H67" i="65"/>
  <c r="G67" i="65"/>
  <c r="H47" i="65"/>
  <c r="G47" i="65"/>
  <c r="F47" i="65"/>
  <c r="F27" i="65"/>
  <c r="G27" i="65"/>
  <c r="H27" i="65"/>
  <c r="G7" i="65"/>
  <c r="F7" i="65"/>
  <c r="H7" i="65"/>
  <c r="E70" i="65"/>
  <c r="H5" i="65"/>
  <c r="E5" i="65"/>
  <c r="F5" i="65"/>
  <c r="G5" i="65"/>
  <c r="H186" i="65"/>
  <c r="F186" i="65"/>
  <c r="G186" i="65"/>
  <c r="G166" i="65"/>
  <c r="H166" i="65"/>
  <c r="F166" i="65"/>
  <c r="G146" i="65"/>
  <c r="H146" i="65"/>
  <c r="F146" i="65"/>
  <c r="F126" i="65"/>
  <c r="G126" i="65"/>
  <c r="H126" i="65"/>
  <c r="H106" i="65"/>
  <c r="G106" i="65"/>
  <c r="F106" i="65"/>
  <c r="H86" i="65"/>
  <c r="G86" i="65"/>
  <c r="F86" i="65"/>
  <c r="G66" i="65"/>
  <c r="H66" i="65"/>
  <c r="F66" i="65"/>
  <c r="H46" i="65"/>
  <c r="G46" i="65"/>
  <c r="F46" i="65"/>
  <c r="G26" i="65"/>
  <c r="H26" i="65"/>
  <c r="F26" i="65"/>
  <c r="H6" i="65"/>
  <c r="G6" i="65"/>
  <c r="F6" i="65"/>
  <c r="U31" i="73"/>
  <c r="T29" i="73"/>
  <c r="G34" i="73" s="1"/>
  <c r="V29" i="73"/>
  <c r="G40" i="73" s="1"/>
  <c r="P31" i="73"/>
  <c r="F39" i="73" s="1"/>
  <c r="L29" i="73"/>
  <c r="E34" i="73" s="1"/>
  <c r="C71" i="67" s="1"/>
  <c r="D31" i="64" s="1"/>
  <c r="M29" i="73"/>
  <c r="E35" i="73" s="1"/>
  <c r="N29" i="73"/>
  <c r="N31" i="73"/>
  <c r="L30" i="73"/>
  <c r="L11" i="73"/>
  <c r="M11" i="73"/>
  <c r="E17" i="73" s="1"/>
  <c r="N11" i="73"/>
  <c r="E22" i="73" s="1"/>
  <c r="L12" i="73"/>
  <c r="M12" i="73"/>
  <c r="E19" i="73" s="1"/>
  <c r="N12" i="73"/>
  <c r="L13" i="73"/>
  <c r="M13" i="73"/>
  <c r="N13" i="73"/>
  <c r="K12" i="73"/>
  <c r="E18" i="73" s="1"/>
  <c r="O12" i="73"/>
  <c r="F18" i="73" s="1"/>
  <c r="G29" i="73"/>
  <c r="D30" i="73"/>
  <c r="H30" i="73"/>
  <c r="E31" i="73"/>
  <c r="I31" i="73"/>
  <c r="C29" i="73"/>
  <c r="G11" i="73"/>
  <c r="D12" i="73"/>
  <c r="H12" i="73"/>
  <c r="E13" i="73"/>
  <c r="I13" i="73"/>
  <c r="C11" i="73"/>
  <c r="C48" i="67"/>
  <c r="C40" i="67"/>
  <c r="C44" i="67"/>
  <c r="U29" i="73"/>
  <c r="G35" i="73" s="1"/>
  <c r="O30" i="73"/>
  <c r="F36" i="73" s="1"/>
  <c r="R31" i="73"/>
  <c r="F42" i="73" s="1"/>
  <c r="Q31" i="73"/>
  <c r="R30" i="73"/>
  <c r="F41" i="73" s="1"/>
  <c r="Q30" i="73"/>
  <c r="F37" i="73" s="1"/>
  <c r="K29" i="73"/>
  <c r="P30" i="73"/>
  <c r="R29" i="73"/>
  <c r="F40" i="73" s="1"/>
  <c r="K30" i="73"/>
  <c r="E36" i="73" s="1"/>
  <c r="C75" i="67" s="1"/>
  <c r="Q29" i="73"/>
  <c r="F35" i="73" s="1"/>
  <c r="P29" i="73"/>
  <c r="F34" i="73" s="1"/>
  <c r="P13" i="73"/>
  <c r="F21" i="73" s="1"/>
  <c r="R12" i="73"/>
  <c r="F23" i="73" s="1"/>
  <c r="N30" i="73"/>
  <c r="E41" i="73" s="1"/>
  <c r="C84" i="67" s="1"/>
  <c r="M30" i="73"/>
  <c r="E37" i="73" s="1"/>
  <c r="V13" i="73"/>
  <c r="G24" i="73" s="1"/>
  <c r="R13" i="73"/>
  <c r="F24" i="73" s="1"/>
  <c r="M31" i="73"/>
  <c r="S11" i="73"/>
  <c r="S13" i="73"/>
  <c r="G20" i="73" s="1"/>
  <c r="S12" i="73"/>
  <c r="G18" i="73" s="1"/>
  <c r="K11" i="73"/>
  <c r="K13" i="73"/>
  <c r="E20" i="73" s="1"/>
  <c r="U13" i="73"/>
  <c r="T13" i="73"/>
  <c r="G21" i="73" s="1"/>
  <c r="T31" i="73"/>
  <c r="G39" i="73" s="1"/>
  <c r="V30" i="73"/>
  <c r="G41" i="73" s="1"/>
  <c r="O29" i="73"/>
  <c r="U30" i="73"/>
  <c r="G37" i="73" s="1"/>
  <c r="O31" i="73"/>
  <c r="F38" i="73" s="1"/>
  <c r="T30" i="73"/>
  <c r="U12" i="73"/>
  <c r="G19" i="73" s="1"/>
  <c r="V11" i="73"/>
  <c r="G22" i="73" s="1"/>
  <c r="T11" i="73"/>
  <c r="G16" i="73" s="1"/>
  <c r="S29" i="73"/>
  <c r="V31" i="73"/>
  <c r="G42" i="73" s="1"/>
  <c r="V12" i="73"/>
  <c r="G23" i="73" s="1"/>
  <c r="T12" i="73"/>
  <c r="U11" i="73"/>
  <c r="G17" i="73" s="1"/>
  <c r="S31" i="73"/>
  <c r="G38" i="73" s="1"/>
  <c r="S30" i="73"/>
  <c r="G36" i="73" s="1"/>
  <c r="O11" i="73"/>
  <c r="R11" i="73"/>
  <c r="F22" i="73" s="1"/>
  <c r="Q11" i="73"/>
  <c r="F17" i="73" s="1"/>
  <c r="P11" i="73"/>
  <c r="F16" i="73" s="1"/>
  <c r="O13" i="73"/>
  <c r="F20" i="73" s="1"/>
  <c r="Q13" i="73"/>
  <c r="Q12" i="73"/>
  <c r="F19" i="73" s="1"/>
  <c r="P12" i="73"/>
  <c r="L5" i="65" a="1"/>
  <c r="E40" i="73"/>
  <c r="C83" i="67" s="1"/>
  <c r="E42" i="73"/>
  <c r="E23" i="73"/>
  <c r="C54" i="67" s="1"/>
  <c r="E24" i="73"/>
  <c r="E21" i="73"/>
  <c r="C50" i="67" s="1"/>
  <c r="E16" i="73"/>
  <c r="C41" i="67" s="1"/>
  <c r="D14" i="64" s="1"/>
  <c r="L5" i="65"/>
  <c r="L6" i="65" a="1"/>
  <c r="L6" i="65"/>
  <c r="O6" i="65" a="1"/>
  <c r="O6" i="65"/>
  <c r="AE6" i="65" a="1"/>
  <c r="AE6" i="65"/>
  <c r="AU6" i="65" a="1"/>
  <c r="AU6" i="65"/>
  <c r="BL6" i="65" a="1"/>
  <c r="BL6" i="65"/>
  <c r="CB6" i="65" a="1"/>
  <c r="CB6" i="65"/>
  <c r="CR6" i="65" a="1"/>
  <c r="CR6" i="65"/>
  <c r="DH6" i="65" a="1"/>
  <c r="DH6" i="65"/>
  <c r="P6" i="65" a="1"/>
  <c r="P6" i="65"/>
  <c r="Q6" i="65" a="1"/>
  <c r="Q6" i="65"/>
  <c r="AW6" i="65" a="1"/>
  <c r="AW6" i="65"/>
  <c r="BN6" i="65" a="1"/>
  <c r="BN6" i="65"/>
  <c r="CS6" i="65" a="1"/>
  <c r="CS6" i="65"/>
  <c r="DJ6" i="65" a="1"/>
  <c r="DJ6" i="65"/>
  <c r="DZ6" i="65" a="1"/>
  <c r="DZ6" i="65"/>
  <c r="EO6" i="65" a="1"/>
  <c r="EO6" i="65"/>
  <c r="FD6" i="65" a="1"/>
  <c r="FD6" i="65"/>
  <c r="FT6" i="65" a="1"/>
  <c r="FT6" i="65"/>
  <c r="EI6" i="65" a="1"/>
  <c r="EI6" i="65"/>
  <c r="AR6" i="65" a="1"/>
  <c r="AR6" i="65"/>
  <c r="BY6" i="65" a="1"/>
  <c r="BY6" i="65"/>
  <c r="AC6" i="65" a="1"/>
  <c r="AC6" i="65"/>
  <c r="EL6" i="65" a="1"/>
  <c r="EL6" i="65"/>
  <c r="DG6" i="65" a="1"/>
  <c r="DG6" i="65"/>
  <c r="FR6" i="65" a="1"/>
  <c r="FR6" i="65"/>
  <c r="DI6" i="65" a="1"/>
  <c r="DI6" i="65"/>
  <c r="R6" i="65" a="1"/>
  <c r="R6" i="65"/>
  <c r="AG6" i="65" a="1"/>
  <c r="AG6" i="65"/>
  <c r="AX6" i="65" a="1"/>
  <c r="AX6" i="65"/>
  <c r="BO6" i="65" a="1"/>
  <c r="BO6" i="65"/>
  <c r="CD6" i="65" a="1"/>
  <c r="CD6" i="65"/>
  <c r="CT6" i="65" a="1"/>
  <c r="CT6" i="65"/>
  <c r="DK6" i="65" a="1"/>
  <c r="DK6" i="65"/>
  <c r="FE6" i="65" a="1"/>
  <c r="FE6" i="65"/>
  <c r="FU6" i="65" a="1"/>
  <c r="FU6" i="65"/>
  <c r="FV6" i="65" a="1"/>
  <c r="FV6" i="65"/>
  <c r="DD6" i="65" a="1"/>
  <c r="DD6" i="65"/>
  <c r="CO6" i="65" a="1"/>
  <c r="CO6" i="65"/>
  <c r="GE6" i="65" a="1"/>
  <c r="GE6" i="65"/>
  <c r="FA6" i="65" a="1"/>
  <c r="FA6" i="65"/>
  <c r="CQ6" i="65" a="1"/>
  <c r="CQ6" i="65"/>
  <c r="CA6" i="65" a="1"/>
  <c r="CA6" i="65"/>
  <c r="GG6" i="65" a="1"/>
  <c r="GG6" i="65"/>
  <c r="CC6" i="65" a="1"/>
  <c r="CC6" i="65"/>
  <c r="AY6" i="65" a="1"/>
  <c r="AY6" i="65"/>
  <c r="CU6" i="65" a="1"/>
  <c r="CU6" i="65"/>
  <c r="DL6" i="65" a="1"/>
  <c r="DL6" i="65"/>
  <c r="EA6" i="65" a="1"/>
  <c r="EA6" i="65"/>
  <c r="EP6" i="65" a="1"/>
  <c r="EP6" i="65"/>
  <c r="FF6" i="65" a="1"/>
  <c r="FF6" i="65"/>
  <c r="FO6" i="65" a="1"/>
  <c r="FO6" i="65"/>
  <c r="DE6" i="65" a="1"/>
  <c r="DE6" i="65"/>
  <c r="AS6" i="65" a="1"/>
  <c r="AS6" i="65"/>
  <c r="BJ6" i="65" a="1"/>
  <c r="BJ6" i="65"/>
  <c r="FB6" i="65" a="1"/>
  <c r="FB6" i="65"/>
  <c r="AD6" i="65" a="1"/>
  <c r="AD6" i="65"/>
  <c r="DY6" i="65" a="1"/>
  <c r="DY6" i="65"/>
  <c r="S6" i="65" a="1"/>
  <c r="S6" i="65"/>
  <c r="AH6" i="65" a="1"/>
  <c r="AH6" i="65"/>
  <c r="AZ6" i="65" a="1"/>
  <c r="AZ6" i="65"/>
  <c r="BP6" i="65" a="1"/>
  <c r="BP6" i="65"/>
  <c r="CE6" i="65" a="1"/>
  <c r="CE6" i="65"/>
  <c r="CV6" i="65" a="1"/>
  <c r="CV6" i="65"/>
  <c r="EQ6" i="65" a="1"/>
  <c r="EQ6" i="65"/>
  <c r="FG6" i="65" a="1"/>
  <c r="FG6" i="65"/>
  <c r="FW6" i="65" a="1"/>
  <c r="FW6" i="65"/>
  <c r="T6" i="65" a="1"/>
  <c r="T6" i="65"/>
  <c r="BQ6" i="65" a="1"/>
  <c r="BQ6" i="65"/>
  <c r="CX6" i="65" a="1"/>
  <c r="CX6" i="65"/>
  <c r="ES6" i="65" a="1"/>
  <c r="ES6" i="65"/>
  <c r="FX6" i="65" a="1"/>
  <c r="FX6" i="65"/>
  <c r="AL6" i="65" a="1"/>
  <c r="AL6" i="65"/>
  <c r="CY6" i="65" a="1"/>
  <c r="CY6" i="65"/>
  <c r="AM6" i="65" a="1"/>
  <c r="AM6" i="65"/>
  <c r="FZ6" i="65" a="1"/>
  <c r="FZ6" i="65"/>
  <c r="DS6" i="65" a="1"/>
  <c r="DS6" i="65"/>
  <c r="BW6" i="65" a="1"/>
  <c r="BW6" i="65"/>
  <c r="EY6" i="65" a="1"/>
  <c r="EY6" i="65"/>
  <c r="BX6" i="65" a="1"/>
  <c r="BX6" i="65"/>
  <c r="CP6" i="65" a="1"/>
  <c r="CP6" i="65"/>
  <c r="AT6" i="65" a="1"/>
  <c r="AT6" i="65"/>
  <c r="DV6" i="65" a="1"/>
  <c r="DV6" i="65"/>
  <c r="BK6" i="65" a="1"/>
  <c r="BK6" i="65"/>
  <c r="DX6" i="65" a="1"/>
  <c r="DX6" i="65"/>
  <c r="GH6" i="65" a="1"/>
  <c r="GH6" i="65"/>
  <c r="GI6" i="65" a="1"/>
  <c r="GI6" i="65"/>
  <c r="AI6" i="65" a="1"/>
  <c r="AI6" i="65"/>
  <c r="BA6" i="65" a="1"/>
  <c r="BA6" i="65"/>
  <c r="CF6" i="65" a="1"/>
  <c r="CF6" i="65"/>
  <c r="CW6" i="65" a="1"/>
  <c r="CW6" i="65"/>
  <c r="DM6" i="65" a="1"/>
  <c r="DM6" i="65"/>
  <c r="EB6" i="65" a="1"/>
  <c r="EB6" i="65"/>
  <c r="ER6" i="65" a="1"/>
  <c r="ER6" i="65"/>
  <c r="FH6" i="65" a="1"/>
  <c r="FH6" i="65"/>
  <c r="AJ6" i="65" a="1"/>
  <c r="AJ6" i="65"/>
  <c r="CG6" i="65" a="1"/>
  <c r="CG6" i="65"/>
  <c r="EC6" i="65" a="1"/>
  <c r="EC6" i="65"/>
  <c r="FI6" i="65" a="1"/>
  <c r="FI6" i="65"/>
  <c r="EE6" i="65" a="1"/>
  <c r="EE6" i="65"/>
  <c r="BT6" i="65" a="1"/>
  <c r="BT6" i="65"/>
  <c r="EW6" i="65" a="1"/>
  <c r="EW6" i="65"/>
  <c r="CM6" i="65" a="1"/>
  <c r="CM6" i="65"/>
  <c r="AV6" i="65" a="1"/>
  <c r="AV6" i="65"/>
  <c r="EN6" i="65" a="1"/>
  <c r="EN6" i="65"/>
  <c r="DW6" i="65" a="1"/>
  <c r="DW6" i="65"/>
  <c r="DF6" i="65" a="1"/>
  <c r="DF6" i="65"/>
  <c r="BI6" i="65" a="1"/>
  <c r="BI6" i="65"/>
  <c r="DT6" i="65" a="1"/>
  <c r="DT6" i="65"/>
  <c r="GD6" i="65" a="1"/>
  <c r="GD6" i="65"/>
  <c r="AP6" i="65" a="1"/>
  <c r="AP6" i="65"/>
  <c r="GC6" i="65" a="1"/>
  <c r="GC6" i="65"/>
  <c r="EH6" i="65" a="1"/>
  <c r="EH6" i="65"/>
  <c r="DB6" i="65" a="1"/>
  <c r="DB6" i="65"/>
  <c r="CL6" i="65" a="1"/>
  <c r="CL6" i="65"/>
  <c r="BG6" i="65" a="1"/>
  <c r="BG6" i="65"/>
  <c r="AO6" i="65" a="1"/>
  <c r="AO6" i="65"/>
  <c r="GB6" i="65" a="1"/>
  <c r="GB6" i="65"/>
  <c r="FL6" i="65" a="1"/>
  <c r="FL6" i="65"/>
  <c r="DR6" i="65" a="1"/>
  <c r="DR6" i="65"/>
  <c r="DA6" i="65" a="1"/>
  <c r="DA6" i="65"/>
  <c r="BV6" i="65" a="1"/>
  <c r="BV6" i="65"/>
  <c r="BF6" i="65" a="1"/>
  <c r="BF6" i="65"/>
  <c r="Y6" i="65" a="1"/>
  <c r="Y6" i="65"/>
  <c r="GA6" i="65" a="1"/>
  <c r="GA6" i="65"/>
  <c r="FK6" i="65" a="1"/>
  <c r="FK6" i="65"/>
  <c r="EV6" i="65" a="1"/>
  <c r="EV6" i="65"/>
  <c r="EG6" i="65" a="1"/>
  <c r="EG6" i="65"/>
  <c r="DQ6" i="65" a="1"/>
  <c r="DQ6" i="65"/>
  <c r="CZ6" i="65" a="1"/>
  <c r="CZ6" i="65"/>
  <c r="CK6" i="65" a="1"/>
  <c r="CK6" i="65"/>
  <c r="BU6" i="65" a="1"/>
  <c r="BU6" i="65"/>
  <c r="BE6" i="65" a="1"/>
  <c r="BE6" i="65"/>
  <c r="AN6" i="65" a="1"/>
  <c r="AN6" i="65"/>
  <c r="X6" i="65" a="1"/>
  <c r="X6" i="65"/>
  <c r="FS6" i="65" a="1"/>
  <c r="FS6" i="65"/>
  <c r="BM6" i="65" a="1"/>
  <c r="BM6" i="65"/>
  <c r="EM6" i="65" a="1"/>
  <c r="EM6" i="65"/>
  <c r="GF6" i="65" a="1"/>
  <c r="GF6" i="65"/>
  <c r="M6" i="65" a="1"/>
  <c r="M6" i="65"/>
  <c r="EK6" i="65" a="1"/>
  <c r="EK6" i="65"/>
  <c r="AB6" i="65" a="1"/>
  <c r="AB6" i="65"/>
  <c r="FP6" i="65" a="1"/>
  <c r="FP6" i="65"/>
  <c r="EJ6" i="65" a="1"/>
  <c r="EJ6" i="65"/>
  <c r="AA6" i="65" a="1"/>
  <c r="AA6" i="65"/>
  <c r="CN6" i="65" a="1"/>
  <c r="CN6" i="65"/>
  <c r="FN6" i="65" a="1"/>
  <c r="FN6" i="65"/>
  <c r="DC6" i="65" a="1"/>
  <c r="DC6" i="65"/>
  <c r="Z6" i="65" a="1"/>
  <c r="Z6" i="65"/>
  <c r="DP6" i="65" a="1"/>
  <c r="DP6" i="65"/>
  <c r="CJ6" i="65" a="1"/>
  <c r="CJ6" i="65"/>
  <c r="BD6" i="65" a="1"/>
  <c r="BD6" i="65"/>
  <c r="W6" i="65" a="1"/>
  <c r="W6" i="65"/>
  <c r="FY6" i="65" a="1"/>
  <c r="FY6" i="65"/>
  <c r="EU6" i="65" a="1"/>
  <c r="EU6" i="65"/>
  <c r="DO6" i="65" a="1"/>
  <c r="DO6" i="65"/>
  <c r="CI6" i="65" a="1"/>
  <c r="CI6" i="65"/>
  <c r="BS6" i="65" a="1"/>
  <c r="BS6" i="65"/>
  <c r="BC6" i="65" a="1"/>
  <c r="BC6" i="65"/>
  <c r="V6" i="65" a="1"/>
  <c r="V6" i="65"/>
  <c r="ET6" i="65" a="1"/>
  <c r="ET6" i="65"/>
  <c r="ED6" i="65" a="1"/>
  <c r="ED6" i="65"/>
  <c r="DN6" i="65" a="1"/>
  <c r="DN6" i="65"/>
  <c r="CH6" i="65" a="1"/>
  <c r="CH6" i="65"/>
  <c r="BR6" i="65" a="1"/>
  <c r="BR6" i="65"/>
  <c r="BB6" i="65" a="1"/>
  <c r="BB6" i="65"/>
  <c r="AK6" i="65" a="1"/>
  <c r="AK6" i="65"/>
  <c r="U6" i="65" a="1"/>
  <c r="U6" i="65"/>
  <c r="AF6" i="65" a="1"/>
  <c r="AF6" i="65"/>
  <c r="FC6" i="65" a="1"/>
  <c r="FC6" i="65"/>
  <c r="N6" i="65" a="1"/>
  <c r="N6" i="65"/>
  <c r="FQ6" i="65" a="1"/>
  <c r="FQ6" i="65"/>
  <c r="BZ6" i="65" a="1"/>
  <c r="BZ6" i="65"/>
  <c r="DU6" i="65" a="1"/>
  <c r="DU6" i="65"/>
  <c r="EZ6" i="65" a="1"/>
  <c r="EZ6" i="65"/>
  <c r="AQ6" i="65" a="1"/>
  <c r="AQ6" i="65"/>
  <c r="EX6" i="65" a="1"/>
  <c r="EX6" i="65"/>
  <c r="BH6" i="65" a="1"/>
  <c r="BH6" i="65"/>
  <c r="FM6" i="65" a="1"/>
  <c r="FM6" i="65"/>
  <c r="EF6" i="65" a="1"/>
  <c r="EF6" i="65"/>
  <c r="FJ6" i="65" a="1"/>
  <c r="FJ6" i="65"/>
  <c r="D13" i="73"/>
  <c r="D31" i="73"/>
  <c r="F29" i="73"/>
  <c r="C40" i="73" s="1"/>
  <c r="D29" i="73"/>
  <c r="C34" i="73" s="1"/>
  <c r="F13" i="73"/>
  <c r="C24" i="73" s="1"/>
  <c r="C30" i="73"/>
  <c r="C36" i="73" s="1"/>
  <c r="F30" i="73"/>
  <c r="F12" i="73"/>
  <c r="C23" i="73" s="1"/>
  <c r="D11" i="73"/>
  <c r="C12" i="73"/>
  <c r="F11" i="73"/>
  <c r="C22" i="73" s="1"/>
  <c r="E30" i="73"/>
  <c r="C37" i="73" s="1"/>
  <c r="E12" i="73"/>
  <c r="C19" i="73" s="1"/>
  <c r="J12" i="73"/>
  <c r="D23" i="73" s="1"/>
  <c r="H31" i="73"/>
  <c r="D39" i="73" s="1"/>
  <c r="G12" i="73"/>
  <c r="D18" i="73" s="1"/>
  <c r="C45" i="67" s="1"/>
  <c r="J31" i="73"/>
  <c r="D42" i="73" s="1"/>
  <c r="C85" i="67" s="1"/>
  <c r="H11" i="73"/>
  <c r="D16" i="73" s="1"/>
  <c r="I30" i="73"/>
  <c r="D37" i="73" s="1"/>
  <c r="C76" i="67" s="1"/>
  <c r="H13" i="73"/>
  <c r="D21" i="73" s="1"/>
  <c r="J11" i="73"/>
  <c r="J30" i="73"/>
  <c r="D41" i="73" s="1"/>
  <c r="H29" i="73"/>
  <c r="D34" i="73" s="1"/>
  <c r="J13" i="73"/>
  <c r="D24" i="73" s="1"/>
  <c r="C55" i="67" s="1"/>
  <c r="J29" i="73"/>
  <c r="D40" i="73" s="1"/>
  <c r="G30" i="73"/>
  <c r="D36" i="73" s="1"/>
  <c r="I12" i="73"/>
  <c r="D19" i="73" s="1"/>
  <c r="C46" i="67" s="1"/>
  <c r="E29" i="73"/>
  <c r="C35" i="73" s="1"/>
  <c r="C31" i="73"/>
  <c r="C38" i="73" s="1"/>
  <c r="E11" i="73"/>
  <c r="C17" i="73" s="1"/>
  <c r="C13" i="73"/>
  <c r="C20" i="73" s="1"/>
  <c r="G31" i="73"/>
  <c r="D38" i="73" s="1"/>
  <c r="G13" i="73"/>
  <c r="D20" i="73" s="1"/>
  <c r="C49" i="67" s="1"/>
  <c r="I29" i="73"/>
  <c r="D35" i="73" s="1"/>
  <c r="C72" i="67" s="1"/>
  <c r="I11" i="73"/>
  <c r="D17" i="73" s="1"/>
  <c r="C42" i="67" s="1"/>
  <c r="D22" i="73"/>
  <c r="C53" i="67" s="1"/>
  <c r="D75" i="63"/>
  <c r="D76" i="63"/>
  <c r="D74" i="63"/>
  <c r="C68" i="67"/>
  <c r="D36" i="63"/>
  <c r="D37" i="63"/>
  <c r="D35" i="63"/>
  <c r="C38" i="67"/>
  <c r="C15" i="67"/>
  <c r="C23" i="67"/>
  <c r="E11" i="62"/>
  <c r="C13" i="67" s="1"/>
  <c r="I5" i="65"/>
  <c r="C21" i="73"/>
  <c r="C18" i="73"/>
  <c r="C16" i="73"/>
  <c r="C39" i="73"/>
  <c r="C42" i="73"/>
  <c r="C41" i="73"/>
  <c r="C35" i="51"/>
  <c r="C87" i="51"/>
  <c r="C89" i="51"/>
  <c r="C125" i="51"/>
  <c r="C158" i="51"/>
  <c r="C159" i="51"/>
  <c r="C177" i="51"/>
  <c r="C24" i="51"/>
  <c r="C26" i="51"/>
  <c r="C32" i="51"/>
  <c r="C37" i="51"/>
  <c r="C40" i="51"/>
  <c r="C41" i="51"/>
  <c r="C42" i="51"/>
  <c r="C92" i="51"/>
  <c r="C93" i="51"/>
  <c r="C94" i="51"/>
  <c r="C98" i="51"/>
  <c r="C99" i="51"/>
  <c r="C102" i="51"/>
  <c r="C108" i="51"/>
  <c r="C110" i="51"/>
  <c r="C111" i="51"/>
  <c r="C112" i="51"/>
  <c r="C113" i="51"/>
  <c r="C118" i="51"/>
  <c r="C119" i="51"/>
  <c r="C126" i="51"/>
  <c r="C127" i="51"/>
  <c r="C129" i="51"/>
  <c r="C130" i="51"/>
  <c r="C131" i="51"/>
  <c r="C132" i="51"/>
  <c r="C133" i="51"/>
  <c r="C134" i="51"/>
  <c r="C135" i="51"/>
  <c r="C143" i="51"/>
  <c r="C145" i="51"/>
  <c r="C146" i="51"/>
  <c r="C147" i="51"/>
  <c r="C149" i="51"/>
  <c r="C151" i="51"/>
  <c r="C154" i="51"/>
  <c r="C155" i="51"/>
  <c r="C162" i="51"/>
  <c r="C163" i="51"/>
  <c r="C164" i="51"/>
  <c r="C167" i="51"/>
  <c r="C169" i="51"/>
  <c r="C170" i="51"/>
  <c r="C172" i="51"/>
  <c r="C173" i="51"/>
  <c r="C174" i="51"/>
  <c r="C175" i="51"/>
  <c r="C178" i="51"/>
  <c r="C180" i="51"/>
  <c r="C181" i="51"/>
  <c r="C182" i="51"/>
  <c r="D29" i="64"/>
  <c r="C91" i="51"/>
  <c r="C38" i="51"/>
  <c r="C160" i="51"/>
  <c r="C90" i="51"/>
  <c r="C109" i="51"/>
  <c r="C107" i="51"/>
  <c r="C36" i="51"/>
  <c r="C128" i="51"/>
  <c r="C141" i="51"/>
  <c r="C106" i="51"/>
  <c r="C88" i="51"/>
  <c r="C142" i="51"/>
  <c r="C176" i="51"/>
  <c r="C157" i="51"/>
  <c r="C140" i="51"/>
  <c r="C124" i="51"/>
  <c r="C34" i="51"/>
  <c r="C156" i="51"/>
  <c r="C123" i="51"/>
  <c r="C105" i="51"/>
  <c r="C33" i="51"/>
  <c r="C179" i="51"/>
  <c r="C122" i="51"/>
  <c r="C104" i="51"/>
  <c r="C39" i="51"/>
  <c r="C121" i="51"/>
  <c r="C103" i="51"/>
  <c r="C161" i="51"/>
  <c r="C139" i="51"/>
  <c r="C138" i="51"/>
  <c r="C120" i="51"/>
  <c r="C144" i="51"/>
  <c r="C171" i="51"/>
  <c r="C153" i="51"/>
  <c r="C101" i="51"/>
  <c r="C31" i="51"/>
  <c r="C152" i="51"/>
  <c r="C137" i="51"/>
  <c r="C100" i="51"/>
  <c r="C30" i="51"/>
  <c r="C136" i="51"/>
  <c r="C117" i="51"/>
  <c r="C29" i="51"/>
  <c r="C150" i="51"/>
  <c r="C116" i="51"/>
  <c r="C28" i="51"/>
  <c r="C168" i="51"/>
  <c r="C115" i="51"/>
  <c r="C27" i="51"/>
  <c r="C148" i="51"/>
  <c r="C114" i="51"/>
  <c r="C97" i="51"/>
  <c r="C166" i="51"/>
  <c r="C96" i="51"/>
  <c r="C43" i="51"/>
  <c r="C25" i="51"/>
  <c r="C165" i="51"/>
  <c r="C95" i="51"/>
  <c r="C16" i="67" l="1"/>
  <c r="D7" i="64" s="1"/>
  <c r="C100" i="67"/>
  <c r="C11" i="67"/>
  <c r="C103" i="67"/>
  <c r="C105" i="67"/>
  <c r="C35" i="67"/>
  <c r="D13" i="64" s="1"/>
  <c r="C19" i="67"/>
  <c r="C21" i="67"/>
  <c r="C20" i="67"/>
  <c r="C22" i="67"/>
  <c r="C12" i="67"/>
  <c r="D33" i="64"/>
  <c r="D16" i="64"/>
  <c r="C14" i="67"/>
  <c r="D6" i="64" l="1"/>
  <c r="D23" i="64"/>
  <c r="D25" i="64" s="1"/>
  <c r="D8" i="64"/>
  <c r="D11" i="64"/>
  <c r="D17" i="64" s="1"/>
  <c r="D19" i="64" s="1"/>
  <c r="D28" i="64"/>
  <c r="D34" i="64" s="1"/>
  <c r="D36" i="64" l="1"/>
  <c r="D57" i="6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<sst xmlns="http://schemas.openxmlformats.org/spreadsheetml/2006/main" count="8102" uniqueCount="685">
  <si>
    <t>Notes</t>
  </si>
  <si>
    <t>List Selections</t>
  </si>
  <si>
    <t>Modes of Transport</t>
  </si>
  <si>
    <t>Afghanistan</t>
  </si>
  <si>
    <t>Algeria</t>
  </si>
  <si>
    <t>Andorra</t>
  </si>
  <si>
    <t>Angola</t>
  </si>
  <si>
    <t>Car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</si>
  <si>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</si>
  <si>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</si>
  <si>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</si>
  <si>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</si>
  <si>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</si>
  <si>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</si>
  <si>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</si>
  <si>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</si>
  <si>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</si>
  <si>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</si>
  <si>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</si>
  <si>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</si>
  <si>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</si>
  <si>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</si>
  <si>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</si>
  <si>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</si>
  <si>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</si>
  <si>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</si>
  <si>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</si>
  <si>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</si>
  <si>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</si>
  <si>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</si>
  <si>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</si>
  <si>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</si>
  <si>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</si>
  <si>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</si>
  <si>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</si>
  <si>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</si>
  <si>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</si>
  <si>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</si>
  <si>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</si>
  <si>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</si>
  <si>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</si>
  <si>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</si>
  <si>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</si>
  <si>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</si>
  <si>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</si>
  <si>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</si>
  <si>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</si>
  <si>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</si>
  <si>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</si>
  <si>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</si>
  <si>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</si>
  <si>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</si>
  <si>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</si>
  <si>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</si>
  <si>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</si>
  <si>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</si>
  <si>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</si>
  <si>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</si>
  <si>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</si>
  <si>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</si>
  <si>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</si>
  <si>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</si>
  <si>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</si>
  <si>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</si>
  <si>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</si>
  <si>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</si>
  <si>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</si>
  <si>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</si>
  <si>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</si>
  <si>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</si>
  <si>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</si>
  <si>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</si>
  <si>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</si>
  <si>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</si>
  <si>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</si>
  <si>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</si>
  <si>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</si>
  <si>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</si>
  <si>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</si>
  <si>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</si>
  <si>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</si>
  <si>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</si>
  <si>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</si>
  <si>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</si>
  <si>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</si>
  <si>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</si>
  <si>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</si>
  <si>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</si>
  <si>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</si>
  <si>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</si>
  <si>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</si>
  <si>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</si>
  <si>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</si>
  <si>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</si>
  <si>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</si>
  <si>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</si>
  <si>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</si>
  <si>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</si>
  <si>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</si>
  <si>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</si>
  <si>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</si>
  <si>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</si>
  <si>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</si>
  <si>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</si>
  <si>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</si>
  <si>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</si>
  <si>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</si>
  <si>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</si>
  <si>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</si>
  <si>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</si>
  <si>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</si>
  <si>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</si>
  <si>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</si>
  <si>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</si>
  <si>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</si>
  <si>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</si>
  <si>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</si>
  <si>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</si>
  <si>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</si>
  <si>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</si>
  <si>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</si>
  <si>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</si>
  <si>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</si>
  <si>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</si>
  <si>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</si>
  <si>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</si>
  <si>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</si>
  <si>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</si>
  <si>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</si>
  <si>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</si>
  <si>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</si>
  <si>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</si>
  <si>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</si>
  <si>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</si>
  <si>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</si>
  <si>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</si>
  <si>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</si>
  <si>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</si>
  <si>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</si>
  <si>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</si>
  <si>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</si>
  <si>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</si>
  <si>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</si>
  <si>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&amp;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</si>
  <si>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</si>
  <si>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</si>
  <si>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</si>
  <si>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</si>
  <si>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</si>
  <si>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</si>
  <si>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</si>
  <si>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</si>
  <si>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</si>
  <si>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</si>
  <si>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</si>
  <si>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</si>
  <si>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</si>
  <si>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</si>
  <si>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</si>
  <si>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</si>
  <si>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</si>
  <si>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</si>
  <si>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</si>
  <si>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</si>
  <si>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</si>
  <si>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</si>
  <si>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</si>
  <si>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</si>
  <si>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</si>
  <si>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</si>
  <si>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</si>
  <si>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</si>
  <si>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</si>
  <si>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</si>
  <si>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</si>
  <si>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</si>
  <si>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</si>
  <si>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</si>
  <si>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</si>
  <si>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</si>
  <si>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</si>
  <si>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</si>
  <si>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</si>
  <si>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</si>
  <si>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Model Assumptions</t>
  </si>
  <si>
    <t>Assumption</t>
  </si>
  <si>
    <t>Units</t>
  </si>
  <si>
    <t>Quantity</t>
  </si>
  <si>
    <t>Printing</t>
  </si>
  <si>
    <t>Copy per person involved</t>
  </si>
  <si>
    <t>item</t>
  </si>
  <si>
    <t>Electricity consumption when printing</t>
  </si>
  <si>
    <t>Wh</t>
  </si>
  <si>
    <t>Printed pages per minute (ppm)</t>
  </si>
  <si>
    <t>ppm</t>
  </si>
  <si>
    <t>Printed pages per hour</t>
  </si>
  <si>
    <t>pages</t>
  </si>
  <si>
    <t>kWh/page</t>
  </si>
  <si>
    <t>WTT - UK</t>
  </si>
  <si>
    <t>kgCO2e/kWh</t>
  </si>
  <si>
    <t>Computer Use</t>
  </si>
  <si>
    <t>kgCO2e</t>
  </si>
  <si>
    <t>Use, in months</t>
  </si>
  <si>
    <t>Months</t>
  </si>
  <si>
    <t>Emissions of one email</t>
  </si>
  <si>
    <t xml:space="preserve">kgCO2 </t>
  </si>
  <si>
    <t>Materials Use</t>
  </si>
  <si>
    <t>GHG emissions per paper cup</t>
  </si>
  <si>
    <t>When disposed following European rules</t>
  </si>
  <si>
    <t>Travel</t>
  </si>
  <si>
    <t>kgCO2e/km (per passenger)</t>
  </si>
  <si>
    <t>Emissions Calculator</t>
  </si>
  <si>
    <t>Legend</t>
  </si>
  <si>
    <t>Boxes that are this color require a user input</t>
  </si>
  <si>
    <t>User Inputs</t>
  </si>
  <si>
    <t>Unit</t>
  </si>
  <si>
    <t>country</t>
  </si>
  <si>
    <t>months</t>
  </si>
  <si>
    <t>Hearing length</t>
  </si>
  <si>
    <t>Claimant</t>
  </si>
  <si>
    <t>Claimant team size</t>
  </si>
  <si>
    <t>count</t>
  </si>
  <si>
    <t>Claimant's Counsel team size</t>
  </si>
  <si>
    <t>Claimant's Expert team size</t>
  </si>
  <si>
    <t xml:space="preserve">Number of printed memos </t>
  </si>
  <si>
    <t>Number of pages per memo</t>
  </si>
  <si>
    <t>Printed at Claimant location</t>
  </si>
  <si>
    <t>%</t>
  </si>
  <si>
    <t>Assuming the quantity printed is based on the number of people at each location</t>
  </si>
  <si>
    <t>Printed at Counsel location</t>
  </si>
  <si>
    <t>Printed at Expert location</t>
  </si>
  <si>
    <t>Number of emails</t>
  </si>
  <si>
    <t>emails</t>
  </si>
  <si>
    <t>Number of in-person meetings at Claimant location</t>
  </si>
  <si>
    <t>Total duration of meetings at Claimant location</t>
  </si>
  <si>
    <t>days</t>
  </si>
  <si>
    <t>Counsel team mode of transport</t>
  </si>
  <si>
    <t>-</t>
  </si>
  <si>
    <t>Expert team mode of transport</t>
  </si>
  <si>
    <t>Number of in-person meetings at Counsel location</t>
  </si>
  <si>
    <t>Total duration of meetings at Counsel location</t>
  </si>
  <si>
    <t>Claimant team mode of transport</t>
  </si>
  <si>
    <t>Number of in-person meetings at Expert location</t>
  </si>
  <si>
    <t>Total duration of meetings at Expert location</t>
  </si>
  <si>
    <t>Respondent</t>
  </si>
  <si>
    <t>Respondent team size</t>
  </si>
  <si>
    <t>Respondent's Counsel team size</t>
  </si>
  <si>
    <t>Respondent's Expert team size</t>
  </si>
  <si>
    <t>Number of in-person meetings at Respondent location</t>
  </si>
  <si>
    <t>Total duration of meetings at Respondent location</t>
  </si>
  <si>
    <t>Counsel team mode of trasnport</t>
  </si>
  <si>
    <t>Respondent team mode of transport</t>
  </si>
  <si>
    <t>Scope 2 Emissions (kgCO2e)</t>
  </si>
  <si>
    <t>Pre-Arbitration</t>
  </si>
  <si>
    <t>Results</t>
  </si>
  <si>
    <t>Printing &amp; Email</t>
  </si>
  <si>
    <t>Hotel Stays</t>
  </si>
  <si>
    <t>Material Use</t>
  </si>
  <si>
    <t>Total Claimant</t>
  </si>
  <si>
    <t>Total Respondent</t>
  </si>
  <si>
    <t>Total Arbitration</t>
  </si>
  <si>
    <t>km</t>
  </si>
  <si>
    <t>Country</t>
  </si>
  <si>
    <t>London</t>
  </si>
  <si>
    <t>Madrid</t>
  </si>
  <si>
    <t>Paris</t>
  </si>
  <si>
    <t>Korea</t>
  </si>
  <si>
    <t>Russian Federation</t>
  </si>
  <si>
    <t>Hong Kong, China</t>
  </si>
  <si>
    <t>kgCO2/kWh</t>
  </si>
  <si>
    <t>MEASURE 3: Hotel Carbon Footprint Per Occupied Room (kgCO2e)</t>
  </si>
  <si>
    <t>LOCATION</t>
  </si>
  <si>
    <t>All Hotels</t>
  </si>
  <si>
    <t>All HotelsCount</t>
  </si>
  <si>
    <t>All HotelsLow</t>
  </si>
  <si>
    <t>All HotelsLower Quartile</t>
  </si>
  <si>
    <t>All HotelsMean</t>
  </si>
  <si>
    <t>All HotelsMedian</t>
  </si>
  <si>
    <t>All HotelsUpper Quartile</t>
  </si>
  <si>
    <t>All HotelsHigh</t>
  </si>
  <si>
    <t>All HotelsSD</t>
  </si>
  <si>
    <t>Geography</t>
  </si>
  <si>
    <t>Type</t>
  </si>
  <si>
    <t>Count</t>
  </si>
  <si>
    <t>Low</t>
  </si>
  <si>
    <t>Lower Quartile</t>
  </si>
  <si>
    <t>Mean</t>
  </si>
  <si>
    <t>Median</t>
  </si>
  <si>
    <t>Upper Quartile</t>
  </si>
  <si>
    <t>High</t>
  </si>
  <si>
    <t>SD</t>
  </si>
  <si>
    <t/>
  </si>
  <si>
    <t>Abu Dhabi</t>
  </si>
  <si>
    <t>Amman</t>
  </si>
  <si>
    <t>Amsterdam</t>
  </si>
  <si>
    <t>Athens</t>
  </si>
  <si>
    <t>Auckland</t>
  </si>
  <si>
    <t>Bangkok</t>
  </si>
  <si>
    <t>Barcelona</t>
  </si>
  <si>
    <t>Beijing</t>
  </si>
  <si>
    <t>Berlin</t>
  </si>
  <si>
    <t>Brussels</t>
  </si>
  <si>
    <t>Bucharest</t>
  </si>
  <si>
    <t>Budapest</t>
  </si>
  <si>
    <t>Cairo</t>
  </si>
  <si>
    <t>Doha</t>
  </si>
  <si>
    <t>Dublin</t>
  </si>
  <si>
    <t>Frankfurt</t>
  </si>
  <si>
    <t>Hanoi</t>
  </si>
  <si>
    <t>Ho Chi Minh City</t>
  </si>
  <si>
    <t>Jakarta</t>
  </si>
  <si>
    <t>Kingston</t>
  </si>
  <si>
    <t>Kuala Lumpur</t>
  </si>
  <si>
    <t>Lima</t>
  </si>
  <si>
    <t>Lisbon</t>
  </si>
  <si>
    <t>Macau</t>
  </si>
  <si>
    <t>Macau, China</t>
  </si>
  <si>
    <t>Manama</t>
  </si>
  <si>
    <t>Manila</t>
  </si>
  <si>
    <t>Milan</t>
  </si>
  <si>
    <t>Montevideo</t>
  </si>
  <si>
    <t>Moscow</t>
  </si>
  <si>
    <t>Mumbai</t>
  </si>
  <si>
    <t>Prague</t>
  </si>
  <si>
    <t>Riyadh</t>
  </si>
  <si>
    <t>Rome</t>
  </si>
  <si>
    <t>San Jose</t>
  </si>
  <si>
    <t>Santiago</t>
  </si>
  <si>
    <t>Sao Paulo</t>
  </si>
  <si>
    <t>Seoul</t>
  </si>
  <si>
    <t>Shanghai</t>
  </si>
  <si>
    <t>Sydney</t>
  </si>
  <si>
    <t>Taiwan, China</t>
  </si>
  <si>
    <t>Tokyo</t>
  </si>
  <si>
    <t>Toronto</t>
  </si>
  <si>
    <t>Vienna</t>
  </si>
  <si>
    <t>Warsaw</t>
  </si>
  <si>
    <t>Zurich</t>
  </si>
  <si>
    <t>Fiji</t>
  </si>
  <si>
    <t>French Polynesia</t>
  </si>
  <si>
    <t>Source</t>
  </si>
  <si>
    <t>https://www.it.ox.ac.uk/article/environment-and-it</t>
  </si>
  <si>
    <t>UK Government GHG Conversion Factors for Company Reporting</t>
  </si>
  <si>
    <t>Year</t>
  </si>
  <si>
    <t>Rail</t>
  </si>
  <si>
    <t>Global Inputs</t>
  </si>
  <si>
    <t>Notebooks Used</t>
  </si>
  <si>
    <t>Pen and Pencil Used</t>
  </si>
  <si>
    <t>Cup Usage</t>
  </si>
  <si>
    <t>Hearing</t>
  </si>
  <si>
    <t>Phase-specific Inputs</t>
  </si>
  <si>
    <t>Printed at Hearing location</t>
  </si>
  <si>
    <t>Printing (Claimant location)</t>
  </si>
  <si>
    <t>Printing (Counsel location)</t>
  </si>
  <si>
    <t>Printing (Expert location)</t>
  </si>
  <si>
    <t>Printing (Hearing location)</t>
  </si>
  <si>
    <t>Emails</t>
  </si>
  <si>
    <t>Printing (Respondent location)</t>
  </si>
  <si>
    <t>Notebooks</t>
  </si>
  <si>
    <t>Pens and Pencils</t>
  </si>
  <si>
    <t>Cups</t>
  </si>
  <si>
    <t>Hotel stays at Claimant location</t>
  </si>
  <si>
    <t>Hotel stays at Counsel location</t>
  </si>
  <si>
    <t>Counsel transport to Claimant</t>
  </si>
  <si>
    <t>Expert transport to Claimant</t>
  </si>
  <si>
    <t>Claimant transport to Counsel</t>
  </si>
  <si>
    <t>Expert transport to Counsel</t>
  </si>
  <si>
    <t>Hotel stays at Expert location</t>
  </si>
  <si>
    <t>Claimant transport to Expert</t>
  </si>
  <si>
    <t>Counsel transport to Expert</t>
  </si>
  <si>
    <t>Hotel stays at Respondent location</t>
  </si>
  <si>
    <t>Counsel transport to Respondent</t>
  </si>
  <si>
    <t>Expert transport to Respondent</t>
  </si>
  <si>
    <t>Respondent transport to Counsel</t>
  </si>
  <si>
    <t>Respondent transport to Expert</t>
  </si>
  <si>
    <t>Scope 3 Emissions (kgCO2e)</t>
  </si>
  <si>
    <t>Printing (Claimant location) - WTT</t>
  </si>
  <si>
    <t>Printing (Counsel location) - WTT</t>
  </si>
  <si>
    <t>Printing (Expert location) - WTT</t>
  </si>
  <si>
    <t>Printing (Hearing location) - WTT</t>
  </si>
  <si>
    <t>Emails - WTT</t>
  </si>
  <si>
    <t>Printing (Respondent location) - WTT</t>
  </si>
  <si>
    <t>No values on this sheet should be edited. All values should be linked back to "User Inputs".</t>
  </si>
  <si>
    <t>Claimant team mode of transport to hearing</t>
  </si>
  <si>
    <t>Counsel team mode of transport to hearing</t>
  </si>
  <si>
    <t>Expert team mode of transport to hearing</t>
  </si>
  <si>
    <t>Respondent team mode of transport to hearing</t>
  </si>
  <si>
    <t>Hotel stays at Hearing</t>
  </si>
  <si>
    <t>Claimant transport to Hearing</t>
  </si>
  <si>
    <t>Counsel transport to Hearing</t>
  </si>
  <si>
    <t>Expert transport to Hearing</t>
  </si>
  <si>
    <t>Respondent transport to Hearing</t>
  </si>
  <si>
    <t>Plane (Business)</t>
  </si>
  <si>
    <t>Plane (Economy)</t>
  </si>
  <si>
    <t>Plane (Business) short haul</t>
  </si>
  <si>
    <t>Plane (Economy) short haul</t>
  </si>
  <si>
    <t>Plane (Economy) long haul</t>
  </si>
  <si>
    <t>Plane (Business) long haul</t>
  </si>
  <si>
    <t>Intermediate Transport Calculations</t>
  </si>
  <si>
    <t>Claimant Counsel</t>
  </si>
  <si>
    <t>Claimant Expert</t>
  </si>
  <si>
    <t>Locations</t>
  </si>
  <si>
    <t>Durations</t>
  </si>
  <si>
    <t>Respondent Expert</t>
  </si>
  <si>
    <t>Respondent Counsel</t>
  </si>
  <si>
    <t>This sheet calculated emissions per single trip. Total transport emissions are calculated in the next tab.</t>
  </si>
  <si>
    <t>Data storage (total)</t>
  </si>
  <si>
    <t>kWh/GB</t>
  </si>
  <si>
    <t>Data storage (active)</t>
  </si>
  <si>
    <t>Data storage (archive)</t>
  </si>
  <si>
    <t>kWh/GB/year</t>
  </si>
  <si>
    <t>https://stanfordmag.org/contents/carbon-and-the-cloud</t>
  </si>
  <si>
    <t>Assumed for tape storage of cold data</t>
  </si>
  <si>
    <t>Total Scope 3</t>
  </si>
  <si>
    <t>Total Scope 2</t>
  </si>
  <si>
    <t>Data Storage</t>
  </si>
  <si>
    <t>City List</t>
  </si>
  <si>
    <t>Kabul</t>
  </si>
  <si>
    <t>Algiers</t>
  </si>
  <si>
    <t>Andorra la Vella</t>
  </si>
  <si>
    <t>Luanda</t>
  </si>
  <si>
    <t>Buenos Aires</t>
  </si>
  <si>
    <t>Yerevan</t>
  </si>
  <si>
    <t>Canberra</t>
  </si>
  <si>
    <t>Baku</t>
  </si>
  <si>
    <t>Nassau</t>
  </si>
  <si>
    <t>Dhaka</t>
  </si>
  <si>
    <t>Bridgetown</t>
  </si>
  <si>
    <t>Minsk</t>
  </si>
  <si>
    <t>Belmopan</t>
  </si>
  <si>
    <t>Thimphu</t>
  </si>
  <si>
    <t>Sarajevo</t>
  </si>
  <si>
    <t>Gaborone</t>
  </si>
  <si>
    <t>Bandar Seri Begawan</t>
  </si>
  <si>
    <t>Sofia</t>
  </si>
  <si>
    <t>Ouagadougou</t>
  </si>
  <si>
    <t>Praia</t>
  </si>
  <si>
    <t>Phnom Penh</t>
  </si>
  <si>
    <t>Ottawa</t>
  </si>
  <si>
    <t>Bangui</t>
  </si>
  <si>
    <t>N'Djamena</t>
  </si>
  <si>
    <t>Moroni</t>
  </si>
  <si>
    <t>Kinshasa</t>
  </si>
  <si>
    <t>Brazzaville</t>
  </si>
  <si>
    <t>Zagreb</t>
  </si>
  <si>
    <t>Havana</t>
  </si>
  <si>
    <t>Nicosia</t>
  </si>
  <si>
    <t>Copenhagen</t>
  </si>
  <si>
    <t>Roseau</t>
  </si>
  <si>
    <t>Santo Domingo</t>
  </si>
  <si>
    <t>Quito</t>
  </si>
  <si>
    <t>San Salvador</t>
  </si>
  <si>
    <t>Malabo</t>
  </si>
  <si>
    <t>Asmara</t>
  </si>
  <si>
    <t>Tallinn</t>
  </si>
  <si>
    <t>Mbabane</t>
  </si>
  <si>
    <t>Addis Ababa</t>
  </si>
  <si>
    <t>Helsinki</t>
  </si>
  <si>
    <t>Libreville</t>
  </si>
  <si>
    <t>Banjul</t>
  </si>
  <si>
    <t>Accra</t>
  </si>
  <si>
    <t>Conakry</t>
  </si>
  <si>
    <t>Bissau</t>
  </si>
  <si>
    <t>Georgetown</t>
  </si>
  <si>
    <t>Port-au-Prince</t>
  </si>
  <si>
    <t>Tegucigalpa</t>
  </si>
  <si>
    <t>Reykjavik</t>
  </si>
  <si>
    <t>New Delhi</t>
  </si>
  <si>
    <t>Tehran</t>
  </si>
  <si>
    <t>Baghdad</t>
  </si>
  <si>
    <t>Jerusalem</t>
  </si>
  <si>
    <t>Nairobi</t>
  </si>
  <si>
    <t>Bishkek</t>
  </si>
  <si>
    <t>Vientiane</t>
  </si>
  <si>
    <t>Riga</t>
  </si>
  <si>
    <t>Beirut</t>
  </si>
  <si>
    <t>Maseru</t>
  </si>
  <si>
    <t>Monrovia</t>
  </si>
  <si>
    <t>Tripoli</t>
  </si>
  <si>
    <t>Vaduz</t>
  </si>
  <si>
    <t>Vilnius</t>
  </si>
  <si>
    <t>Antananarivo</t>
  </si>
  <si>
    <t>Lilongwe</t>
  </si>
  <si>
    <t>Bamako</t>
  </si>
  <si>
    <t>Valletta</t>
  </si>
  <si>
    <t>Nouakchott</t>
  </si>
  <si>
    <t>Port Louis</t>
  </si>
  <si>
    <t>Podgorica</t>
  </si>
  <si>
    <t>Rabat</t>
  </si>
  <si>
    <t>Maputo</t>
  </si>
  <si>
    <t>Windhoek</t>
  </si>
  <si>
    <t>Kathmandu</t>
  </si>
  <si>
    <t>Wellington</t>
  </si>
  <si>
    <t>Managua</t>
  </si>
  <si>
    <t>Niamey</t>
  </si>
  <si>
    <t>Abuja</t>
  </si>
  <si>
    <t>Pyongyang</t>
  </si>
  <si>
    <t>Skopje</t>
  </si>
  <si>
    <t>Oslo</t>
  </si>
  <si>
    <t>Islamabad</t>
  </si>
  <si>
    <t>Kigali</t>
  </si>
  <si>
    <t>Basseterre</t>
  </si>
  <si>
    <t>Castries</t>
  </si>
  <si>
    <t>Kingstown</t>
  </si>
  <si>
    <t>Dakar</t>
  </si>
  <si>
    <t>Belgrade</t>
  </si>
  <si>
    <t>Freetown</t>
  </si>
  <si>
    <t>Bratislava</t>
  </si>
  <si>
    <t>Ljubljana</t>
  </si>
  <si>
    <t>Mogadishu</t>
  </si>
  <si>
    <t>Juba</t>
  </si>
  <si>
    <t>Khartoum</t>
  </si>
  <si>
    <t>Paramaribo</t>
  </si>
  <si>
    <t>Stockholm</t>
  </si>
  <si>
    <t>Bern</t>
  </si>
  <si>
    <t>Damascus</t>
  </si>
  <si>
    <t>Dushanbe</t>
  </si>
  <si>
    <t>Dili</t>
  </si>
  <si>
    <t>Port of Spain</t>
  </si>
  <si>
    <t>Tunis</t>
  </si>
  <si>
    <t>Ankara</t>
  </si>
  <si>
    <t>Ashgabat</t>
  </si>
  <si>
    <t>Kampala</t>
  </si>
  <si>
    <t>Tashkent</t>
  </si>
  <si>
    <t>Caracas</t>
  </si>
  <si>
    <t>Lusaka</t>
  </si>
  <si>
    <t>Harare</t>
  </si>
  <si>
    <t>Error</t>
  </si>
  <si>
    <t>Los Angeles</t>
  </si>
  <si>
    <t>New York</t>
  </si>
  <si>
    <t>Boston</t>
  </si>
  <si>
    <t>Saint John's</t>
  </si>
  <si>
    <t>Porto Novo</t>
  </si>
  <si>
    <t>Bujumbura</t>
  </si>
  <si>
    <t>Yaounde</t>
  </si>
  <si>
    <t>Bogota</t>
  </si>
  <si>
    <t>T'bilisi</t>
  </si>
  <si>
    <t>Astana</t>
  </si>
  <si>
    <t>Male</t>
  </si>
  <si>
    <t>Yangon</t>
  </si>
  <si>
    <t>Masqat</t>
  </si>
  <si>
    <t>Asuncion</t>
  </si>
  <si>
    <t>Sao Tome</t>
  </si>
  <si>
    <t>Lome</t>
  </si>
  <si>
    <t>Kiev</t>
  </si>
  <si>
    <t xml:space="preserve">Munich </t>
  </si>
  <si>
    <t>Abidjan</t>
  </si>
  <si>
    <t>Saint George's</t>
  </si>
  <si>
    <t xml:space="preserve">Chisinau </t>
  </si>
  <si>
    <t xml:space="preserve">Ulaanbaatar </t>
  </si>
  <si>
    <t>Colombo</t>
  </si>
  <si>
    <t>Taipei City</t>
  </si>
  <si>
    <t>Washington</t>
  </si>
  <si>
    <t>Sanaa</t>
  </si>
  <si>
    <t>La Paz</t>
  </si>
  <si>
    <t>Rio de Janerio</t>
  </si>
  <si>
    <t>Doula</t>
  </si>
  <si>
    <t>Karachi</t>
  </si>
  <si>
    <t>Pretoria</t>
  </si>
  <si>
    <t>Dar es Salaam</t>
  </si>
  <si>
    <t>Johannesburg</t>
  </si>
  <si>
    <t>Long haul threshold</t>
  </si>
  <si>
    <t>Assumed</t>
  </si>
  <si>
    <t>Travel Matrix</t>
  </si>
  <si>
    <t>Distance (km)</t>
  </si>
  <si>
    <t>City</t>
  </si>
  <si>
    <t>Car (non-electric)</t>
  </si>
  <si>
    <t>Car (electric)</t>
  </si>
  <si>
    <t>Data Generated</t>
  </si>
  <si>
    <t>Gigabytes</t>
  </si>
  <si>
    <t>Country List</t>
  </si>
  <si>
    <t>Hotel Mapping</t>
  </si>
  <si>
    <t>Cameroon (repeated)</t>
  </si>
  <si>
    <t>Congo (repeated)</t>
  </si>
  <si>
    <t>Pakistan (repeated)</t>
  </si>
  <si>
    <t>Total Arbitration Scope 2</t>
  </si>
  <si>
    <t>Total Arbitration Scope 3</t>
  </si>
  <si>
    <t>3 Stars</t>
  </si>
  <si>
    <t>4 Stars</t>
  </si>
  <si>
    <t>5 Stars</t>
  </si>
  <si>
    <t>3 StarsCount</t>
  </si>
  <si>
    <t>3 StarsLow</t>
  </si>
  <si>
    <t>3 StarsLower Quartile</t>
  </si>
  <si>
    <t>3 StarsMean</t>
  </si>
  <si>
    <t>3 StarsMedian</t>
  </si>
  <si>
    <t>3 StarsUpper Quartile</t>
  </si>
  <si>
    <t>3 StarsHigh</t>
  </si>
  <si>
    <t>3 StarsSD</t>
  </si>
  <si>
    <t>4 StarsCount</t>
  </si>
  <si>
    <t>4 StarsLow</t>
  </si>
  <si>
    <t>4 StarsLower Quartile</t>
  </si>
  <si>
    <t>4 StarsMean</t>
  </si>
  <si>
    <t>4 StarsMedian</t>
  </si>
  <si>
    <t>4 StarsUpper Quartile</t>
  </si>
  <si>
    <t>4 StarsHigh</t>
  </si>
  <si>
    <t>4 StarsSD</t>
  </si>
  <si>
    <t>5 StarsCount</t>
  </si>
  <si>
    <t>5 StarsLow</t>
  </si>
  <si>
    <t>5 StarsLower Quartile</t>
  </si>
  <si>
    <t>5 StarsMean</t>
  </si>
  <si>
    <t>5 StarsMedian</t>
  </si>
  <si>
    <t>5 StarsUpper Quartile</t>
  </si>
  <si>
    <t>5 StarsHigh</t>
  </si>
  <si>
    <t>5 StarsSD</t>
  </si>
  <si>
    <t>Hotel type</t>
  </si>
  <si>
    <t>Hotel</t>
  </si>
  <si>
    <t>Average 3 star</t>
  </si>
  <si>
    <t>Scaling to UK</t>
  </si>
  <si>
    <t>Entity</t>
  </si>
  <si>
    <t>Carbon intensity of electricity - gCO2/kWh</t>
  </si>
  <si>
    <t>Czechia</t>
  </si>
  <si>
    <t>World</t>
  </si>
  <si>
    <t>Czechia Republic</t>
  </si>
  <si>
    <t>https://energyusecalculator.com/electricity_printer.htm</t>
  </si>
  <si>
    <t>Used with EI electricity generation by country to calculate scope 3 emissions</t>
  </si>
  <si>
    <t>https://www.huhtamaki.com/globalassets/global/highlights/responsibility/taking-a-closer-look-at-paper-cups-for-coffee.pdf</t>
  </si>
  <si>
    <t>Average size car, average of petrol, diesel and mild hybrid</t>
  </si>
  <si>
    <t>Average size car, full electric</t>
  </si>
  <si>
    <t>Average of national and international rail</t>
  </si>
  <si>
    <t>Source: Energy Institute - Statistical Review of World Energy &amp; Ember (via Our World in Data - https://ourworldindata.org/grapher/carbon-intensity-electricity). Most recent available figure used.</t>
  </si>
  <si>
    <t>Paper production per tonne</t>
  </si>
  <si>
    <t>Average plastics production per tonne</t>
  </si>
  <si>
    <t>Arbitrator 1</t>
  </si>
  <si>
    <t>Arbitrator 2</t>
  </si>
  <si>
    <t>Arbitrator 3</t>
  </si>
  <si>
    <t>Tribunal</t>
  </si>
  <si>
    <t>Mode of Travel</t>
  </si>
  <si>
    <t>Arbitrator 1 Hotel</t>
  </si>
  <si>
    <t>Arbitrator 2 Hotel</t>
  </si>
  <si>
    <t>Arbitrator 3 Hotel</t>
  </si>
  <si>
    <t>Hotel Type</t>
  </si>
  <si>
    <t>Was the hearing virtual?</t>
  </si>
  <si>
    <t>No</t>
  </si>
  <si>
    <t>Duration of arbitration</t>
  </si>
  <si>
    <t>Duration of hearing</t>
  </si>
  <si>
    <t>Claimant location</t>
  </si>
  <si>
    <t>Counsel location</t>
  </si>
  <si>
    <t>Expert location</t>
  </si>
  <si>
    <t>#</t>
  </si>
  <si>
    <t>In-person meetings</t>
  </si>
  <si>
    <t>Total duration of in-person meetings</t>
  </si>
  <si>
    <t>Team Size</t>
  </si>
  <si>
    <t>Claimant in-person meetings</t>
  </si>
  <si>
    <t>Respondent in-person meetings</t>
  </si>
  <si>
    <t>Respondent location</t>
  </si>
  <si>
    <t>Average number of attendees from Claimant</t>
  </si>
  <si>
    <t>Average number of attendees from Counsel</t>
  </si>
  <si>
    <t>Average number of attendees from Expert</t>
  </si>
  <si>
    <t>Average number of attendees from Respondent</t>
  </si>
  <si>
    <t>Number of printed memos/reports</t>
  </si>
  <si>
    <t>How many submissions in total?</t>
  </si>
  <si>
    <t>Assumed average of 100 pages per memo/report based on CGA insights</t>
  </si>
  <si>
    <t>3 printed memos/reports per phase, with printouts for half all team members</t>
  </si>
  <si>
    <t>Assumed one per person per in-person meeting</t>
  </si>
  <si>
    <t>Assumed two per person</t>
  </si>
  <si>
    <t>Assumed one per person</t>
  </si>
  <si>
    <t>Hotel Star</t>
  </si>
  <si>
    <t>Not known</t>
  </si>
  <si>
    <t>Assumed 5GB per phase/submission</t>
  </si>
  <si>
    <t>Hotel type (hearing)</t>
  </si>
  <si>
    <t>Hearing (if in person)</t>
  </si>
  <si>
    <t>Laptop + screen at office + screen at home annual per person</t>
  </si>
  <si>
    <t>Computer use</t>
  </si>
  <si>
    <t>https://www.biospheresustainable.com/en/blog/65/digital-carbon-footprint-what-is-involved-in-sending-an-email</t>
  </si>
  <si>
    <t>Computer Use Scope 2 (%)</t>
  </si>
  <si>
    <t>Computer Use Scope 3 (%)</t>
  </si>
  <si>
    <t xml:space="preserve">Computer Use </t>
  </si>
  <si>
    <t>Scope 2</t>
  </si>
  <si>
    <t>Scope 3</t>
  </si>
  <si>
    <t xml:space="preserve">Arbitrators </t>
  </si>
  <si>
    <t xml:space="preserve">Total Arbitrators </t>
  </si>
  <si>
    <t>Printing and email scope 2</t>
  </si>
  <si>
    <t>Computer Use Scope 2</t>
  </si>
  <si>
    <t>All Arbitrators</t>
  </si>
  <si>
    <t>Computer use scope 3</t>
  </si>
  <si>
    <t>Printing and email scope 3</t>
  </si>
  <si>
    <t>Data Storage Scope 3</t>
  </si>
  <si>
    <t>Material used Scope 3</t>
  </si>
  <si>
    <t>Laptop + screen at office + screen at home monthly per person assigned at this case</t>
  </si>
  <si>
    <t>Assuming 50% of each person's computer time is dedicated to this case</t>
  </si>
  <si>
    <t xml:space="preserve">Computer use time assigned on this case </t>
  </si>
  <si>
    <t>Assuming the average of all team members from Claimant's and Respondent's side</t>
  </si>
  <si>
    <t>Travel to Hearing</t>
  </si>
  <si>
    <t>Hotel Stays at Hearing Location</t>
  </si>
  <si>
    <t xml:space="preserve">Computer Manufacturing and Operating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</si>
</sst>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0.00000"/>
    <numFmt numFmtId="167" formatCode="_(* #,##0_);_(* \(#,##0\);_(* &quot;-&quot;??_);_(@_)"/>
    <numFmt numFmtId="168" formatCode="_(* #,##0.0_);_(* \(#,##0.0\);_(* &quot;-&quot;??_);_(@_)"/>
    <numFmt numFmtId="169" formatCode="0.0000"/>
    <numFmt numFmtId="170" formatCode="0.0%"/>
    <numFmt numFmtId="171" formatCode="#,##0.0000"/>
    <numFmt numFmtId="172" formatCode="#,##0.0000000"/>
    <numFmt numFmtId="173" formatCode="0.000"/>
    <numFmt numFmtId="175" formatCode="#,##0.00000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u/>
      <sz val="11"/>
      <color indexed="12"/>
      <name val="Calibri"/>
      <family val="2"/>
    </font>
    <font>
      <sz val="11"/>
      <name val="Aptos Narrow"/>
      <family val="2"/>
      <scheme val="minor"/>
    </font>
    <font>
      <i/>
      <sz val="10"/>
      <color rgb="FFFF0000"/>
      <name val="Arial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2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b/>
      <sz val="12"/>
      <color rgb="FF002060"/>
      <name val="Arial"/>
      <family val="2"/>
    </font>
    <font>
      <b/>
      <sz val="14"/>
      <color rgb="FF002060"/>
      <name val="Arial"/>
      <family val="2"/>
    </font>
    <font>
      <sz val="11"/>
      <color rgb="FF0000FF"/>
      <name val="Arial"/>
      <family val="2"/>
    </font>
    <font>
      <b/>
      <sz val="10"/>
      <color rgb="FF002060"/>
      <name val="Arial"/>
      <family val="2"/>
    </font>
    <font>
      <b/>
      <sz val="16"/>
      <color rgb="FF002060"/>
      <name val="Arial"/>
      <family val="2"/>
    </font>
    <font>
      <sz val="10"/>
      <color rgb="FF002060"/>
      <name val="Arial"/>
      <family val="2"/>
    </font>
    <font>
      <sz val="10"/>
      <color rgb="FF0000FF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9" tint="-0.499984740745262"/>
      <name val="Arial"/>
      <family val="2"/>
    </font>
    <font>
      <u/>
      <sz val="10"/>
      <color theme="1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2" fillId="0" borderId="0" applyFill="0" applyBorder="0"/>
    <xf numFmtId="0" fontId="1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9" fillId="12" borderId="27" applyNumberFormat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8" fillId="38" borderId="29" applyNumberFormat="0" applyAlignment="0" applyProtection="0"/>
    <xf numFmtId="0" fontId="38" fillId="39" borderId="30" applyNumberForma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8" fillId="40" borderId="26" applyNumberFormat="0" applyBorder="0" applyAlignment="0" applyProtection="0"/>
    <xf numFmtId="0" fontId="8" fillId="41" borderId="0">
      <alignment vertical="center"/>
    </xf>
    <xf numFmtId="0" fontId="8" fillId="5" borderId="31" applyNumberFormat="0" applyAlignment="0" applyProtection="0"/>
    <xf numFmtId="0" fontId="4" fillId="13" borderId="28" applyNumberFormat="0" applyFont="0" applyAlignment="0" applyProtection="0"/>
    <xf numFmtId="0" fontId="30" fillId="7" borderId="32" applyNumberFormat="0" applyAlignment="0" applyProtection="0"/>
    <xf numFmtId="9" fontId="13" fillId="0" borderId="0" applyFont="0" applyFill="0" applyBorder="0" applyAlignment="0" applyProtection="0"/>
    <xf numFmtId="0" fontId="8" fillId="42" borderId="33" applyNumberFormat="0" applyProtection="0">
      <alignment vertical="center"/>
    </xf>
    <xf numFmtId="0" fontId="30" fillId="43" borderId="0" applyNumberFormat="0" applyBorder="0" applyAlignment="0" applyProtection="0"/>
    <xf numFmtId="0" fontId="40" fillId="0" borderId="0">
      <alignment vertical="center" wrapText="1"/>
    </xf>
    <xf numFmtId="9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/>
    <xf numFmtId="0" fontId="2" fillId="0" borderId="0" xfId="0" applyFont="1"/>
    <xf numFmtId="0" fontId="14" fillId="0" borderId="6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9" fillId="4" borderId="10" xfId="0" applyFont="1" applyFill="1" applyBorder="1" applyAlignment="1">
      <alignment horizontal="left" vertical="center" indent="28"/>
    </xf>
    <xf numFmtId="0" fontId="9" fillId="4" borderId="11" xfId="0" applyFont="1" applyFill="1" applyBorder="1" applyAlignment="1">
      <alignment horizontal="left" vertical="center" indent="13"/>
    </xf>
    <xf numFmtId="0" fontId="9" fillId="4" borderId="12" xfId="0" applyFont="1" applyFill="1" applyBorder="1" applyAlignment="1">
      <alignment horizontal="left" vertical="center" indent="13"/>
    </xf>
    <xf numFmtId="0" fontId="16" fillId="4" borderId="13" xfId="0" applyFont="1" applyFill="1" applyBorder="1" applyAlignment="1">
      <alignment horizontal="center" wrapText="1"/>
    </xf>
    <xf numFmtId="0" fontId="16" fillId="4" borderId="0" xfId="0" applyFont="1" applyFill="1" applyAlignment="1">
      <alignment horizontal="center" wrapText="1"/>
    </xf>
    <xf numFmtId="0" fontId="17" fillId="5" borderId="14" xfId="0" applyFont="1" applyFill="1" applyBorder="1" applyAlignment="1">
      <alignment horizontal="left" vertical="center"/>
    </xf>
    <xf numFmtId="0" fontId="17" fillId="5" borderId="15" xfId="0" applyFont="1" applyFill="1" applyBorder="1" applyAlignment="1">
      <alignment horizontal="left" vertical="center"/>
    </xf>
    <xf numFmtId="0" fontId="17" fillId="5" borderId="16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wrapText="1"/>
    </xf>
    <xf numFmtId="0" fontId="9" fillId="4" borderId="0" xfId="0" applyFont="1" applyFill="1" applyAlignment="1">
      <alignment wrapText="1"/>
    </xf>
    <xf numFmtId="0" fontId="9" fillId="4" borderId="17" xfId="0" applyFont="1" applyFill="1" applyBorder="1" applyAlignment="1">
      <alignment wrapText="1"/>
    </xf>
    <xf numFmtId="0" fontId="9" fillId="4" borderId="18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9" fontId="9" fillId="4" borderId="5" xfId="0" applyNumberFormat="1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0" fillId="0" borderId="5" xfId="0" applyBorder="1"/>
    <xf numFmtId="167" fontId="18" fillId="3" borderId="4" xfId="1" applyNumberFormat="1" applyFont="1" applyFill="1" applyBorder="1" applyAlignment="1">
      <alignment horizontal="center"/>
    </xf>
    <xf numFmtId="168" fontId="18" fillId="3" borderId="5" xfId="1" applyNumberFormat="1" applyFont="1" applyFill="1" applyBorder="1" applyAlignment="1">
      <alignment horizontal="center"/>
    </xf>
    <xf numFmtId="0" fontId="6" fillId="0" borderId="5" xfId="0" applyFont="1" applyBorder="1"/>
    <xf numFmtId="0" fontId="16" fillId="0" borderId="5" xfId="0" applyFont="1" applyBorder="1"/>
    <xf numFmtId="0" fontId="2" fillId="0" borderId="5" xfId="0" applyFont="1" applyBorder="1"/>
    <xf numFmtId="0" fontId="9" fillId="4" borderId="7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0" fontId="20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left"/>
    </xf>
    <xf numFmtId="0" fontId="22" fillId="3" borderId="0" xfId="0" applyFont="1" applyFill="1"/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/>
    </xf>
    <xf numFmtId="3" fontId="23" fillId="3" borderId="0" xfId="0" applyNumberFormat="1" applyFont="1" applyFill="1" applyAlignment="1">
      <alignment horizontal="center"/>
    </xf>
    <xf numFmtId="0" fontId="21" fillId="3" borderId="0" xfId="0" applyFont="1" applyFill="1"/>
    <xf numFmtId="0" fontId="19" fillId="3" borderId="1" xfId="0" applyFont="1" applyFill="1" applyBorder="1" applyAlignment="1">
      <alignment horizontal="center"/>
    </xf>
    <xf numFmtId="0" fontId="20" fillId="3" borderId="1" xfId="0" applyFont="1" applyFill="1" applyBorder="1"/>
    <xf numFmtId="0" fontId="19" fillId="3" borderId="3" xfId="0" applyFont="1" applyFill="1" applyBorder="1"/>
    <xf numFmtId="0" fontId="20" fillId="3" borderId="3" xfId="0" applyFont="1" applyFill="1" applyBorder="1"/>
    <xf numFmtId="0" fontId="21" fillId="3" borderId="6" xfId="0" applyFont="1" applyFill="1" applyBorder="1" applyAlignment="1">
      <alignment horizontal="left" vertical="center"/>
    </xf>
    <xf numFmtId="0" fontId="21" fillId="3" borderId="6" xfId="0" applyFont="1" applyFill="1" applyBorder="1" applyAlignment="1">
      <alignment horizontal="center" vertical="center"/>
    </xf>
    <xf numFmtId="0" fontId="19" fillId="3" borderId="1" xfId="0" applyFont="1" applyFill="1" applyBorder="1"/>
    <xf numFmtId="0" fontId="19" fillId="6" borderId="15" xfId="0" applyFont="1" applyFill="1" applyBorder="1"/>
    <xf numFmtId="0" fontId="20" fillId="6" borderId="15" xfId="0" applyFont="1" applyFill="1" applyBorder="1"/>
    <xf numFmtId="0" fontId="20" fillId="3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/>
    </xf>
    <xf numFmtId="0" fontId="21" fillId="3" borderId="6" xfId="0" applyFont="1" applyFill="1" applyBorder="1" applyAlignment="1">
      <alignment horizontal="left"/>
    </xf>
    <xf numFmtId="0" fontId="25" fillId="3" borderId="0" xfId="0" applyFont="1" applyFill="1"/>
    <xf numFmtId="0" fontId="26" fillId="3" borderId="0" xfId="0" applyFont="1" applyFill="1"/>
    <xf numFmtId="0" fontId="24" fillId="3" borderId="0" xfId="0" applyFont="1" applyFill="1" applyAlignment="1">
      <alignment horizontal="center" vertical="center"/>
    </xf>
    <xf numFmtId="0" fontId="26" fillId="3" borderId="5" xfId="0" applyFont="1" applyFill="1" applyBorder="1" applyAlignment="1">
      <alignment vertical="center"/>
    </xf>
    <xf numFmtId="0" fontId="26" fillId="3" borderId="5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/>
    </xf>
    <xf numFmtId="2" fontId="26" fillId="3" borderId="5" xfId="0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horizontal="left"/>
    </xf>
    <xf numFmtId="0" fontId="31" fillId="7" borderId="0" xfId="0" applyFont="1" applyFill="1" applyAlignment="1">
      <alignment horizontal="center"/>
    </xf>
    <xf numFmtId="2" fontId="20" fillId="3" borderId="0" xfId="0" applyNumberFormat="1" applyFont="1" applyFill="1" applyAlignment="1">
      <alignment horizontal="center"/>
    </xf>
    <xf numFmtId="2" fontId="28" fillId="3" borderId="0" xfId="0" applyNumberFormat="1" applyFont="1" applyFill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172" fontId="20" fillId="3" borderId="0" xfId="0" applyNumberFormat="1" applyFont="1" applyFill="1" applyAlignment="1">
      <alignment horizontal="center"/>
    </xf>
    <xf numFmtId="166" fontId="26" fillId="3" borderId="5" xfId="0" applyNumberFormat="1" applyFont="1" applyFill="1" applyBorder="1" applyAlignment="1">
      <alignment horizontal="center" vertical="center"/>
    </xf>
    <xf numFmtId="165" fontId="20" fillId="3" borderId="0" xfId="0" applyNumberFormat="1" applyFont="1" applyFill="1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center" vertical="center"/>
    </xf>
    <xf numFmtId="0" fontId="25" fillId="2" borderId="0" xfId="0" applyFont="1" applyFill="1"/>
    <xf numFmtId="0" fontId="21" fillId="2" borderId="0" xfId="0" applyFont="1" applyFill="1"/>
    <xf numFmtId="0" fontId="20" fillId="2" borderId="0" xfId="0" applyFont="1" applyFill="1"/>
    <xf numFmtId="0" fontId="21" fillId="2" borderId="6" xfId="0" applyFont="1" applyFill="1" applyBorder="1" applyAlignment="1">
      <alignment horizontal="left"/>
    </xf>
    <xf numFmtId="0" fontId="21" fillId="2" borderId="6" xfId="0" applyFont="1" applyFill="1" applyBorder="1"/>
    <xf numFmtId="0" fontId="20" fillId="2" borderId="6" xfId="0" applyFont="1" applyFill="1" applyBorder="1"/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19" fillId="2" borderId="0" xfId="0" applyFont="1" applyFill="1"/>
    <xf numFmtId="0" fontId="26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170" fontId="26" fillId="0" borderId="5" xfId="0" applyNumberFormat="1" applyFont="1" applyBorder="1" applyAlignment="1">
      <alignment horizontal="center" vertical="center"/>
    </xf>
    <xf numFmtId="3" fontId="20" fillId="3" borderId="0" xfId="0" applyNumberFormat="1" applyFont="1" applyFill="1" applyAlignment="1">
      <alignment horizontal="center"/>
    </xf>
    <xf numFmtId="3" fontId="19" fillId="6" borderId="15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3" fontId="19" fillId="3" borderId="3" xfId="0" applyNumberFormat="1" applyFont="1" applyFill="1" applyBorder="1" applyAlignment="1">
      <alignment horizontal="center"/>
    </xf>
    <xf numFmtId="169" fontId="23" fillId="3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0" fillId="0" borderId="0" xfId="0" applyFont="1"/>
    <xf numFmtId="166" fontId="26" fillId="0" borderId="5" xfId="0" applyNumberFormat="1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/>
    </xf>
    <xf numFmtId="0" fontId="24" fillId="3" borderId="0" xfId="0" applyFont="1" applyFill="1" applyAlignment="1">
      <alignment horizontal="left"/>
    </xf>
    <xf numFmtId="2" fontId="26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left"/>
    </xf>
    <xf numFmtId="0" fontId="21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 vertical="center"/>
    </xf>
    <xf numFmtId="0" fontId="3" fillId="3" borderId="0" xfId="2" applyFill="1" applyAlignment="1">
      <alignment horizontal="left"/>
    </xf>
    <xf numFmtId="4" fontId="20" fillId="3" borderId="0" xfId="0" applyNumberFormat="1" applyFont="1" applyFill="1" applyAlignment="1">
      <alignment horizontal="center"/>
    </xf>
    <xf numFmtId="4" fontId="19" fillId="3" borderId="0" xfId="0" applyNumberFormat="1" applyFont="1" applyFill="1" applyAlignment="1">
      <alignment horizontal="center"/>
    </xf>
    <xf numFmtId="4" fontId="19" fillId="3" borderId="3" xfId="0" applyNumberFormat="1" applyFont="1" applyFill="1" applyBorder="1" applyAlignment="1">
      <alignment horizontal="center"/>
    </xf>
    <xf numFmtId="0" fontId="27" fillId="8" borderId="5" xfId="0" applyFont="1" applyFill="1" applyBorder="1" applyAlignment="1">
      <alignment horizontal="center" vertical="center"/>
    </xf>
    <xf numFmtId="0" fontId="31" fillId="7" borderId="0" xfId="0" applyFont="1" applyFill="1"/>
    <xf numFmtId="0" fontId="31" fillId="7" borderId="0" xfId="0" applyFont="1" applyFill="1" applyAlignment="1">
      <alignment horizontal="center" vertical="center"/>
    </xf>
    <xf numFmtId="0" fontId="20" fillId="3" borderId="0" xfId="0" quotePrefix="1" applyFont="1" applyFill="1"/>
    <xf numFmtId="0" fontId="31" fillId="7" borderId="0" xfId="0" applyFont="1" applyFill="1" applyAlignment="1">
      <alignment vertical="center"/>
    </xf>
    <xf numFmtId="2" fontId="26" fillId="3" borderId="20" xfId="0" applyNumberFormat="1" applyFont="1" applyFill="1" applyBorder="1" applyAlignment="1">
      <alignment horizontal="center"/>
    </xf>
    <xf numFmtId="2" fontId="26" fillId="3" borderId="2" xfId="0" applyNumberFormat="1" applyFont="1" applyFill="1" applyBorder="1" applyAlignment="1">
      <alignment horizontal="center"/>
    </xf>
    <xf numFmtId="2" fontId="26" fillId="3" borderId="21" xfId="0" applyNumberFormat="1" applyFont="1" applyFill="1" applyBorder="1" applyAlignment="1">
      <alignment horizontal="center"/>
    </xf>
    <xf numFmtId="2" fontId="26" fillId="3" borderId="23" xfId="0" applyNumberFormat="1" applyFont="1" applyFill="1" applyBorder="1" applyAlignment="1">
      <alignment horizontal="center"/>
    </xf>
    <xf numFmtId="2" fontId="26" fillId="3" borderId="0" xfId="0" applyNumberFormat="1" applyFont="1" applyFill="1" applyAlignment="1">
      <alignment horizontal="center"/>
    </xf>
    <xf numFmtId="2" fontId="26" fillId="3" borderId="24" xfId="0" applyNumberFormat="1" applyFont="1" applyFill="1" applyBorder="1" applyAlignment="1">
      <alignment horizontal="center"/>
    </xf>
    <xf numFmtId="2" fontId="26" fillId="3" borderId="22" xfId="0" applyNumberFormat="1" applyFont="1" applyFill="1" applyBorder="1" applyAlignment="1">
      <alignment horizontal="center"/>
    </xf>
    <xf numFmtId="2" fontId="26" fillId="3" borderId="1" xfId="0" applyNumberFormat="1" applyFont="1" applyFill="1" applyBorder="1" applyAlignment="1">
      <alignment horizontal="center"/>
    </xf>
    <xf numFmtId="2" fontId="26" fillId="3" borderId="25" xfId="0" applyNumberFormat="1" applyFont="1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0" fontId="20" fillId="6" borderId="8" xfId="0" applyFont="1" applyFill="1" applyBorder="1"/>
    <xf numFmtId="0" fontId="20" fillId="6" borderId="6" xfId="0" applyFont="1" applyFill="1" applyBorder="1"/>
    <xf numFmtId="3" fontId="20" fillId="6" borderId="6" xfId="0" applyNumberFormat="1" applyFont="1" applyFill="1" applyBorder="1" applyAlignment="1">
      <alignment horizontal="center"/>
    </xf>
    <xf numFmtId="3" fontId="20" fillId="6" borderId="8" xfId="0" applyNumberFormat="1" applyFont="1" applyFill="1" applyBorder="1" applyAlignment="1">
      <alignment horizontal="center"/>
    </xf>
    <xf numFmtId="2" fontId="0" fillId="0" borderId="0" xfId="0" applyNumberFormat="1"/>
    <xf numFmtId="173" fontId="23" fillId="3" borderId="0" xfId="0" applyNumberFormat="1" applyFont="1" applyFill="1" applyAlignment="1">
      <alignment horizontal="center"/>
    </xf>
    <xf numFmtId="0" fontId="41" fillId="3" borderId="0" xfId="2" applyFont="1" applyFill="1" applyAlignment="1"/>
    <xf numFmtId="0" fontId="41" fillId="3" borderId="0" xfId="2" applyFont="1" applyFill="1" applyAlignment="1">
      <alignment horizontal="left"/>
    </xf>
    <xf numFmtId="0" fontId="20" fillId="3" borderId="0" xfId="0" applyFont="1" applyFill="1" applyAlignment="1">
      <alignment horizontal="left" vertical="center"/>
    </xf>
    <xf numFmtId="171" fontId="23" fillId="3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6" fillId="3" borderId="34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/>
    </xf>
    <xf numFmtId="0" fontId="21" fillId="2" borderId="6" xfId="0" applyFont="1" applyFill="1" applyBorder="1" applyAlignment="1">
      <alignment horizontal="left"/>
    </xf>
    <xf numFmtId="166" fontId="26" fillId="0" borderId="0" xfId="0" applyNumberFormat="1" applyFont="1" applyBorder="1" applyAlignment="1">
      <alignment horizontal="center" vertical="center"/>
    </xf>
    <xf numFmtId="0" fontId="20" fillId="44" borderId="0" xfId="0" applyFont="1" applyFill="1"/>
    <xf numFmtId="0" fontId="20" fillId="44" borderId="0" xfId="0" applyFont="1" applyFill="1" applyAlignment="1">
      <alignment horizontal="center"/>
    </xf>
    <xf numFmtId="0" fontId="23" fillId="44" borderId="0" xfId="0" applyFont="1" applyFill="1" applyAlignment="1">
      <alignment horizontal="center"/>
    </xf>
    <xf numFmtId="0" fontId="20" fillId="44" borderId="0" xfId="0" applyFont="1" applyFill="1" applyAlignment="1">
      <alignment horizontal="left"/>
    </xf>
    <xf numFmtId="173" fontId="23" fillId="44" borderId="0" xfId="0" applyNumberFormat="1" applyFont="1" applyFill="1" applyAlignment="1">
      <alignment horizontal="center"/>
    </xf>
    <xf numFmtId="0" fontId="3" fillId="44" borderId="0" xfId="2" applyFill="1" applyAlignment="1">
      <alignment horizontal="left"/>
    </xf>
    <xf numFmtId="9" fontId="23" fillId="44" borderId="0" xfId="0" applyNumberFormat="1" applyFont="1" applyFill="1" applyAlignment="1">
      <alignment horizontal="center"/>
    </xf>
    <xf numFmtId="0" fontId="26" fillId="44" borderId="0" xfId="0" applyFont="1" applyFill="1" applyAlignment="1">
      <alignment vertical="center"/>
    </xf>
    <xf numFmtId="166" fontId="26" fillId="44" borderId="0" xfId="0" applyNumberFormat="1" applyFont="1" applyFill="1" applyBorder="1" applyAlignment="1">
      <alignment horizontal="center" vertical="center"/>
    </xf>
    <xf numFmtId="166" fontId="26" fillId="44" borderId="5" xfId="0" applyNumberFormat="1" applyFont="1" applyFill="1" applyBorder="1" applyAlignment="1">
      <alignment horizontal="center" vertical="center"/>
    </xf>
    <xf numFmtId="0" fontId="20" fillId="44" borderId="1" xfId="0" applyFont="1" applyFill="1" applyBorder="1"/>
    <xf numFmtId="4" fontId="20" fillId="44" borderId="1" xfId="0" applyNumberFormat="1" applyFont="1" applyFill="1" applyBorder="1" applyAlignment="1">
      <alignment horizontal="center"/>
    </xf>
    <xf numFmtId="4" fontId="20" fillId="44" borderId="0" xfId="0" applyNumberFormat="1" applyFont="1" applyFill="1" applyAlignment="1">
      <alignment horizontal="center"/>
    </xf>
    <xf numFmtId="0" fontId="19" fillId="3" borderId="0" xfId="0" applyFont="1" applyFill="1" applyBorder="1"/>
    <xf numFmtId="0" fontId="19" fillId="44" borderId="0" xfId="0" applyFont="1" applyFill="1"/>
    <xf numFmtId="165" fontId="20" fillId="44" borderId="0" xfId="0" applyNumberFormat="1" applyFont="1" applyFill="1" applyAlignment="1">
      <alignment horizontal="center"/>
    </xf>
    <xf numFmtId="0" fontId="19" fillId="44" borderId="3" xfId="0" applyFont="1" applyFill="1" applyBorder="1"/>
    <xf numFmtId="0" fontId="24" fillId="44" borderId="0" xfId="0" applyFont="1" applyFill="1" applyAlignment="1">
      <alignment horizontal="left"/>
    </xf>
    <xf numFmtId="2" fontId="26" fillId="44" borderId="5" xfId="0" applyNumberFormat="1" applyFont="1" applyFill="1" applyBorder="1" applyAlignment="1">
      <alignment horizontal="center" vertical="center"/>
    </xf>
    <xf numFmtId="0" fontId="24" fillId="44" borderId="0" xfId="0" applyFont="1" applyFill="1" applyAlignment="1">
      <alignment vertical="center"/>
    </xf>
    <xf numFmtId="171" fontId="20" fillId="44" borderId="0" xfId="0" applyNumberFormat="1" applyFont="1" applyFill="1" applyAlignment="1">
      <alignment horizontal="center"/>
    </xf>
    <xf numFmtId="175" fontId="20" fillId="44" borderId="0" xfId="0" applyNumberFormat="1" applyFont="1" applyFill="1" applyAlignment="1">
      <alignment horizontal="center"/>
    </xf>
  </cellXfs>
  <cellStyles count="57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14" builtinId="27" customBuiltin="1"/>
    <cellStyle name="Calculation 2" xfId="42" xr:uid="{ACC7A2D0-F877-417B-A839-FE32C1E72F2F}"/>
    <cellStyle name="Calculation 3" xfId="41" xr:uid="{229F49B5-F4CD-421E-A711-00A4A8A41AB7}"/>
    <cellStyle name="Check Cell" xfId="16" builtinId="23" customBuiltin="1"/>
    <cellStyle name="Comma" xfId="1" builtinId="3"/>
    <cellStyle name="Comma 2" xfId="5" xr:uid="{FC8AAED3-3603-40C9-9534-B35D9C88A2DA}"/>
    <cellStyle name="Comma 2 2" xfId="9" xr:uid="{745661ED-8DFD-4CA7-8797-1214E83283A0}"/>
    <cellStyle name="Comma 2 3" xfId="44" xr:uid="{CD8B4349-912C-4161-9CAC-3B19FF1A9233}"/>
    <cellStyle name="Comma 3" xfId="43" xr:uid="{9B4F3D96-48D2-4B1F-B03F-D2C02B8B270E}"/>
    <cellStyle name="Explanatory Text 2" xfId="6" xr:uid="{3CC09E59-7878-4AF9-BB51-B7FFBF23BD2D}"/>
    <cellStyle name="Followed Hyperlink 2" xfId="45" xr:uid="{7196F20C-030D-4764-968D-9BBDE801EA8F}"/>
    <cellStyle name="Good" xfId="13" builtinId="26" customBuiltin="1"/>
    <cellStyle name="Hyperlink" xfId="2" builtinId="8"/>
    <cellStyle name="Hyperlink 2" xfId="4" xr:uid="{9939F2BA-F5B4-4A63-A7D6-698C79A294B0}"/>
    <cellStyle name="Hyperlink 2 2" xfId="56" xr:uid="{359F53D2-0F82-425D-93AB-0E3D40635F8C}"/>
    <cellStyle name="Hyperlink 3" xfId="8" xr:uid="{B48148C8-85F7-475A-ABE4-E09830371578}"/>
    <cellStyle name="Hyperlink 4" xfId="11" xr:uid="{877CFEE7-FB62-47EB-94F0-BE1B859996FD}"/>
    <cellStyle name="Input 2" xfId="46" xr:uid="{DA829F01-EAD2-4B2B-BBC7-F4BA9221BCD9}"/>
    <cellStyle name="Input data" xfId="47" xr:uid="{3DEB98A1-C4BF-45EC-AAB3-794D010B4655}"/>
    <cellStyle name="Linked Cell 2" xfId="48" xr:uid="{905BCD25-9416-429B-9041-BCEF2C757352}"/>
    <cellStyle name="Neutral" xfId="15" builtinId="28" customBuiltin="1"/>
    <cellStyle name="Normal" xfId="0" builtinId="0"/>
    <cellStyle name="Normal 2" xfId="3" xr:uid="{52FF539A-77DA-4F95-8E5C-C0A7590EC6D4}"/>
    <cellStyle name="Normal 2 2" xfId="10" xr:uid="{06E1A87A-5B9A-4F52-84BF-0E7DB01BD415}"/>
    <cellStyle name="Normal 3" xfId="7" xr:uid="{82A08302-D1B1-4320-A5F3-8D5E5DA470C1}"/>
    <cellStyle name="Normal 4" xfId="54" xr:uid="{814A4755-74FE-4611-9FBA-A0F7F5D62E71}"/>
    <cellStyle name="Note 2" xfId="49" xr:uid="{70C56D24-EE8B-4038-9FEA-A4C418ABA0BE}"/>
    <cellStyle name="Output 2" xfId="50" xr:uid="{499777AC-6B20-41E8-88D1-1261AB09EA7E}"/>
    <cellStyle name="Percent 2" xfId="51" xr:uid="{A4F136A1-6B64-4009-9DB3-9A2E7F5A530B}"/>
    <cellStyle name="Percent 3" xfId="55" xr:uid="{E39E130F-6388-418D-9293-D2FDC45DD29E}"/>
    <cellStyle name="Selection" xfId="52" xr:uid="{C9E2434E-EB4D-4813-B18E-06D391CEB79E}"/>
    <cellStyle name="Title" xfId="12" builtinId="15" customBuiltin="1"/>
    <cellStyle name="Warning Text 2" xfId="53" xr:uid="{29FF10A6-8040-463F-8BA8-E823101DF85E}"/>
  </cellStyles>
  <dxfs count="184"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DBB02-5254-41A4-8F76-64D55BA40F43}" name="Country_Table" displayName="Country_Table" ref="L11:GI15" totalsRowShown="0" headerRowDxfId="183" dataDxfId="182">
  <autoFilter ref="L11:GI15" xr:uid="{84FDBB02-5254-41A4-8F76-64D55BA40F43}"/>
  <tableColumns count="180">
    <tableColumn id="1" xr3:uid="{6333982A-ABDA-402C-9918-E31D166A010A}" name="Afghanistan" dataDxfId="181"/>
    <tableColumn id="2" xr3:uid="{B4D4B37F-62D9-4594-B558-5374131C3740}" name="Algeria" dataDxfId="180"/>
    <tableColumn id="3" xr3:uid="{574D15AE-F577-49CC-8C09-F4111AA2C6AF}" name="Andorra" dataDxfId="179"/>
    <tableColumn id="4" xr3:uid="{29B3438F-A599-4970-B54A-747A8F481D2F}" name="Angola" dataDxfId="178"/>
    <tableColumn id="5" xr3:uid="{DDB80930-FC6E-4CAB-8257-8B274DB68C41}" name="Antigua and Barbuda" dataDxfId="177"/>
    <tableColumn id="6" xr3:uid="{FBD1EA0E-3A1A-44AC-AC0F-42152AE1EED0}" name="Argentina" dataDxfId="176"/>
    <tableColumn id="7" xr3:uid="{5E65181F-D271-4655-AD18-35E1FB89B50F}" name="Armenia" dataDxfId="175"/>
    <tableColumn id="8" xr3:uid="{6514E86C-EEB2-4805-AE7E-736E3C2F28B3}" name="Australia" dataDxfId="174"/>
    <tableColumn id="9" xr3:uid="{78E1C542-816A-4F1A-BAE9-3CF39E5B483C}" name="Austria" dataDxfId="173"/>
    <tableColumn id="10" xr3:uid="{054AA1D0-4337-407E-B89B-D358959F3351}" name="Azerbaijan" dataDxfId="172"/>
    <tableColumn id="11" xr3:uid="{F4D3E7E7-BE55-47E1-8CCD-1ABC25B8B8C8}" name="Bahamas" dataDxfId="171"/>
    <tableColumn id="12" xr3:uid="{8D900C9F-ADB0-474C-82F4-47BB98E43D96}" name="Bahrain" dataDxfId="170"/>
    <tableColumn id="13" xr3:uid="{F45F77AA-2256-4D82-8267-AB49C2233BB6}" name="Bangladesh" dataDxfId="169"/>
    <tableColumn id="14" xr3:uid="{6A6FEC8C-FE39-4D10-B23E-7AAB3BACBF37}" name="Barbados" dataDxfId="168"/>
    <tableColumn id="15" xr3:uid="{CBB7153D-4DE1-4A8A-AD9E-2E04A2E47A11}" name="Belarus" dataDxfId="167"/>
    <tableColumn id="16" xr3:uid="{2F00EE28-B72D-4540-9C4E-B16C03C4F44F}" name="Belgium" dataDxfId="166"/>
    <tableColumn id="17" xr3:uid="{9FCE0748-2DD0-4DAC-AF19-E8BACE761545}" name="Belize" dataDxfId="165"/>
    <tableColumn id="18" xr3:uid="{B5B91A97-4F45-4DFC-BF7B-2A7158E0853B}" name="Benin" dataDxfId="164"/>
    <tableColumn id="19" xr3:uid="{BAB7F264-4BCA-49CA-8D4E-7A2793565DF1}" name="Bhutan" dataDxfId="163"/>
    <tableColumn id="20" xr3:uid="{917FA74A-C430-44AD-B3D4-1E6D1F0F0F1E}" name="Bolivia" dataDxfId="162"/>
    <tableColumn id="21" xr3:uid="{6EAE09F0-3BAC-4C25-A50C-62E8C546C48B}" name="Bosnia and Herzegovina" dataDxfId="161"/>
    <tableColumn id="22" xr3:uid="{DF054E85-075E-45C9-BFE0-01569BA2A715}" name="Botswana" dataDxfId="160"/>
    <tableColumn id="23" xr3:uid="{7EB6454D-AE94-43FB-A35A-607A46148B04}" name="Brazil" dataDxfId="159"/>
    <tableColumn id="24" xr3:uid="{F3A76340-0778-4F04-A282-B0C00E6D5EF0}" name="Brunei" dataDxfId="158"/>
    <tableColumn id="25" xr3:uid="{6C27FA48-28B9-4A30-8224-0AA24ED28748}" name="Bulgaria" dataDxfId="157"/>
    <tableColumn id="26" xr3:uid="{887B087E-0299-48A5-83EF-ED799B7047CC}" name="Burkina Faso" dataDxfId="156"/>
    <tableColumn id="27" xr3:uid="{A6CA97D7-5095-407D-8F61-0974440840CB}" name="Burundi" dataDxfId="155"/>
    <tableColumn id="28" xr3:uid="{B98B7F48-4311-456C-ABE1-A35CBCD10A8F}" name="Cabo Verde" dataDxfId="154"/>
    <tableColumn id="29" xr3:uid="{D28A7D92-1297-4AC1-9B3B-295EF2DC7BBE}" name="Cambodia" dataDxfId="153"/>
    <tableColumn id="30" xr3:uid="{A1153659-E9BE-4BA5-8890-05102D2F2B27}" name="Cameroon" dataDxfId="152"/>
    <tableColumn id="31" xr3:uid="{69A22AD5-8444-4502-A834-2D9C6EA5D72E}" name="Canada" dataDxfId="151"/>
    <tableColumn id="32" xr3:uid="{F320ECEA-8DDE-4140-A221-5CE54A2DCC51}" name="Central African Republic" dataDxfId="150"/>
    <tableColumn id="33" xr3:uid="{4EE5E41C-A20F-4E19-BDD6-02A5BB5649E0}" name="Chad" dataDxfId="149"/>
    <tableColumn id="34" xr3:uid="{01007582-7FCF-46BE-BAA8-2B5CC7C5B7CA}" name="Chile" dataDxfId="148"/>
    <tableColumn id="35" xr3:uid="{579F30B8-9E64-423F-8D3F-ABD6F1427741}" name="China" dataDxfId="147"/>
    <tableColumn id="36" xr3:uid="{431E699B-AB6C-421F-80BF-5F9FD4E41B32}" name="Colombia" dataDxfId="146"/>
    <tableColumn id="37" xr3:uid="{963888B9-542A-4409-B2E5-4936AB150BEF}" name="Comoros" dataDxfId="145"/>
    <tableColumn id="38" xr3:uid="{73F6CBCE-B83D-4886-988E-EE80FE8D517C}" name="Congo" dataDxfId="144"/>
    <tableColumn id="39" xr3:uid="{F321B72A-D403-4091-B500-8AA182CBBA96}" name="Costa Rica" dataDxfId="143"/>
    <tableColumn id="40" xr3:uid="{3EF1B9E8-6FAB-46E3-9099-8B3075BFA9F6}" name="Côte d'Ivoire" dataDxfId="142"/>
    <tableColumn id="41" xr3:uid="{B3FBC8ED-20F2-4318-BF85-CF992018F9D9}" name="Croatia" dataDxfId="141"/>
    <tableColumn id="42" xr3:uid="{E7764733-810E-457F-BDCF-32B01A51CB2B}" name="Cuba" dataDxfId="140"/>
    <tableColumn id="43" xr3:uid="{F0969532-76FF-4C28-98B7-BD73A519DEB6}" name="Cyprus" dataDxfId="139"/>
    <tableColumn id="44" xr3:uid="{C1A88455-A5C2-4905-AD26-45AAA251186A}" name="Czechia" dataDxfId="138"/>
    <tableColumn id="45" xr3:uid="{D9C52004-3192-4A9C-8243-AD78691EDF4A}" name="Denmark" dataDxfId="137"/>
    <tableColumn id="46" xr3:uid="{485E30E1-D729-48D0-978F-798FE09BD7DD}" name="Djibouti" dataDxfId="136"/>
    <tableColumn id="47" xr3:uid="{3C5255E7-7DEA-4869-A4F4-03858BFB02D5}" name="Dominica" dataDxfId="135"/>
    <tableColumn id="48" xr3:uid="{C5633F1F-B0E7-44FF-9975-1CC690FEECF4}" name="Dominican Republic" dataDxfId="134"/>
    <tableColumn id="49" xr3:uid="{DC2CC5A4-1818-4B92-8400-59DBAED08021}" name="DR Congo" dataDxfId="133"/>
    <tableColumn id="50" xr3:uid="{44CC75D2-9E7B-46C0-9B4C-B30280780366}" name="Ecuador" dataDxfId="132"/>
    <tableColumn id="51" xr3:uid="{759EC302-587E-45C6-B1E3-8E80DC8E8C60}" name="Egypt" dataDxfId="131"/>
    <tableColumn id="52" xr3:uid="{EC35F3A5-C103-434F-8F96-80100CDFAB58}" name="El Salvador" dataDxfId="130"/>
    <tableColumn id="53" xr3:uid="{3B13C22C-6B4F-4443-BB66-1F63BB7B87CD}" name="Equatorial Guinea" dataDxfId="129"/>
    <tableColumn id="54" xr3:uid="{1BA35A58-BBA1-45A2-8F37-B119271588BA}" name="Eritrea" dataDxfId="128"/>
    <tableColumn id="55" xr3:uid="{017E247A-1619-48B4-B10F-B49A2C0E5E5E}" name="Estonia" dataDxfId="127"/>
    <tableColumn id="56" xr3:uid="{B4FB126F-FA77-4986-806E-EDDF3272EFC9}" name="Eswatini" dataDxfId="126"/>
    <tableColumn id="57" xr3:uid="{B850DC7A-4C37-4C69-A2B0-AFC97C945919}" name="Ethiopia" dataDxfId="125"/>
    <tableColumn id="58" xr3:uid="{A954F9A7-1826-467B-9E5E-4BD86AAE6694}" name="Finland" dataDxfId="124"/>
    <tableColumn id="59" xr3:uid="{E7584BC8-1C86-4196-8135-FA14A056128C}" name="France" dataDxfId="123"/>
    <tableColumn id="60" xr3:uid="{7A9743E4-2E97-454D-A0A0-260108878FC8}" name="Gabon" dataDxfId="122"/>
    <tableColumn id="61" xr3:uid="{9E8DDCCA-446A-4ED6-8AFE-18FAE2BCFD47}" name="Gambia" dataDxfId="121"/>
    <tableColumn id="62" xr3:uid="{603255AB-F888-48AA-8DF8-6831D7F6D986}" name="Georgia" dataDxfId="120"/>
    <tableColumn id="63" xr3:uid="{6CCCCC1B-18AA-4978-91EB-4E8300AD9D33}" name="Germany" dataDxfId="119"/>
    <tableColumn id="64" xr3:uid="{A9E31A8E-7366-47B3-9800-C53734DCDFE9}" name="Ghana" dataDxfId="118"/>
    <tableColumn id="65" xr3:uid="{101667D3-19A7-41E5-896A-080F0117E0E3}" name="Greece" dataDxfId="117"/>
    <tableColumn id="66" xr3:uid="{C1FA1BFE-99ED-4ED1-ADE9-EFE0BA18D610}" name="Grenada" dataDxfId="116"/>
    <tableColumn id="67" xr3:uid="{B429BDF2-B5F9-457A-9690-E365638B28CE}" name="Guatemala" dataDxfId="115"/>
    <tableColumn id="68" xr3:uid="{861F4B3E-7907-472B-874E-10D4E66ABD81}" name="Guinea" dataDxfId="114"/>
    <tableColumn id="69" xr3:uid="{19926965-FC18-4062-9AA3-5563F4E55525}" name="Guinea-Bissau" dataDxfId="113"/>
    <tableColumn id="70" xr3:uid="{2A0FD896-B4B0-4826-853D-482C1D834F85}" name="Guyana" dataDxfId="112"/>
    <tableColumn id="71" xr3:uid="{03CB6F04-1C7B-45FE-9342-E09D7C413DB9}" name="Haiti" dataDxfId="111"/>
    <tableColumn id="72" xr3:uid="{8BA71191-544D-4D74-ABA0-AA5C1701C74B}" name="Honduras" dataDxfId="110"/>
    <tableColumn id="73" xr3:uid="{B9416583-B041-4292-97DB-94C5A425058C}" name="Hungary" dataDxfId="109"/>
    <tableColumn id="74" xr3:uid="{ACE60204-A3BB-4C25-8DC0-1FEACE381456}" name="Iceland" dataDxfId="108"/>
    <tableColumn id="75" xr3:uid="{E3064DC4-7CDD-4D6A-BF7A-C59199FCA2E1}" name="India" dataDxfId="107"/>
    <tableColumn id="76" xr3:uid="{AD6E6B90-74E3-41E6-A1C7-309B38784E6E}" name="Indonesia" dataDxfId="106"/>
    <tableColumn id="77" xr3:uid="{E08F8D33-C899-4C12-AD6F-D656AB3D2408}" name="Iran" dataDxfId="105"/>
    <tableColumn id="78" xr3:uid="{6FC6D497-0E61-4055-8D4E-69125594596E}" name="Iraq" dataDxfId="104"/>
    <tableColumn id="79" xr3:uid="{56380F17-BCB0-4DE1-8187-5F0D9A24E8D8}" name="Ireland" dataDxfId="103"/>
    <tableColumn id="80" xr3:uid="{A3C85BDD-10EF-4744-8176-9DD5BEA830DD}" name="Israel" dataDxfId="102"/>
    <tableColumn id="81" xr3:uid="{277F1EDC-D16D-48F1-8444-9AA9862EE056}" name="Italy" dataDxfId="101"/>
    <tableColumn id="82" xr3:uid="{0AA92438-70A5-48B8-A0ED-1218D9B3839A}" name="Jamaica" dataDxfId="100"/>
    <tableColumn id="83" xr3:uid="{B18BFEB0-AD16-46CB-8774-72889E2C5F55}" name="Japan" dataDxfId="99"/>
    <tableColumn id="84" xr3:uid="{93892F57-FAF6-46D8-A909-1CFB738A729C}" name="Jordan" dataDxfId="98"/>
    <tableColumn id="85" xr3:uid="{AA4EFA7C-48AE-4C19-BDA9-DD12C3FE5808}" name="Kazakhstan" dataDxfId="97"/>
    <tableColumn id="86" xr3:uid="{274142E9-AE69-4A3B-9EC2-1690A6283F25}" name="Kenya" dataDxfId="96"/>
    <tableColumn id="87" xr3:uid="{3F61E230-005C-4D73-A20A-13FFAD15E685}" name="Kuwait" dataDxfId="95"/>
    <tableColumn id="88" xr3:uid="{8B955B27-4BD6-4916-95A0-F0A0A0F817D9}" name="Kyrgyzstan" dataDxfId="94"/>
    <tableColumn id="89" xr3:uid="{899037BD-5857-436A-A93B-611DBFA07AA5}" name="Laos" dataDxfId="93"/>
    <tableColumn id="90" xr3:uid="{A27BC2C1-836B-4499-9737-D170365AB8E3}" name="Latvia" dataDxfId="92"/>
    <tableColumn id="91" xr3:uid="{0DB96BBA-9B00-4544-8C28-7AACCD27A4DA}" name="Lebanon" dataDxfId="91"/>
    <tableColumn id="92" xr3:uid="{72D0D0D4-CFC7-4816-BBDD-6F7411BF2FED}" name="Lesotho" dataDxfId="90"/>
    <tableColumn id="93" xr3:uid="{6790F6E9-EAA5-4A0C-9DF9-FFDD59C6506D}" name="Liberia" dataDxfId="89"/>
    <tableColumn id="94" xr3:uid="{790CE318-80FA-4F8F-A269-B87EBB8F04B4}" name="Libya" dataDxfId="88"/>
    <tableColumn id="95" xr3:uid="{85956908-EDE0-46EE-99D2-260FAE7B5C19}" name="Liechtenstein" dataDxfId="87"/>
    <tableColumn id="96" xr3:uid="{51B9B856-55EE-442C-9B78-5429DC79D7FE}" name="Lithuania" dataDxfId="86"/>
    <tableColumn id="97" xr3:uid="{12A83829-F1C3-442A-93E1-E624AB1ED583}" name="Luxembourg" dataDxfId="85"/>
    <tableColumn id="98" xr3:uid="{6981792F-3494-4E21-84E0-DF18B799B393}" name="Madagascar" dataDxfId="84"/>
    <tableColumn id="99" xr3:uid="{DCB6FF36-5A35-432D-A611-CA1F29DD309B}" name="Malawi" dataDxfId="83"/>
    <tableColumn id="100" xr3:uid="{9D68FC4A-8292-4FB1-BFBA-102EA2B5F929}" name="Malaysia" dataDxfId="82"/>
    <tableColumn id="101" xr3:uid="{DF49AAE9-BD06-4241-97C1-0C71FF9B7542}" name="Maldives" dataDxfId="81"/>
    <tableColumn id="102" xr3:uid="{2137B97D-B617-4365-9F12-1BD84B06A836}" name="Mali" dataDxfId="80"/>
    <tableColumn id="103" xr3:uid="{03F733C6-7878-4F00-96DA-D71AF798AC8E}" name="Malta" dataDxfId="79"/>
    <tableColumn id="104" xr3:uid="{FABD50AE-9478-4D6C-8F79-4A99EAA25845}" name="Mauritania" dataDxfId="78"/>
    <tableColumn id="105" xr3:uid="{12EDD496-E728-49CD-BC15-FADE86D95E83}" name="Mauritius" dataDxfId="77"/>
    <tableColumn id="106" xr3:uid="{4CF3CAF9-8778-4381-9F63-7AE2F6CC266C}" name="Mexico" dataDxfId="76"/>
    <tableColumn id="107" xr3:uid="{5ECC32DA-3DE1-45F9-A8FD-C72EAD7B199E}" name="Moldova" dataDxfId="75"/>
    <tableColumn id="108" xr3:uid="{DB7994D4-D446-4779-B32F-A3EF9EA5830E}" name="Monaco" dataDxfId="74"/>
    <tableColumn id="109" xr3:uid="{B94636C5-C8D5-42B8-8E73-9279DAEF908E}" name="Mongolia" dataDxfId="73"/>
    <tableColumn id="110" xr3:uid="{27B6EAD3-2A6B-42EE-AD8E-75122591B90B}" name="Montenegro" dataDxfId="72"/>
    <tableColumn id="111" xr3:uid="{FFBE8FC0-8718-453F-BDFD-CAD6FA2692AA}" name="Morocco" dataDxfId="71"/>
    <tableColumn id="112" xr3:uid="{7A2CF7FC-0F33-47BA-9405-D3974CEC619A}" name="Mozambique" dataDxfId="70"/>
    <tableColumn id="113" xr3:uid="{15499EE4-2C26-48D1-915D-E99316617257}" name="Myanmar" dataDxfId="69"/>
    <tableColumn id="114" xr3:uid="{92EE7191-5BF7-4D35-998A-9112A608A5CA}" name="Namibia" dataDxfId="68"/>
    <tableColumn id="115" xr3:uid="{A960DA06-0579-4647-A41C-3E25FDE0E4C7}" name="Nepal" dataDxfId="67"/>
    <tableColumn id="116" xr3:uid="{A16AD90D-28F9-47A8-BE0F-2FC0DF4E87C7}" name="Netherlands" dataDxfId="66"/>
    <tableColumn id="117" xr3:uid="{BE984914-6403-443E-9FDC-B849CEDBCEE4}" name="New Zealand" dataDxfId="65"/>
    <tableColumn id="118" xr3:uid="{F4722CF1-116D-4082-B6B2-EF7706E07003}" name="Nicaragua" dataDxfId="64"/>
    <tableColumn id="119" xr3:uid="{7BFA9F6E-1319-47FC-819B-E9131E2B57AC}" name="Niger" dataDxfId="63"/>
    <tableColumn id="120" xr3:uid="{7608A0EA-03B1-44D4-B7D3-93641CEAD16E}" name="Nigeria" dataDxfId="62"/>
    <tableColumn id="121" xr3:uid="{4D6ECD20-DE5E-4AB3-8E60-FA300FA54776}" name="North Korea" dataDxfId="61"/>
    <tableColumn id="122" xr3:uid="{69E52361-03B9-4FF0-BD7E-94367BCA03C6}" name="North Macedonia" dataDxfId="60"/>
    <tableColumn id="123" xr3:uid="{B1F443A4-F7B8-422F-B6BD-2AFD9424F7E9}" name="Norway" dataDxfId="59"/>
    <tableColumn id="124" xr3:uid="{25BD7AB2-6681-4842-8CCC-75E83BC493D5}" name="Oman" dataDxfId="58"/>
    <tableColumn id="125" xr3:uid="{FBD595A5-381B-4359-84E9-9656F88CF2D3}" name="Pakistan" dataDxfId="57"/>
    <tableColumn id="126" xr3:uid="{84E4D170-4B90-49E9-806E-37FB902971C1}" name="Panama" dataDxfId="56"/>
    <tableColumn id="127" xr3:uid="{EB7649F2-E205-4073-816B-0AEA5CB20691}" name="Paraguay" dataDxfId="55"/>
    <tableColumn id="128" xr3:uid="{7711E8E1-FFB1-48C3-97B9-91BDAB2CED88}" name="Peru" dataDxfId="54"/>
    <tableColumn id="129" xr3:uid="{3FDF3719-897B-4D44-94AE-1AF0832B766C}" name="Philippines" dataDxfId="53"/>
    <tableColumn id="130" xr3:uid="{F240E4AB-B559-4803-91BF-02965B60A72F}" name="Poland" dataDxfId="52"/>
    <tableColumn id="131" xr3:uid="{D84583E8-A40D-4E1B-B606-28D8CC191939}" name="Portugal" dataDxfId="51"/>
    <tableColumn id="132" xr3:uid="{11BDCCBC-194D-4994-9B34-030A7C521026}" name="Qatar" dataDxfId="50"/>
    <tableColumn id="133" xr3:uid="{F50B1BEC-2904-4B0A-970E-FA51DEEB0FDE}" name="Romania" dataDxfId="49"/>
    <tableColumn id="134" xr3:uid="{7FD37DFE-08D5-4FE6-8A8A-511B3626D6DE}" name="Russia" dataDxfId="48"/>
    <tableColumn id="135" xr3:uid="{E1DB176C-B15F-4DF2-8745-47A865E6CB78}" name="Rwanda" dataDxfId="47"/>
    <tableColumn id="136" xr3:uid="{B829A389-1404-4A5B-AB74-3AE6B6E309F9}" name="Saint Kitts and Nevis" dataDxfId="46"/>
    <tableColumn id="137" xr3:uid="{8A2DDCBC-174D-48CA-BA52-5503851FD125}" name="Saint Lucia" dataDxfId="45"/>
    <tableColumn id="138" xr3:uid="{7C327F84-9EAF-44B7-875A-DF2F763B7B19}" name="Saint Vincent and the Grenadines" dataDxfId="44"/>
    <tableColumn id="139" xr3:uid="{B9283543-D914-4EF4-9A44-D1D65253E8A5}" name="San Marino" dataDxfId="43"/>
    <tableColumn id="140" xr3:uid="{0A6F9F84-CFEE-4549-B8CA-ECEF691B1410}" name="Sao Tome &amp; Principe" dataDxfId="42"/>
    <tableColumn id="141" xr3:uid="{DEB4608E-1800-43B2-8456-8912EFA3647D}" name="Saudi Arabia" dataDxfId="41"/>
    <tableColumn id="142" xr3:uid="{D5DB61DE-AEF6-4565-9182-8BC1B76CE6C7}" name="Senegal" dataDxfId="40"/>
    <tableColumn id="143" xr3:uid="{51354E11-7DCD-4D20-9458-F36999E2F3D0}" name="Serbia" dataDxfId="39"/>
    <tableColumn id="144" xr3:uid="{672801E0-6215-462C-87AB-61F47F790BA4}" name="Sierra Leone" dataDxfId="38"/>
    <tableColumn id="145" xr3:uid="{4990A332-28E7-4707-9D45-C000CB7EFD3B}" name="Singapore" dataDxfId="37"/>
    <tableColumn id="146" xr3:uid="{026FAA33-6D96-446C-9512-539E25889899}" name="Slovakia" dataDxfId="36"/>
    <tableColumn id="147" xr3:uid="{1E414FB5-F7E2-4B8A-86E7-0EB0F995B420}" name="Slovenia" dataDxfId="35"/>
    <tableColumn id="148" xr3:uid="{0DFB5585-0676-49E0-93F3-B0A4A07FAB06}" name="Somalia" dataDxfId="34"/>
    <tableColumn id="149" xr3:uid="{3064CA2B-DC55-4C3F-8225-1C4CD6BCBFF5}" name="South Africa" dataDxfId="33"/>
    <tableColumn id="150" xr3:uid="{B7E2D092-946E-420A-8E09-6C7832D2EBC0}" name="South Korea" dataDxfId="32"/>
    <tableColumn id="151" xr3:uid="{04E6D5C8-EBF8-4EF1-9C7C-561139807A10}" name="South Sudan" dataDxfId="31"/>
    <tableColumn id="152" xr3:uid="{6EF072D1-9D1A-49AF-BC39-C34BA36FAC0D}" name="Spain" dataDxfId="30"/>
    <tableColumn id="153" xr3:uid="{9C58AEF9-D62B-44FB-AD08-2B36B5E27BA9}" name="Sri Lanka" dataDxfId="29"/>
    <tableColumn id="154" xr3:uid="{39708ECA-9F56-458A-871A-C940B562B099}" name="Sudan" dataDxfId="28"/>
    <tableColumn id="155" xr3:uid="{6B71EDE3-1843-442B-840F-2E83B58BBB77}" name="Suriname" dataDxfId="27"/>
    <tableColumn id="156" xr3:uid="{5FFEDC19-1B27-4311-A4F4-E269907DD1E3}" name="Sweden" dataDxfId="26"/>
    <tableColumn id="157" xr3:uid="{4E0EF9BE-5A96-40FF-A80D-BBF4FD7CBEF4}" name="Switzerland" dataDxfId="25"/>
    <tableColumn id="158" xr3:uid="{AE648EEB-CB85-4EC9-B8E4-26B653923BE1}" name="Syria" dataDxfId="24"/>
    <tableColumn id="159" xr3:uid="{50B48629-360A-4A33-BEAF-8EC05293D4BA}" name="Taiwan" dataDxfId="23"/>
    <tableColumn id="160" xr3:uid="{90D0A9DE-201E-48E9-8979-712E70D81806}" name="Tajikistan" dataDxfId="22"/>
    <tableColumn id="161" xr3:uid="{78BAF533-4D58-4745-B645-7F30C2FDB458}" name="Tanzania" dataDxfId="21"/>
    <tableColumn id="162" xr3:uid="{04314A30-20BA-4B9B-A306-ACC50FECC3F1}" name="Thailand" dataDxfId="20"/>
    <tableColumn id="163" xr3:uid="{1A7D76B8-9CE6-441C-B58C-0AEF9C321C87}" name="Timor-Leste" dataDxfId="19"/>
    <tableColumn id="164" xr3:uid="{90608E19-F9D0-49DE-9551-BBADE5D09F38}" name="Togo" dataDxfId="18"/>
    <tableColumn id="165" xr3:uid="{1ABAA2CC-45D2-4950-BB03-58A1041C3027}" name="Trinidad and Tobago" dataDxfId="17"/>
    <tableColumn id="166" xr3:uid="{AD17EB7C-723B-411B-9F48-0E7313DE8260}" name="Tunisia" dataDxfId="16"/>
    <tableColumn id="167" xr3:uid="{19BC9E39-16AB-42DA-85C3-9980D2748D3D}" name="Turkey" dataDxfId="15"/>
    <tableColumn id="168" xr3:uid="{BB2A9E3E-AECD-4EB8-97CB-7FBFC52C90A3}" name="Turkmenistan" dataDxfId="14"/>
    <tableColumn id="169" xr3:uid="{AFBE2159-0E97-4435-B28B-4F0F02D5D99E}" name="Uganda" dataDxfId="13"/>
    <tableColumn id="170" xr3:uid="{3C6EB620-766F-491C-85CA-A2051F3E7826}" name="Ukraine" dataDxfId="12"/>
    <tableColumn id="171" xr3:uid="{E2D99588-1346-4BD6-83C9-DA058CC97F6B}" name="United Arab Emirates" dataDxfId="11"/>
    <tableColumn id="172" xr3:uid="{8EA5B520-F191-4D9B-8564-C0E3FA88CEE9}" name="United Kingdom" dataDxfId="10"/>
    <tableColumn id="173" xr3:uid="{F95F5564-42F3-49CB-8068-F07539DD6C18}" name="United States" dataDxfId="9"/>
    <tableColumn id="174" xr3:uid="{8540E88C-6630-46E7-95CE-AAE87338660D}" name="Uruguay" dataDxfId="8"/>
    <tableColumn id="175" xr3:uid="{65F6EB29-8ED2-4FBD-A899-98571D5B9CF5}" name="Uzbekistan" dataDxfId="7"/>
    <tableColumn id="176" xr3:uid="{058CF031-2F86-4CD4-8995-AB2ACD67C8F6}" name="Venezuela" dataDxfId="6"/>
    <tableColumn id="177" xr3:uid="{40BB80E3-A3C3-4CBD-9594-52DED7B0A942}" name="Vietnam" dataDxfId="5"/>
    <tableColumn id="178" xr3:uid="{1F29A3CA-4B16-4797-B446-0157A25DEFCF}" name="Yemen" dataDxfId="4"/>
    <tableColumn id="179" xr3:uid="{2916BBD6-C0D2-4019-AA31-ECA878C8456F}" name="Zambia" dataDxfId="3"/>
    <tableColumn id="180" xr3:uid="{F1FC171A-5BAE-4735-87A1-19D2202783AC}" name="Zimbabw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t.ox.ac.uk/article/environment-and-it" TargetMode="External"/><Relationship Id="rId7" Type="http://schemas.openxmlformats.org/officeDocument/2006/relationships/hyperlink" Target="https://www.it.ox.ac.uk/article/environment-and-it" TargetMode="External"/><Relationship Id="rId2" Type="http://schemas.openxmlformats.org/officeDocument/2006/relationships/hyperlink" Target="https://energyusecalculator.com/electricity_printer.htm" TargetMode="External"/><Relationship Id="rId1" Type="http://schemas.openxmlformats.org/officeDocument/2006/relationships/hyperlink" Target="https://stanfordmag.org/contents/carbon-and-the-cloud" TargetMode="External"/><Relationship Id="rId6" Type="http://schemas.openxmlformats.org/officeDocument/2006/relationships/hyperlink" Target="https://www.it.ox.ac.uk/article/environment-and-it" TargetMode="External"/><Relationship Id="rId5" Type="http://schemas.openxmlformats.org/officeDocument/2006/relationships/hyperlink" Target="https://www.huhtamaki.com/globalassets/global/highlights/responsibility/taking-a-closer-look-at-paper-cups-for-coffee.pdf" TargetMode="External"/><Relationship Id="rId4" Type="http://schemas.openxmlformats.org/officeDocument/2006/relationships/hyperlink" Target="https://www.biospheresustainable.com/en/blog/65/digital-carbon-footprint-what-is-involved-in-sending-an-emai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B8C2-C5E7-46F4-814B-F2C648BEB8D2}">
  <dimension ref="B2:M41"/>
  <sheetViews>
    <sheetView topLeftCell="A3" workbookViewId="0">
      <selection activeCell="D22" sqref="D22"/>
    </sheetView>
  </sheetViews>
  <sheetFormatPr defaultColWidth="8.7265625" defaultRowHeight="14.25" x14ac:dyDescent="0.65"/>
  <cols>
    <col min="1" max="1" width="4.54296875" style="74" customWidth="1"/>
    <col min="2" max="2" width="47.6328125" style="74" bestFit="1" customWidth="1"/>
    <col min="3" max="3" width="15.58984375" style="74" customWidth="1"/>
    <col min="4" max="12" width="18.54296875" style="74" customWidth="1"/>
    <col min="13" max="13" width="80.58984375" style="74" customWidth="1"/>
    <col min="14" max="16384" width="8.7265625" style="74"/>
  </cols>
  <sheetData>
    <row r="2" spans="2:8" ht="20.5" x14ac:dyDescent="0.9">
      <c r="B2" s="72" t="s">
        <v>214</v>
      </c>
      <c r="C2" s="73"/>
    </row>
    <row r="4" spans="2:8" ht="16.25" thickBot="1" x14ac:dyDescent="0.85">
      <c r="B4" s="75" t="s">
        <v>212</v>
      </c>
      <c r="C4" s="75"/>
    </row>
    <row r="5" spans="2:8" ht="14.5" x14ac:dyDescent="0.7">
      <c r="B5" s="51" t="s">
        <v>213</v>
      </c>
      <c r="C5" s="51"/>
    </row>
    <row r="7" spans="2:8" ht="16.25" thickBot="1" x14ac:dyDescent="0.85">
      <c r="B7" s="76" t="s">
        <v>345</v>
      </c>
      <c r="C7" s="77"/>
      <c r="D7" s="77"/>
      <c r="E7" s="77"/>
      <c r="F7" s="77"/>
      <c r="G7" s="77"/>
      <c r="H7" s="77"/>
    </row>
    <row r="8" spans="2:8" ht="15.5" x14ac:dyDescent="0.7">
      <c r="B8" s="73"/>
    </row>
    <row r="9" spans="2:8" x14ac:dyDescent="0.65">
      <c r="B9" s="78"/>
      <c r="C9" s="79" t="s">
        <v>215</v>
      </c>
      <c r="D9" s="79" t="s">
        <v>262</v>
      </c>
      <c r="E9" s="79" t="s">
        <v>565</v>
      </c>
      <c r="F9" s="79" t="s">
        <v>641</v>
      </c>
      <c r="G9" s="79" t="s">
        <v>626</v>
      </c>
      <c r="H9" s="79" t="s">
        <v>656</v>
      </c>
    </row>
    <row r="10" spans="2:8" x14ac:dyDescent="0.65">
      <c r="B10" s="56" t="s">
        <v>219</v>
      </c>
      <c r="C10" s="57" t="s">
        <v>237</v>
      </c>
      <c r="D10" s="58" t="s">
        <v>65</v>
      </c>
      <c r="E10" s="105" t="s">
        <v>545</v>
      </c>
      <c r="F10" s="58">
        <v>3</v>
      </c>
      <c r="G10" s="58" t="s">
        <v>392</v>
      </c>
      <c r="H10" s="58">
        <v>3</v>
      </c>
    </row>
    <row r="11" spans="2:8" x14ac:dyDescent="0.65">
      <c r="B11" s="56" t="s">
        <v>399</v>
      </c>
      <c r="C11" s="57" t="s">
        <v>237</v>
      </c>
      <c r="D11" s="58" t="s">
        <v>155</v>
      </c>
      <c r="E11" s="105" t="s">
        <v>264</v>
      </c>
      <c r="F11" s="58">
        <v>4</v>
      </c>
      <c r="G11" s="58" t="s">
        <v>344</v>
      </c>
      <c r="H11" s="58">
        <v>5</v>
      </c>
    </row>
    <row r="12" spans="2:8" x14ac:dyDescent="0.65">
      <c r="B12" s="56" t="s">
        <v>400</v>
      </c>
      <c r="C12" s="57" t="s">
        <v>237</v>
      </c>
      <c r="D12" s="58" t="s">
        <v>175</v>
      </c>
      <c r="E12" s="105" t="s">
        <v>263</v>
      </c>
      <c r="F12" s="58">
        <v>2</v>
      </c>
      <c r="G12" s="58" t="s">
        <v>392</v>
      </c>
      <c r="H12" s="58">
        <v>4</v>
      </c>
    </row>
    <row r="13" spans="2:8" x14ac:dyDescent="0.65">
      <c r="B13" s="56" t="s">
        <v>244</v>
      </c>
      <c r="C13" s="57" t="s">
        <v>237</v>
      </c>
      <c r="D13" s="58" t="s">
        <v>84</v>
      </c>
      <c r="E13" s="105" t="s">
        <v>319</v>
      </c>
      <c r="F13" s="58">
        <v>2</v>
      </c>
      <c r="G13" s="58" t="s">
        <v>344</v>
      </c>
      <c r="H13" s="58">
        <v>5</v>
      </c>
    </row>
    <row r="14" spans="2:8" x14ac:dyDescent="0.65">
      <c r="B14" s="56" t="s">
        <v>404</v>
      </c>
      <c r="C14" s="57" t="s">
        <v>237</v>
      </c>
      <c r="D14" s="58" t="s">
        <v>65</v>
      </c>
      <c r="E14" s="105" t="s">
        <v>307</v>
      </c>
      <c r="F14" s="58">
        <v>5</v>
      </c>
      <c r="G14" s="58" t="s">
        <v>344</v>
      </c>
      <c r="H14" s="58">
        <v>3</v>
      </c>
    </row>
    <row r="15" spans="2:8" x14ac:dyDescent="0.65">
      <c r="B15" s="56" t="s">
        <v>403</v>
      </c>
      <c r="C15" s="57" t="s">
        <v>237</v>
      </c>
      <c r="D15" s="58" t="s">
        <v>175</v>
      </c>
      <c r="E15" s="105" t="s">
        <v>263</v>
      </c>
      <c r="F15" s="58">
        <v>3</v>
      </c>
      <c r="G15" s="58" t="s">
        <v>392</v>
      </c>
      <c r="H15" s="58">
        <v>5</v>
      </c>
    </row>
    <row r="16" spans="2:8" x14ac:dyDescent="0.65">
      <c r="B16" s="56" t="s">
        <v>622</v>
      </c>
      <c r="C16" s="57" t="s">
        <v>237</v>
      </c>
      <c r="D16" s="58" t="s">
        <v>175</v>
      </c>
      <c r="E16" s="105" t="s">
        <v>263</v>
      </c>
      <c r="F16" s="58">
        <v>1</v>
      </c>
      <c r="G16" s="58" t="s">
        <v>393</v>
      </c>
      <c r="H16" s="58">
        <v>4</v>
      </c>
    </row>
    <row r="17" spans="2:13" x14ac:dyDescent="0.65">
      <c r="B17" s="56" t="s">
        <v>623</v>
      </c>
      <c r="C17" s="57" t="s">
        <v>237</v>
      </c>
      <c r="D17" s="58" t="s">
        <v>61</v>
      </c>
      <c r="E17" s="105" t="s">
        <v>265</v>
      </c>
      <c r="F17" s="58">
        <v>1</v>
      </c>
      <c r="G17" s="58" t="s">
        <v>393</v>
      </c>
      <c r="H17" s="58">
        <v>4</v>
      </c>
    </row>
    <row r="18" spans="2:13" x14ac:dyDescent="0.65">
      <c r="B18" s="56" t="s">
        <v>624</v>
      </c>
      <c r="C18" s="57" t="s">
        <v>237</v>
      </c>
      <c r="D18" s="58" t="s">
        <v>133</v>
      </c>
      <c r="E18" s="105" t="s">
        <v>336</v>
      </c>
      <c r="F18" s="58">
        <v>1</v>
      </c>
      <c r="G18" s="58" t="s">
        <v>392</v>
      </c>
      <c r="H18" s="58">
        <v>5</v>
      </c>
    </row>
    <row r="19" spans="2:13" x14ac:dyDescent="0.65">
      <c r="B19" s="56" t="s">
        <v>660</v>
      </c>
      <c r="C19" s="57" t="s">
        <v>237</v>
      </c>
      <c r="D19" s="58" t="s">
        <v>61</v>
      </c>
      <c r="E19" s="105" t="s">
        <v>265</v>
      </c>
    </row>
    <row r="20" spans="2:13" x14ac:dyDescent="0.65">
      <c r="B20" s="56" t="s">
        <v>650</v>
      </c>
      <c r="C20" s="57" t="s">
        <v>638</v>
      </c>
      <c r="D20" s="58">
        <v>4</v>
      </c>
    </row>
    <row r="21" spans="2:13" x14ac:dyDescent="0.65">
      <c r="B21" s="56" t="s">
        <v>631</v>
      </c>
      <c r="C21" s="57" t="s">
        <v>237</v>
      </c>
      <c r="D21" s="58" t="s">
        <v>632</v>
      </c>
    </row>
    <row r="22" spans="2:13" x14ac:dyDescent="0.65">
      <c r="B22" s="56" t="s">
        <v>633</v>
      </c>
      <c r="C22" s="57" t="s">
        <v>217</v>
      </c>
      <c r="D22" s="58">
        <v>24</v>
      </c>
    </row>
    <row r="23" spans="2:13" x14ac:dyDescent="0.65">
      <c r="B23" s="56" t="s">
        <v>634</v>
      </c>
      <c r="C23" s="57" t="s">
        <v>235</v>
      </c>
      <c r="D23" s="58">
        <v>5</v>
      </c>
    </row>
    <row r="25" spans="2:13" ht="16.25" thickBot="1" x14ac:dyDescent="0.85">
      <c r="B25" s="76" t="s">
        <v>642</v>
      </c>
      <c r="C25" s="77"/>
      <c r="D25" s="77"/>
      <c r="E25" s="77"/>
      <c r="F25" s="77"/>
      <c r="G25" s="77"/>
      <c r="H25" s="77"/>
      <c r="I25" s="91"/>
      <c r="J25" s="91"/>
      <c r="K25" s="91"/>
      <c r="L25" s="91"/>
    </row>
    <row r="26" spans="2:13" ht="14.5" x14ac:dyDescent="0.7">
      <c r="B26" s="81"/>
      <c r="D26" s="91"/>
      <c r="E26" s="91"/>
      <c r="F26" s="91"/>
      <c r="G26" s="91"/>
      <c r="H26" s="91"/>
      <c r="I26" s="91"/>
      <c r="J26" s="91"/>
      <c r="K26" s="91"/>
      <c r="L26" s="91"/>
    </row>
    <row r="27" spans="2:13" x14ac:dyDescent="0.65">
      <c r="B27" s="80"/>
      <c r="C27" s="82"/>
      <c r="D27" s="79" t="s">
        <v>635</v>
      </c>
      <c r="E27" s="79" t="s">
        <v>636</v>
      </c>
      <c r="F27" s="79" t="s">
        <v>637</v>
      </c>
      <c r="H27" s="82"/>
      <c r="I27" s="82"/>
      <c r="J27" s="82"/>
      <c r="K27" s="82"/>
      <c r="L27" s="82"/>
      <c r="M27" s="80"/>
    </row>
    <row r="28" spans="2:13" x14ac:dyDescent="0.65">
      <c r="B28" s="56" t="s">
        <v>639</v>
      </c>
      <c r="C28" s="57" t="s">
        <v>638</v>
      </c>
      <c r="D28" s="58">
        <v>2</v>
      </c>
      <c r="E28" s="58">
        <v>0</v>
      </c>
      <c r="F28" s="58">
        <v>1</v>
      </c>
      <c r="H28" s="82"/>
      <c r="I28" s="82"/>
      <c r="J28" s="82"/>
      <c r="K28" s="83"/>
      <c r="L28" s="83"/>
      <c r="M28" s="83"/>
    </row>
    <row r="29" spans="2:13" x14ac:dyDescent="0.65">
      <c r="B29" s="56" t="s">
        <v>640</v>
      </c>
      <c r="C29" s="57" t="s">
        <v>235</v>
      </c>
      <c r="D29" s="58">
        <v>3</v>
      </c>
      <c r="E29" s="58">
        <v>0</v>
      </c>
      <c r="F29" s="58">
        <v>1</v>
      </c>
      <c r="H29" s="82"/>
      <c r="I29" s="82"/>
      <c r="J29" s="82"/>
      <c r="K29" s="83"/>
      <c r="L29" s="83"/>
      <c r="M29" s="83"/>
    </row>
    <row r="30" spans="2:13" x14ac:dyDescent="0.65">
      <c r="B30" s="56" t="s">
        <v>645</v>
      </c>
      <c r="C30" s="57" t="s">
        <v>638</v>
      </c>
      <c r="D30" s="58">
        <v>3</v>
      </c>
      <c r="E30" s="58">
        <v>3</v>
      </c>
      <c r="F30" s="58">
        <v>2</v>
      </c>
      <c r="H30" s="82"/>
      <c r="I30" s="82"/>
      <c r="J30" s="82"/>
      <c r="K30" s="83"/>
      <c r="L30" s="83"/>
      <c r="M30" s="83"/>
    </row>
    <row r="31" spans="2:13" x14ac:dyDescent="0.65">
      <c r="B31" s="56" t="s">
        <v>646</v>
      </c>
      <c r="C31" s="57" t="s">
        <v>638</v>
      </c>
      <c r="D31" s="58">
        <v>2</v>
      </c>
      <c r="E31" s="58">
        <v>4</v>
      </c>
      <c r="F31" s="58">
        <v>1</v>
      </c>
      <c r="H31" s="82"/>
      <c r="I31" s="82"/>
      <c r="J31" s="82"/>
      <c r="K31" s="83"/>
      <c r="L31" s="83"/>
      <c r="M31" s="83"/>
    </row>
    <row r="32" spans="2:13" x14ac:dyDescent="0.65">
      <c r="B32" s="56" t="s">
        <v>647</v>
      </c>
      <c r="C32" s="57" t="s">
        <v>638</v>
      </c>
      <c r="D32" s="58">
        <v>1</v>
      </c>
      <c r="E32" s="58">
        <v>1</v>
      </c>
      <c r="F32" s="58">
        <v>2</v>
      </c>
      <c r="H32" s="82"/>
      <c r="I32" s="82"/>
      <c r="J32" s="82"/>
      <c r="K32" s="83"/>
      <c r="L32" s="83"/>
      <c r="M32" s="83"/>
    </row>
    <row r="33" spans="2:13" x14ac:dyDescent="0.65">
      <c r="B33" s="83"/>
      <c r="C33" s="83"/>
      <c r="D33" s="83"/>
      <c r="E33" s="83"/>
      <c r="F33" s="83"/>
      <c r="G33" s="83"/>
      <c r="H33" s="82"/>
      <c r="I33" s="82"/>
      <c r="J33" s="82"/>
      <c r="K33" s="83"/>
      <c r="L33" s="83"/>
      <c r="M33" s="83"/>
    </row>
    <row r="34" spans="2:13" ht="16.25" thickBot="1" x14ac:dyDescent="0.85">
      <c r="B34" s="76" t="s">
        <v>643</v>
      </c>
      <c r="C34" s="77"/>
      <c r="D34" s="77"/>
      <c r="E34" s="77"/>
      <c r="F34" s="77"/>
      <c r="G34" s="77"/>
      <c r="H34" s="77"/>
      <c r="I34" s="84"/>
      <c r="J34" s="84"/>
      <c r="K34" s="84"/>
      <c r="L34" s="84"/>
      <c r="M34" s="84"/>
    </row>
    <row r="35" spans="2:13" ht="14.5" x14ac:dyDescent="0.7">
      <c r="B35" s="81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</row>
    <row r="36" spans="2:13" x14ac:dyDescent="0.65">
      <c r="B36" s="80"/>
      <c r="C36" s="82"/>
      <c r="D36" s="79" t="s">
        <v>644</v>
      </c>
      <c r="E36" s="79" t="s">
        <v>636</v>
      </c>
      <c r="F36" s="79" t="s">
        <v>637</v>
      </c>
      <c r="H36" s="84"/>
      <c r="I36" s="84"/>
      <c r="J36" s="84"/>
      <c r="K36" s="84"/>
      <c r="L36" s="84"/>
      <c r="M36" s="84"/>
    </row>
    <row r="37" spans="2:13" x14ac:dyDescent="0.65">
      <c r="B37" s="56" t="s">
        <v>639</v>
      </c>
      <c r="C37" s="57" t="s">
        <v>638</v>
      </c>
      <c r="D37" s="58">
        <v>1</v>
      </c>
      <c r="E37" s="58">
        <v>4</v>
      </c>
      <c r="F37" s="58">
        <v>1</v>
      </c>
      <c r="H37" s="84"/>
      <c r="I37" s="84"/>
      <c r="J37" s="84"/>
      <c r="K37" s="84"/>
      <c r="L37" s="84"/>
      <c r="M37" s="84"/>
    </row>
    <row r="38" spans="2:13" x14ac:dyDescent="0.65">
      <c r="B38" s="56" t="s">
        <v>640</v>
      </c>
      <c r="C38" s="57" t="s">
        <v>235</v>
      </c>
      <c r="D38" s="58">
        <v>5</v>
      </c>
      <c r="E38" s="58">
        <v>18</v>
      </c>
      <c r="F38" s="58">
        <v>5</v>
      </c>
      <c r="H38" s="84"/>
      <c r="I38" s="84"/>
      <c r="J38" s="84"/>
      <c r="K38" s="84"/>
      <c r="L38" s="84"/>
      <c r="M38" s="84"/>
    </row>
    <row r="39" spans="2:13" x14ac:dyDescent="0.65">
      <c r="B39" s="56" t="s">
        <v>648</v>
      </c>
      <c r="C39" s="57" t="s">
        <v>638</v>
      </c>
      <c r="D39" s="58">
        <v>2</v>
      </c>
      <c r="E39" s="58">
        <v>2</v>
      </c>
      <c r="F39" s="58">
        <v>2</v>
      </c>
    </row>
    <row r="40" spans="2:13" x14ac:dyDescent="0.65">
      <c r="B40" s="56" t="s">
        <v>646</v>
      </c>
      <c r="C40" s="57" t="s">
        <v>638</v>
      </c>
      <c r="D40" s="58">
        <v>3</v>
      </c>
      <c r="E40" s="58">
        <v>5</v>
      </c>
      <c r="F40" s="58">
        <v>2</v>
      </c>
    </row>
    <row r="41" spans="2:13" x14ac:dyDescent="0.65">
      <c r="B41" s="56" t="s">
        <v>647</v>
      </c>
      <c r="C41" s="57" t="s">
        <v>638</v>
      </c>
      <c r="D41" s="58">
        <v>2</v>
      </c>
      <c r="E41" s="58">
        <v>2</v>
      </c>
      <c r="F41" s="58">
        <v>3</v>
      </c>
    </row>
  </sheetData>
  <dataValidations count="3">
    <dataValidation type="list" allowBlank="1" showInputMessage="1" showErrorMessage="1" sqref="D21" xr:uid="{5368C433-31A0-4D4A-A584-C90284B9F791}">
      <formula1>"Yes,No"</formula1>
    </dataValidation>
    <dataValidation type="list" allowBlank="1" showInputMessage="1" showErrorMessage="1" sqref="E10:E19" xr:uid="{E392E035-4AFD-4C58-B776-60C838065FD9}">
      <formula1>city_list</formula1>
    </dataValidation>
    <dataValidation type="list" allowBlank="1" showInputMessage="1" showErrorMessage="1" sqref="D10:D19 D21" xr:uid="{53CEB5BD-1600-4325-88BA-9AEC2ED9847F}">
      <formula1>Country_List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5D9941-22FE-4C9F-8B11-12B6D6711399}">
          <x14:formula1>
            <xm:f>'List Selections'!$J$5:$J$10</xm:f>
          </x14:formula1>
          <xm:sqref>H10:H18</xm:sqref>
        </x14:dataValidation>
        <x14:dataValidation type="list" allowBlank="1" showInputMessage="1" showErrorMessage="1" xr:uid="{B2F4B42B-21B9-4A17-9E16-678B76B76312}">
          <x14:formula1>
            <xm:f>'List Selections'!$I$5:$I$9</xm:f>
          </x14:formula1>
          <xm:sqref>G10:G18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ECBF-6A54-4F40-907B-4F8112F0484D}">
  <dimension ref="B2:H110"/>
  <sheetViews>
    <sheetView topLeftCell="A48" workbookViewId="0">
      <selection activeCell="D17" sqref="D17"/>
    </sheetView>
  </sheetViews>
  <sheetFormatPr defaultColWidth="8.7265625" defaultRowHeight="14.25" x14ac:dyDescent="0.65"/>
  <cols>
    <col min="1" max="1" width="4.54296875" style="74" customWidth="1"/>
    <col min="2" max="2" width="47.6328125" style="74" bestFit="1" customWidth="1"/>
    <col min="3" max="3" width="15.58984375" style="74" customWidth="1"/>
    <col min="4" max="11" width="18.54296875" style="74" customWidth="1"/>
    <col min="12" max="12" width="80.58984375" style="74" customWidth="1"/>
    <col min="13" max="16384" width="8.7265625" style="74"/>
  </cols>
  <sheetData>
    <row r="2" spans="2:7" ht="20.5" x14ac:dyDescent="0.9">
      <c r="B2" s="72" t="s">
        <v>214</v>
      </c>
      <c r="C2" s="73"/>
    </row>
    <row r="4" spans="2:7" ht="16.25" thickBot="1" x14ac:dyDescent="0.85">
      <c r="B4" s="75" t="s">
        <v>212</v>
      </c>
      <c r="C4" s="75"/>
    </row>
    <row r="5" spans="2:7" ht="14.5" x14ac:dyDescent="0.7">
      <c r="B5" s="51" t="s">
        <v>213</v>
      </c>
      <c r="C5" s="51"/>
    </row>
    <row r="7" spans="2:7" ht="16.25" thickBot="1" x14ac:dyDescent="0.85">
      <c r="B7" s="76" t="s">
        <v>345</v>
      </c>
      <c r="C7" s="77"/>
      <c r="D7" s="77"/>
      <c r="E7" s="77"/>
      <c r="F7" s="77"/>
      <c r="G7" s="77"/>
    </row>
    <row r="8" spans="2:7" x14ac:dyDescent="0.65">
      <c r="B8" s="78"/>
      <c r="C8" s="79" t="s">
        <v>215</v>
      </c>
      <c r="D8" s="79" t="s">
        <v>262</v>
      </c>
      <c r="E8" s="79" t="s">
        <v>565</v>
      </c>
      <c r="F8" s="79" t="s">
        <v>626</v>
      </c>
      <c r="G8" s="79" t="s">
        <v>630</v>
      </c>
    </row>
    <row r="9" spans="2:7" ht="14.5" x14ac:dyDescent="0.7">
      <c r="B9" s="81" t="s">
        <v>401</v>
      </c>
      <c r="C9" s="79"/>
      <c r="D9" s="79"/>
      <c r="E9" s="79"/>
      <c r="F9" s="79"/>
    </row>
    <row r="10" spans="2:7" x14ac:dyDescent="0.65">
      <c r="B10" s="56" t="s">
        <v>219</v>
      </c>
      <c r="C10" s="57" t="s">
        <v>216</v>
      </c>
      <c r="D10" s="58" t="str">
        <f>'User Inputs'!D10</f>
        <v>Germany</v>
      </c>
      <c r="E10" s="58" t="str">
        <f>'User Inputs'!E10</f>
        <v xml:space="preserve">Munich </v>
      </c>
    </row>
    <row r="11" spans="2:7" x14ac:dyDescent="0.65">
      <c r="B11" s="56" t="s">
        <v>399</v>
      </c>
      <c r="C11" s="57" t="s">
        <v>216</v>
      </c>
      <c r="D11" s="58" t="str">
        <f>'User Inputs'!D11</f>
        <v>Spain</v>
      </c>
      <c r="E11" s="58" t="str">
        <f>'User Inputs'!E11</f>
        <v>Madrid</v>
      </c>
    </row>
    <row r="12" spans="2:7" x14ac:dyDescent="0.65">
      <c r="B12" s="56" t="s">
        <v>400</v>
      </c>
      <c r="C12" s="57" t="s">
        <v>216</v>
      </c>
      <c r="D12" s="58" t="str">
        <f>'User Inputs'!D12</f>
        <v>United Kingdom</v>
      </c>
      <c r="E12" s="58" t="str">
        <f>'User Inputs'!E12</f>
        <v>London</v>
      </c>
    </row>
    <row r="13" spans="2:7" x14ac:dyDescent="0.65">
      <c r="B13" s="56" t="s">
        <v>244</v>
      </c>
      <c r="C13" s="57" t="s">
        <v>216</v>
      </c>
      <c r="D13" s="58" t="str">
        <f>'User Inputs'!D13</f>
        <v>Italy</v>
      </c>
      <c r="E13" s="58" t="str">
        <f>'User Inputs'!E13</f>
        <v>Milan</v>
      </c>
    </row>
    <row r="14" spans="2:7" x14ac:dyDescent="0.65">
      <c r="B14" s="56" t="s">
        <v>404</v>
      </c>
      <c r="C14" s="57" t="s">
        <v>216</v>
      </c>
      <c r="D14" s="58" t="str">
        <f>'User Inputs'!D14</f>
        <v>Germany</v>
      </c>
      <c r="E14" s="58" t="str">
        <f>'User Inputs'!E14</f>
        <v>Frankfurt</v>
      </c>
    </row>
    <row r="15" spans="2:7" x14ac:dyDescent="0.65">
      <c r="B15" s="56" t="s">
        <v>403</v>
      </c>
      <c r="C15" s="57" t="s">
        <v>216</v>
      </c>
      <c r="D15" s="58" t="str">
        <f>'User Inputs'!D15</f>
        <v>United Kingdom</v>
      </c>
      <c r="E15" s="58" t="str">
        <f>'User Inputs'!E15</f>
        <v>London</v>
      </c>
    </row>
    <row r="16" spans="2:7" x14ac:dyDescent="0.65">
      <c r="B16" s="56" t="s">
        <v>349</v>
      </c>
      <c r="C16" s="57" t="s">
        <v>216</v>
      </c>
      <c r="D16" s="58" t="str">
        <f>'User Inputs'!D19</f>
        <v>France</v>
      </c>
      <c r="E16" s="58" t="str">
        <f>'User Inputs'!E19</f>
        <v>Paris</v>
      </c>
    </row>
    <row r="17" spans="2:8" x14ac:dyDescent="0.65">
      <c r="B17" s="56" t="s">
        <v>622</v>
      </c>
      <c r="C17" s="57" t="s">
        <v>216</v>
      </c>
      <c r="D17" s="58" t="str">
        <f>'User Inputs'!D16</f>
        <v>United Kingdom</v>
      </c>
      <c r="E17" s="58" t="str">
        <f>'User Inputs'!E16</f>
        <v>London</v>
      </c>
      <c r="F17" s="58" t="str">
        <f>'User Inputs'!G16</f>
        <v>Plane (Economy)</v>
      </c>
      <c r="G17" s="58">
        <f>'User Inputs'!H16</f>
        <v>4</v>
      </c>
    </row>
    <row r="18" spans="2:8" x14ac:dyDescent="0.65">
      <c r="B18" s="56" t="s">
        <v>623</v>
      </c>
      <c r="C18" s="57" t="s">
        <v>216</v>
      </c>
      <c r="D18" s="58" t="str">
        <f>'User Inputs'!D17</f>
        <v>France</v>
      </c>
      <c r="E18" s="58" t="str">
        <f>'User Inputs'!E17</f>
        <v>Paris</v>
      </c>
      <c r="F18" s="58" t="str">
        <f>'User Inputs'!G17</f>
        <v>Plane (Economy)</v>
      </c>
      <c r="G18" s="58">
        <f>'User Inputs'!H17</f>
        <v>4</v>
      </c>
    </row>
    <row r="19" spans="2:8" x14ac:dyDescent="0.65">
      <c r="B19" s="56" t="s">
        <v>624</v>
      </c>
      <c r="C19" s="57" t="s">
        <v>216</v>
      </c>
      <c r="D19" s="58" t="str">
        <f>'User Inputs'!D18</f>
        <v>Poland</v>
      </c>
      <c r="E19" s="58" t="str">
        <f>'User Inputs'!E18</f>
        <v>Warsaw</v>
      </c>
      <c r="F19" s="58" t="str">
        <f>'User Inputs'!G18</f>
        <v>Plane (Business)</v>
      </c>
      <c r="G19" s="58">
        <f>'User Inputs'!H18</f>
        <v>5</v>
      </c>
    </row>
    <row r="20" spans="2:8" x14ac:dyDescent="0.65">
      <c r="B20" s="80"/>
      <c r="C20" s="80"/>
      <c r="D20" s="80"/>
      <c r="E20" s="80"/>
    </row>
    <row r="21" spans="2:8" ht="14.5" x14ac:dyDescent="0.7">
      <c r="B21" s="81" t="s">
        <v>402</v>
      </c>
      <c r="C21" s="80"/>
      <c r="D21" s="80"/>
      <c r="E21" s="80"/>
    </row>
    <row r="22" spans="2:8" x14ac:dyDescent="0.65">
      <c r="B22" s="56" t="s">
        <v>218</v>
      </c>
      <c r="C22" s="57" t="s">
        <v>235</v>
      </c>
      <c r="D22" s="58">
        <f>'User Inputs'!D23</f>
        <v>5</v>
      </c>
      <c r="E22" s="80"/>
    </row>
    <row r="23" spans="2:8" x14ac:dyDescent="0.65">
      <c r="B23" s="56" t="s">
        <v>631</v>
      </c>
      <c r="C23" s="57" t="s">
        <v>237</v>
      </c>
      <c r="D23" s="58" t="str">
        <f>'User Inputs'!D21</f>
        <v>No</v>
      </c>
      <c r="E23" s="80"/>
    </row>
    <row r="24" spans="2:8" x14ac:dyDescent="0.65">
      <c r="E24" s="80"/>
    </row>
    <row r="26" spans="2:8" ht="16.25" thickBot="1" x14ac:dyDescent="0.85">
      <c r="B26" s="76" t="s">
        <v>350</v>
      </c>
      <c r="C26" s="77"/>
      <c r="D26" s="92"/>
      <c r="E26" s="136" t="s">
        <v>0</v>
      </c>
      <c r="F26" s="136"/>
      <c r="G26" s="136"/>
      <c r="H26" s="136"/>
    </row>
    <row r="28" spans="2:8" ht="14.5" x14ac:dyDescent="0.7">
      <c r="B28" s="81" t="s">
        <v>219</v>
      </c>
      <c r="D28" s="91"/>
    </row>
    <row r="29" spans="2:8" x14ac:dyDescent="0.65">
      <c r="B29" s="56" t="s">
        <v>220</v>
      </c>
      <c r="C29" s="57" t="s">
        <v>221</v>
      </c>
      <c r="D29" s="58">
        <f>'User Inputs'!$F10</f>
        <v>3</v>
      </c>
      <c r="E29" s="133"/>
      <c r="F29" s="134"/>
      <c r="G29" s="134"/>
      <c r="H29" s="135"/>
    </row>
    <row r="30" spans="2:8" x14ac:dyDescent="0.65">
      <c r="B30" s="56" t="s">
        <v>222</v>
      </c>
      <c r="C30" s="57" t="s">
        <v>221</v>
      </c>
      <c r="D30" s="58">
        <f>'User Inputs'!$F11</f>
        <v>4</v>
      </c>
      <c r="E30" s="133"/>
      <c r="F30" s="134"/>
      <c r="G30" s="134"/>
      <c r="H30" s="135"/>
    </row>
    <row r="31" spans="2:8" x14ac:dyDescent="0.65">
      <c r="B31" s="56" t="s">
        <v>223</v>
      </c>
      <c r="C31" s="57" t="s">
        <v>221</v>
      </c>
      <c r="D31" s="58">
        <f>'User Inputs'!$F12</f>
        <v>2</v>
      </c>
      <c r="E31" s="133"/>
      <c r="F31" s="134"/>
      <c r="G31" s="134"/>
      <c r="H31" s="135"/>
    </row>
    <row r="32" spans="2:8" x14ac:dyDescent="0.65">
      <c r="B32" s="80"/>
      <c r="C32" s="82"/>
      <c r="D32" s="82"/>
      <c r="E32" s="131"/>
      <c r="F32" s="132"/>
      <c r="G32" s="132"/>
      <c r="H32" s="132"/>
    </row>
    <row r="33" spans="2:8" x14ac:dyDescent="0.65">
      <c r="B33" s="56" t="s">
        <v>649</v>
      </c>
      <c r="C33" s="57" t="s">
        <v>221</v>
      </c>
      <c r="D33" s="58">
        <f>'User Inputs'!D20/2*3*SUM(D29:D31)/2</f>
        <v>27</v>
      </c>
      <c r="E33" s="133" t="s">
        <v>652</v>
      </c>
      <c r="F33" s="134"/>
      <c r="G33" s="134"/>
      <c r="H33" s="135"/>
    </row>
    <row r="34" spans="2:8" x14ac:dyDescent="0.65">
      <c r="B34" s="56" t="s">
        <v>225</v>
      </c>
      <c r="C34" s="57" t="s">
        <v>196</v>
      </c>
      <c r="D34" s="58">
        <v>100</v>
      </c>
      <c r="E34" s="133" t="s">
        <v>651</v>
      </c>
      <c r="F34" s="134"/>
      <c r="G34" s="134"/>
      <c r="H34" s="135"/>
    </row>
    <row r="35" spans="2:8" x14ac:dyDescent="0.65">
      <c r="B35" s="56" t="s">
        <v>226</v>
      </c>
      <c r="C35" s="57" t="s">
        <v>227</v>
      </c>
      <c r="D35" s="85">
        <f>IFERROR(D29/SUM(D$29:D$31),0)</f>
        <v>0.33333333333333331</v>
      </c>
      <c r="E35" s="133" t="s">
        <v>228</v>
      </c>
      <c r="F35" s="134"/>
      <c r="G35" s="134"/>
      <c r="H35" s="135"/>
    </row>
    <row r="36" spans="2:8" x14ac:dyDescent="0.65">
      <c r="B36" s="56" t="s">
        <v>229</v>
      </c>
      <c r="C36" s="57" t="s">
        <v>227</v>
      </c>
      <c r="D36" s="85">
        <f t="shared" ref="D36:D37" si="0">IFERROR(D30/SUM(D$29:D$31),0)</f>
        <v>0.44444444444444442</v>
      </c>
      <c r="E36" s="133" t="s">
        <v>228</v>
      </c>
      <c r="F36" s="134"/>
      <c r="G36" s="134"/>
      <c r="H36" s="135"/>
    </row>
    <row r="37" spans="2:8" x14ac:dyDescent="0.65">
      <c r="B37" s="56" t="s">
        <v>230</v>
      </c>
      <c r="C37" s="57" t="s">
        <v>227</v>
      </c>
      <c r="D37" s="85">
        <f t="shared" si="0"/>
        <v>0.22222222222222221</v>
      </c>
      <c r="E37" s="133" t="s">
        <v>228</v>
      </c>
      <c r="F37" s="134"/>
      <c r="G37" s="134"/>
      <c r="H37" s="135"/>
    </row>
    <row r="38" spans="2:8" x14ac:dyDescent="0.65">
      <c r="B38" s="56" t="s">
        <v>351</v>
      </c>
      <c r="C38" s="57" t="s">
        <v>227</v>
      </c>
      <c r="D38" s="85">
        <v>0</v>
      </c>
      <c r="E38" s="133" t="s">
        <v>228</v>
      </c>
      <c r="F38" s="134"/>
      <c r="G38" s="134"/>
      <c r="H38" s="135"/>
    </row>
    <row r="39" spans="2:8" x14ac:dyDescent="0.65">
      <c r="B39" s="56" t="s">
        <v>231</v>
      </c>
      <c r="C39" s="57" t="s">
        <v>232</v>
      </c>
      <c r="D39" s="58">
        <f>100*SUM(D29:D31)</f>
        <v>900</v>
      </c>
      <c r="E39" s="133"/>
      <c r="F39" s="134"/>
      <c r="G39" s="134"/>
      <c r="H39" s="135"/>
    </row>
    <row r="40" spans="2:8" x14ac:dyDescent="0.65">
      <c r="B40" s="56" t="s">
        <v>346</v>
      </c>
      <c r="C40" s="57" t="s">
        <v>221</v>
      </c>
      <c r="D40" s="58">
        <f>1*SUM(D29:D31)</f>
        <v>9</v>
      </c>
      <c r="E40" s="133" t="s">
        <v>655</v>
      </c>
      <c r="F40" s="134"/>
      <c r="G40" s="134"/>
      <c r="H40" s="135"/>
    </row>
    <row r="41" spans="2:8" x14ac:dyDescent="0.65">
      <c r="B41" s="56" t="s">
        <v>347</v>
      </c>
      <c r="C41" s="57" t="s">
        <v>221</v>
      </c>
      <c r="D41" s="58">
        <f>2*SUM(D29:D31)</f>
        <v>18</v>
      </c>
      <c r="E41" s="133" t="s">
        <v>654</v>
      </c>
      <c r="F41" s="134"/>
      <c r="G41" s="134"/>
      <c r="H41" s="135"/>
    </row>
    <row r="42" spans="2:8" x14ac:dyDescent="0.65">
      <c r="B42" s="56" t="s">
        <v>348</v>
      </c>
      <c r="C42" s="57" t="s">
        <v>221</v>
      </c>
      <c r="D42" s="58">
        <f>'User Inputs'!D29*SUM('User Inputs'!D30:D32)+'User Inputs'!E29*SUM('User Inputs'!E30:E32)+'User Inputs'!F29*SUM('User Inputs'!F30:F32)</f>
        <v>23</v>
      </c>
      <c r="E42" s="133" t="s">
        <v>653</v>
      </c>
      <c r="F42" s="134"/>
      <c r="G42" s="134"/>
      <c r="H42" s="135"/>
    </row>
    <row r="43" spans="2:8" x14ac:dyDescent="0.65">
      <c r="B43" s="80"/>
      <c r="C43" s="82"/>
      <c r="D43" s="83"/>
      <c r="E43" s="131"/>
      <c r="F43" s="132"/>
      <c r="G43" s="132"/>
      <c r="H43" s="132"/>
    </row>
    <row r="44" spans="2:8" x14ac:dyDescent="0.65">
      <c r="B44" s="56" t="s">
        <v>568</v>
      </c>
      <c r="C44" s="57" t="s">
        <v>569</v>
      </c>
      <c r="D44" s="58">
        <f>'User Inputs'!D20/2*5</f>
        <v>10</v>
      </c>
      <c r="E44" s="133" t="s">
        <v>658</v>
      </c>
      <c r="F44" s="134"/>
      <c r="G44" s="134"/>
      <c r="H44" s="135"/>
    </row>
    <row r="45" spans="2:8" x14ac:dyDescent="0.65">
      <c r="B45" s="80"/>
      <c r="C45" s="82"/>
      <c r="D45" s="83"/>
      <c r="E45" s="131"/>
      <c r="F45" s="132"/>
      <c r="G45" s="132"/>
      <c r="H45" s="132"/>
    </row>
    <row r="46" spans="2:8" x14ac:dyDescent="0.65">
      <c r="B46" s="56" t="s">
        <v>233</v>
      </c>
      <c r="C46" s="57" t="s">
        <v>221</v>
      </c>
      <c r="D46" s="58">
        <f>'User Inputs'!D28</f>
        <v>2</v>
      </c>
      <c r="E46" s="133"/>
      <c r="F46" s="134"/>
      <c r="G46" s="134"/>
      <c r="H46" s="135"/>
    </row>
    <row r="47" spans="2:8" x14ac:dyDescent="0.65">
      <c r="B47" s="56" t="s">
        <v>234</v>
      </c>
      <c r="C47" s="57" t="s">
        <v>235</v>
      </c>
      <c r="D47" s="58">
        <f>'User Inputs'!D29</f>
        <v>3</v>
      </c>
      <c r="E47" s="133"/>
      <c r="F47" s="134"/>
      <c r="G47" s="134"/>
      <c r="H47" s="135"/>
    </row>
    <row r="48" spans="2:8" x14ac:dyDescent="0.65">
      <c r="B48" s="56" t="s">
        <v>604</v>
      </c>
      <c r="C48" s="57" t="s">
        <v>237</v>
      </c>
      <c r="D48" s="58">
        <f>ROUND(AVERAGE('User Inputs'!H11:H12),0)</f>
        <v>5</v>
      </c>
      <c r="E48" s="133"/>
      <c r="F48" s="134"/>
      <c r="G48" s="134"/>
      <c r="H48" s="135"/>
    </row>
    <row r="49" spans="2:8" x14ac:dyDescent="0.65">
      <c r="B49" s="56" t="s">
        <v>236</v>
      </c>
      <c r="C49" s="57" t="s">
        <v>237</v>
      </c>
      <c r="D49" s="58" t="str">
        <f>'User Inputs'!G11</f>
        <v>Rail</v>
      </c>
      <c r="E49" s="133"/>
      <c r="F49" s="134"/>
      <c r="G49" s="134"/>
      <c r="H49" s="135"/>
    </row>
    <row r="50" spans="2:8" x14ac:dyDescent="0.65">
      <c r="B50" s="56" t="s">
        <v>238</v>
      </c>
      <c r="C50" s="57" t="s">
        <v>237</v>
      </c>
      <c r="D50" s="58" t="str">
        <f>'User Inputs'!G12</f>
        <v>Plane (Business)</v>
      </c>
      <c r="E50" s="133"/>
      <c r="F50" s="134"/>
      <c r="G50" s="134"/>
      <c r="H50" s="135"/>
    </row>
    <row r="51" spans="2:8" x14ac:dyDescent="0.65">
      <c r="B51" s="56" t="s">
        <v>239</v>
      </c>
      <c r="C51" s="57" t="s">
        <v>221</v>
      </c>
      <c r="D51" s="58">
        <f>'User Inputs'!E28</f>
        <v>0</v>
      </c>
      <c r="E51" s="133"/>
      <c r="F51" s="134"/>
      <c r="G51" s="134"/>
      <c r="H51" s="135"/>
    </row>
    <row r="52" spans="2:8" x14ac:dyDescent="0.65">
      <c r="B52" s="56" t="s">
        <v>240</v>
      </c>
      <c r="C52" s="57" t="s">
        <v>235</v>
      </c>
      <c r="D52" s="58">
        <f>'User Inputs'!E29</f>
        <v>0</v>
      </c>
      <c r="E52" s="133"/>
      <c r="F52" s="134"/>
      <c r="G52" s="134"/>
      <c r="H52" s="135"/>
    </row>
    <row r="53" spans="2:8" x14ac:dyDescent="0.65">
      <c r="B53" s="56" t="s">
        <v>604</v>
      </c>
      <c r="C53" s="57" t="s">
        <v>237</v>
      </c>
      <c r="D53" s="58">
        <f>ROUND(AVERAGE('User Inputs'!H10,'User Inputs'!H12),0)</f>
        <v>4</v>
      </c>
      <c r="E53" s="133"/>
      <c r="F53" s="134"/>
      <c r="G53" s="134"/>
      <c r="H53" s="135"/>
    </row>
    <row r="54" spans="2:8" x14ac:dyDescent="0.65">
      <c r="B54" s="56" t="s">
        <v>241</v>
      </c>
      <c r="C54" s="57" t="s">
        <v>237</v>
      </c>
      <c r="D54" s="58" t="str">
        <f>'User Inputs'!G10</f>
        <v>Plane (Business)</v>
      </c>
      <c r="E54" s="133"/>
      <c r="F54" s="134"/>
      <c r="G54" s="134"/>
      <c r="H54" s="135"/>
    </row>
    <row r="55" spans="2:8" x14ac:dyDescent="0.65">
      <c r="B55" s="56" t="s">
        <v>238</v>
      </c>
      <c r="C55" s="57" t="s">
        <v>237</v>
      </c>
      <c r="D55" s="58" t="str">
        <f>'User Inputs'!G12</f>
        <v>Plane (Business)</v>
      </c>
      <c r="E55" s="133"/>
      <c r="F55" s="134"/>
      <c r="G55" s="134"/>
      <c r="H55" s="135"/>
    </row>
    <row r="56" spans="2:8" x14ac:dyDescent="0.65">
      <c r="B56" s="56" t="s">
        <v>242</v>
      </c>
      <c r="C56" s="57" t="s">
        <v>221</v>
      </c>
      <c r="D56" s="58">
        <f>'User Inputs'!F28</f>
        <v>1</v>
      </c>
      <c r="E56" s="133"/>
      <c r="F56" s="134"/>
      <c r="G56" s="134"/>
      <c r="H56" s="135"/>
    </row>
    <row r="57" spans="2:8" x14ac:dyDescent="0.65">
      <c r="B57" s="56" t="s">
        <v>243</v>
      </c>
      <c r="C57" s="57" t="s">
        <v>235</v>
      </c>
      <c r="D57" s="58">
        <f>'User Inputs'!F29</f>
        <v>1</v>
      </c>
      <c r="E57" s="133"/>
      <c r="F57" s="134"/>
      <c r="G57" s="134"/>
      <c r="H57" s="135"/>
    </row>
    <row r="58" spans="2:8" x14ac:dyDescent="0.65">
      <c r="B58" s="56" t="s">
        <v>604</v>
      </c>
      <c r="C58" s="57" t="s">
        <v>237</v>
      </c>
      <c r="D58" s="58">
        <f>ROUND(AVERAGE('User Inputs'!H10:H11),0)</f>
        <v>4</v>
      </c>
      <c r="E58" s="133"/>
      <c r="F58" s="134"/>
      <c r="G58" s="134"/>
      <c r="H58" s="135"/>
    </row>
    <row r="59" spans="2:8" x14ac:dyDescent="0.65">
      <c r="B59" s="56" t="s">
        <v>241</v>
      </c>
      <c r="C59" s="57" t="s">
        <v>237</v>
      </c>
      <c r="D59" s="58" t="str">
        <f>'User Inputs'!G10</f>
        <v>Plane (Business)</v>
      </c>
      <c r="E59" s="133"/>
      <c r="F59" s="134"/>
      <c r="G59" s="134"/>
      <c r="H59" s="135"/>
    </row>
    <row r="60" spans="2:8" x14ac:dyDescent="0.65">
      <c r="B60" s="56" t="s">
        <v>236</v>
      </c>
      <c r="C60" s="57" t="s">
        <v>237</v>
      </c>
      <c r="D60" s="58" t="str">
        <f>'User Inputs'!G11</f>
        <v>Rail</v>
      </c>
      <c r="E60" s="133"/>
      <c r="F60" s="134"/>
      <c r="G60" s="134"/>
      <c r="H60" s="135"/>
    </row>
    <row r="61" spans="2:8" x14ac:dyDescent="0.65">
      <c r="B61" s="80"/>
      <c r="C61" s="82"/>
      <c r="E61" s="131"/>
      <c r="F61" s="132"/>
      <c r="G61" s="132"/>
      <c r="H61" s="132"/>
    </row>
    <row r="62" spans="2:8" x14ac:dyDescent="0.65">
      <c r="B62" s="56" t="s">
        <v>604</v>
      </c>
      <c r="C62" s="57" t="s">
        <v>237</v>
      </c>
      <c r="D62" s="58">
        <f>ROUND(AVERAGE('User Inputs'!H10:H12),0)</f>
        <v>4</v>
      </c>
      <c r="E62" s="133"/>
      <c r="F62" s="134"/>
      <c r="G62" s="134"/>
      <c r="H62" s="135"/>
    </row>
    <row r="63" spans="2:8" x14ac:dyDescent="0.65">
      <c r="B63" s="56" t="s">
        <v>383</v>
      </c>
      <c r="C63" s="57" t="s">
        <v>237</v>
      </c>
      <c r="D63" s="58" t="str">
        <f>'User Inputs'!G10</f>
        <v>Plane (Business)</v>
      </c>
      <c r="E63" s="133"/>
      <c r="F63" s="134"/>
      <c r="G63" s="134"/>
      <c r="H63" s="135"/>
    </row>
    <row r="64" spans="2:8" x14ac:dyDescent="0.65">
      <c r="B64" s="56" t="s">
        <v>384</v>
      </c>
      <c r="C64" s="57" t="s">
        <v>237</v>
      </c>
      <c r="D64" s="58" t="str">
        <f>'User Inputs'!G11</f>
        <v>Rail</v>
      </c>
      <c r="E64" s="133"/>
      <c r="F64" s="134"/>
      <c r="G64" s="134"/>
      <c r="H64" s="135"/>
    </row>
    <row r="65" spans="2:8" x14ac:dyDescent="0.65">
      <c r="B65" s="56" t="s">
        <v>385</v>
      </c>
      <c r="C65" s="57" t="s">
        <v>237</v>
      </c>
      <c r="D65" s="58" t="str">
        <f>'User Inputs'!G12</f>
        <v>Plane (Business)</v>
      </c>
      <c r="E65" s="133"/>
      <c r="F65" s="134"/>
      <c r="G65" s="134"/>
      <c r="H65" s="135"/>
    </row>
    <row r="66" spans="2:8" x14ac:dyDescent="0.65">
      <c r="C66" s="84"/>
      <c r="D66" s="84"/>
    </row>
    <row r="67" spans="2:8" ht="14.5" x14ac:dyDescent="0.7">
      <c r="B67" s="81" t="s">
        <v>244</v>
      </c>
      <c r="C67" s="84"/>
      <c r="D67" s="84"/>
    </row>
    <row r="68" spans="2:8" x14ac:dyDescent="0.65">
      <c r="B68" s="56" t="s">
        <v>245</v>
      </c>
      <c r="C68" s="57" t="s">
        <v>221</v>
      </c>
      <c r="D68" s="58">
        <f>'User Inputs'!$F13</f>
        <v>2</v>
      </c>
      <c r="E68" s="133"/>
      <c r="F68" s="134"/>
      <c r="G68" s="134"/>
      <c r="H68" s="135"/>
    </row>
    <row r="69" spans="2:8" x14ac:dyDescent="0.65">
      <c r="B69" s="56" t="s">
        <v>246</v>
      </c>
      <c r="C69" s="57" t="s">
        <v>221</v>
      </c>
      <c r="D69" s="58">
        <f>'User Inputs'!$F14</f>
        <v>5</v>
      </c>
      <c r="E69" s="133"/>
      <c r="F69" s="134"/>
      <c r="G69" s="134"/>
      <c r="H69" s="135"/>
    </row>
    <row r="70" spans="2:8" x14ac:dyDescent="0.65">
      <c r="B70" s="56" t="s">
        <v>247</v>
      </c>
      <c r="C70" s="57" t="s">
        <v>221</v>
      </c>
      <c r="D70" s="58">
        <f>'User Inputs'!$F15</f>
        <v>3</v>
      </c>
      <c r="E70" s="133"/>
      <c r="F70" s="134"/>
      <c r="G70" s="134"/>
      <c r="H70" s="135"/>
    </row>
    <row r="71" spans="2:8" x14ac:dyDescent="0.65">
      <c r="B71" s="80"/>
      <c r="C71" s="82"/>
      <c r="D71" s="82"/>
      <c r="E71" s="131"/>
      <c r="F71" s="132"/>
      <c r="G71" s="132"/>
      <c r="H71" s="132"/>
    </row>
    <row r="72" spans="2:8" x14ac:dyDescent="0.65">
      <c r="B72" s="56" t="s">
        <v>224</v>
      </c>
      <c r="C72" s="57" t="s">
        <v>221</v>
      </c>
      <c r="D72" s="58">
        <f>'User Inputs'!D20/2*3*SUM(D68:D70)/2</f>
        <v>30</v>
      </c>
      <c r="E72" s="133" t="s">
        <v>652</v>
      </c>
      <c r="F72" s="134"/>
      <c r="G72" s="134"/>
      <c r="H72" s="135"/>
    </row>
    <row r="73" spans="2:8" x14ac:dyDescent="0.65">
      <c r="B73" s="56" t="s">
        <v>225</v>
      </c>
      <c r="C73" s="57" t="s">
        <v>221</v>
      </c>
      <c r="D73" s="58">
        <v>100</v>
      </c>
      <c r="E73" s="133" t="s">
        <v>651</v>
      </c>
      <c r="F73" s="134"/>
      <c r="G73" s="134"/>
      <c r="H73" s="135"/>
    </row>
    <row r="74" spans="2:8" x14ac:dyDescent="0.65">
      <c r="B74" s="56" t="s">
        <v>226</v>
      </c>
      <c r="C74" s="57" t="s">
        <v>227</v>
      </c>
      <c r="D74" s="85">
        <f>IFERROR(D68/SUM(D$68:D$70),0)</f>
        <v>0.2</v>
      </c>
      <c r="E74" s="133" t="s">
        <v>228</v>
      </c>
      <c r="F74" s="134"/>
      <c r="G74" s="134"/>
      <c r="H74" s="135"/>
    </row>
    <row r="75" spans="2:8" x14ac:dyDescent="0.65">
      <c r="B75" s="56" t="s">
        <v>229</v>
      </c>
      <c r="C75" s="57" t="s">
        <v>227</v>
      </c>
      <c r="D75" s="85">
        <f t="shared" ref="D75:D76" si="1">IFERROR(D69/SUM(D$68:D$70),0)</f>
        <v>0.5</v>
      </c>
      <c r="E75" s="133" t="s">
        <v>228</v>
      </c>
      <c r="F75" s="134"/>
      <c r="G75" s="134"/>
      <c r="H75" s="135"/>
    </row>
    <row r="76" spans="2:8" x14ac:dyDescent="0.65">
      <c r="B76" s="56" t="s">
        <v>230</v>
      </c>
      <c r="C76" s="57" t="s">
        <v>227</v>
      </c>
      <c r="D76" s="85">
        <f t="shared" si="1"/>
        <v>0.3</v>
      </c>
      <c r="E76" s="133" t="s">
        <v>228</v>
      </c>
      <c r="F76" s="134"/>
      <c r="G76" s="134"/>
      <c r="H76" s="135"/>
    </row>
    <row r="77" spans="2:8" x14ac:dyDescent="0.65">
      <c r="B77" s="56" t="s">
        <v>351</v>
      </c>
      <c r="C77" s="57" t="s">
        <v>227</v>
      </c>
      <c r="D77" s="85">
        <v>0</v>
      </c>
      <c r="E77" s="133" t="s">
        <v>228</v>
      </c>
      <c r="F77" s="134"/>
      <c r="G77" s="134"/>
      <c r="H77" s="135"/>
    </row>
    <row r="78" spans="2:8" x14ac:dyDescent="0.65">
      <c r="B78" s="56" t="s">
        <v>231</v>
      </c>
      <c r="C78" s="57" t="s">
        <v>232</v>
      </c>
      <c r="D78" s="58">
        <f>100*SUM(D68:D70)</f>
        <v>1000</v>
      </c>
      <c r="E78" s="133"/>
      <c r="F78" s="134"/>
      <c r="G78" s="134"/>
      <c r="H78" s="135"/>
    </row>
    <row r="79" spans="2:8" x14ac:dyDescent="0.65">
      <c r="B79" s="56" t="s">
        <v>346</v>
      </c>
      <c r="C79" s="57" t="s">
        <v>221</v>
      </c>
      <c r="D79" s="58">
        <f>1*SUM(D68:D70)</f>
        <v>10</v>
      </c>
      <c r="E79" s="133" t="s">
        <v>655</v>
      </c>
      <c r="F79" s="134"/>
      <c r="G79" s="134"/>
      <c r="H79" s="135"/>
    </row>
    <row r="80" spans="2:8" x14ac:dyDescent="0.65">
      <c r="B80" s="56" t="s">
        <v>347</v>
      </c>
      <c r="C80" s="57" t="s">
        <v>221</v>
      </c>
      <c r="D80" s="58">
        <f>2*SUM(D68:D70)</f>
        <v>20</v>
      </c>
      <c r="E80" s="133" t="s">
        <v>654</v>
      </c>
      <c r="F80" s="134"/>
      <c r="G80" s="134"/>
      <c r="H80" s="135"/>
    </row>
    <row r="81" spans="2:8" x14ac:dyDescent="0.65">
      <c r="B81" s="56" t="s">
        <v>348</v>
      </c>
      <c r="C81" s="57" t="s">
        <v>221</v>
      </c>
      <c r="D81" s="58">
        <f>'User Inputs'!D38*SUM('User Inputs'!D39:D41)+'User Inputs'!E38*SUM('User Inputs'!E39:E41)+'User Inputs'!F38*SUM('User Inputs'!F39:F41)</f>
        <v>232</v>
      </c>
      <c r="E81" s="133" t="s">
        <v>653</v>
      </c>
      <c r="F81" s="134"/>
      <c r="G81" s="134"/>
      <c r="H81" s="135"/>
    </row>
    <row r="82" spans="2:8" x14ac:dyDescent="0.65">
      <c r="B82" s="80"/>
      <c r="C82" s="82"/>
      <c r="D82" s="83"/>
      <c r="E82" s="131"/>
      <c r="F82" s="132"/>
      <c r="G82" s="132"/>
      <c r="H82" s="132"/>
    </row>
    <row r="83" spans="2:8" x14ac:dyDescent="0.65">
      <c r="B83" s="56" t="s">
        <v>568</v>
      </c>
      <c r="C83" s="57" t="s">
        <v>569</v>
      </c>
      <c r="D83" s="58">
        <f>'User Inputs'!D20/2*5</f>
        <v>10</v>
      </c>
      <c r="E83" s="133" t="s">
        <v>658</v>
      </c>
      <c r="F83" s="134"/>
      <c r="G83" s="134"/>
      <c r="H83" s="135"/>
    </row>
    <row r="84" spans="2:8" x14ac:dyDescent="0.65">
      <c r="B84" s="80"/>
      <c r="C84" s="82"/>
      <c r="D84" s="83"/>
      <c r="E84" s="131"/>
      <c r="F84" s="132"/>
      <c r="G84" s="132"/>
      <c r="H84" s="132"/>
    </row>
    <row r="85" spans="2:8" x14ac:dyDescent="0.65">
      <c r="B85" s="56" t="s">
        <v>248</v>
      </c>
      <c r="C85" s="57" t="s">
        <v>221</v>
      </c>
      <c r="D85" s="58">
        <f>'User Inputs'!D37</f>
        <v>1</v>
      </c>
      <c r="E85" s="133"/>
      <c r="F85" s="134"/>
      <c r="G85" s="134"/>
      <c r="H85" s="135"/>
    </row>
    <row r="86" spans="2:8" x14ac:dyDescent="0.65">
      <c r="B86" s="56" t="s">
        <v>249</v>
      </c>
      <c r="C86" s="57" t="s">
        <v>235</v>
      </c>
      <c r="D86" s="58">
        <f>'User Inputs'!D38</f>
        <v>5</v>
      </c>
      <c r="E86" s="133"/>
      <c r="F86" s="134"/>
      <c r="G86" s="134"/>
      <c r="H86" s="135"/>
    </row>
    <row r="87" spans="2:8" x14ac:dyDescent="0.65">
      <c r="B87" s="56" t="s">
        <v>604</v>
      </c>
      <c r="C87" s="57" t="s">
        <v>237</v>
      </c>
      <c r="D87" s="58">
        <f>ROUND(AVERAGE('User Inputs'!H14:H15),0)</f>
        <v>4</v>
      </c>
      <c r="E87" s="133"/>
      <c r="F87" s="134"/>
      <c r="G87" s="134"/>
      <c r="H87" s="135"/>
    </row>
    <row r="88" spans="2:8" x14ac:dyDescent="0.65">
      <c r="B88" s="56" t="s">
        <v>250</v>
      </c>
      <c r="C88" s="57" t="s">
        <v>237</v>
      </c>
      <c r="D88" s="58" t="str">
        <f>'User Inputs'!G14</f>
        <v>Rail</v>
      </c>
      <c r="E88" s="133"/>
      <c r="F88" s="134"/>
      <c r="G88" s="134"/>
      <c r="H88" s="135"/>
    </row>
    <row r="89" spans="2:8" x14ac:dyDescent="0.65">
      <c r="B89" s="56" t="s">
        <v>238</v>
      </c>
      <c r="C89" s="57" t="s">
        <v>237</v>
      </c>
      <c r="D89" s="58" t="str">
        <f>'User Inputs'!G15</f>
        <v>Plane (Business)</v>
      </c>
      <c r="E89" s="133"/>
      <c r="F89" s="134"/>
      <c r="G89" s="134"/>
      <c r="H89" s="135"/>
    </row>
    <row r="90" spans="2:8" x14ac:dyDescent="0.65">
      <c r="B90" s="56" t="s">
        <v>239</v>
      </c>
      <c r="C90" s="57" t="s">
        <v>221</v>
      </c>
      <c r="D90" s="58">
        <f>'User Inputs'!E37</f>
        <v>4</v>
      </c>
      <c r="E90" s="133"/>
      <c r="F90" s="134"/>
      <c r="G90" s="134"/>
      <c r="H90" s="135"/>
    </row>
    <row r="91" spans="2:8" x14ac:dyDescent="0.65">
      <c r="B91" s="56" t="s">
        <v>240</v>
      </c>
      <c r="C91" s="57" t="s">
        <v>235</v>
      </c>
      <c r="D91" s="58">
        <f>'User Inputs'!E38</f>
        <v>18</v>
      </c>
      <c r="E91" s="133"/>
      <c r="F91" s="134"/>
      <c r="G91" s="134"/>
      <c r="H91" s="135"/>
    </row>
    <row r="92" spans="2:8" x14ac:dyDescent="0.65">
      <c r="B92" s="56" t="s">
        <v>604</v>
      </c>
      <c r="C92" s="57" t="s">
        <v>237</v>
      </c>
      <c r="D92" s="58">
        <f>ROUND(AVERAGE('User Inputs'!H13,'User Inputs'!H15),0)</f>
        <v>5</v>
      </c>
      <c r="E92" s="133"/>
      <c r="F92" s="134"/>
      <c r="G92" s="134"/>
      <c r="H92" s="135"/>
    </row>
    <row r="93" spans="2:8" x14ac:dyDescent="0.65">
      <c r="B93" s="56" t="s">
        <v>251</v>
      </c>
      <c r="C93" s="57" t="s">
        <v>237</v>
      </c>
      <c r="D93" s="58" t="str">
        <f>'User Inputs'!G13</f>
        <v>Rail</v>
      </c>
      <c r="E93" s="133"/>
      <c r="F93" s="134"/>
      <c r="G93" s="134"/>
      <c r="H93" s="135"/>
    </row>
    <row r="94" spans="2:8" x14ac:dyDescent="0.65">
      <c r="B94" s="56" t="s">
        <v>238</v>
      </c>
      <c r="C94" s="57" t="s">
        <v>237</v>
      </c>
      <c r="D94" s="58" t="str">
        <f>'User Inputs'!G15</f>
        <v>Plane (Business)</v>
      </c>
      <c r="E94" s="133"/>
      <c r="F94" s="134"/>
      <c r="G94" s="134"/>
      <c r="H94" s="135"/>
    </row>
    <row r="95" spans="2:8" x14ac:dyDescent="0.65">
      <c r="B95" s="56" t="s">
        <v>242</v>
      </c>
      <c r="C95" s="57" t="s">
        <v>221</v>
      </c>
      <c r="D95" s="58">
        <f>'User Inputs'!F37</f>
        <v>1</v>
      </c>
      <c r="E95" s="133"/>
      <c r="F95" s="134"/>
      <c r="G95" s="134"/>
      <c r="H95" s="135"/>
    </row>
    <row r="96" spans="2:8" x14ac:dyDescent="0.65">
      <c r="B96" s="56" t="s">
        <v>243</v>
      </c>
      <c r="C96" s="57" t="s">
        <v>235</v>
      </c>
      <c r="D96" s="58">
        <f>'User Inputs'!F38</f>
        <v>5</v>
      </c>
      <c r="E96" s="133"/>
      <c r="F96" s="134"/>
      <c r="G96" s="134"/>
      <c r="H96" s="135"/>
    </row>
    <row r="97" spans="2:8" x14ac:dyDescent="0.65">
      <c r="B97" s="56" t="s">
        <v>604</v>
      </c>
      <c r="C97" s="57" t="s">
        <v>237</v>
      </c>
      <c r="D97" s="58">
        <f>ROUND(AVERAGE('User Inputs'!H13:H14),0)</f>
        <v>4</v>
      </c>
      <c r="E97" s="133"/>
      <c r="F97" s="134"/>
      <c r="G97" s="134"/>
      <c r="H97" s="135"/>
    </row>
    <row r="98" spans="2:8" x14ac:dyDescent="0.65">
      <c r="B98" s="56" t="s">
        <v>251</v>
      </c>
      <c r="C98" s="57" t="s">
        <v>237</v>
      </c>
      <c r="D98" s="58" t="str">
        <f>'User Inputs'!G13</f>
        <v>Rail</v>
      </c>
      <c r="E98" s="133"/>
      <c r="F98" s="134"/>
      <c r="G98" s="134"/>
      <c r="H98" s="135"/>
    </row>
    <row r="99" spans="2:8" x14ac:dyDescent="0.65">
      <c r="B99" s="56" t="s">
        <v>236</v>
      </c>
      <c r="C99" s="57" t="s">
        <v>237</v>
      </c>
      <c r="D99" s="58" t="str">
        <f>'User Inputs'!G14</f>
        <v>Rail</v>
      </c>
      <c r="E99" s="133"/>
      <c r="F99" s="134"/>
      <c r="G99" s="134"/>
      <c r="H99" s="135"/>
    </row>
    <row r="100" spans="2:8" x14ac:dyDescent="0.65">
      <c r="B100" s="80"/>
      <c r="C100" s="82"/>
      <c r="D100" s="83"/>
      <c r="E100" s="131"/>
      <c r="F100" s="132"/>
      <c r="G100" s="132"/>
      <c r="H100" s="132"/>
    </row>
    <row r="101" spans="2:8" x14ac:dyDescent="0.65">
      <c r="B101" s="56" t="s">
        <v>659</v>
      </c>
      <c r="C101" s="57" t="s">
        <v>237</v>
      </c>
      <c r="D101" s="58">
        <f>ROUND(AVERAGE('User Inputs'!H13:H15),0)</f>
        <v>4</v>
      </c>
      <c r="E101" s="133"/>
      <c r="F101" s="134"/>
      <c r="G101" s="134"/>
      <c r="H101" s="135"/>
    </row>
    <row r="102" spans="2:8" x14ac:dyDescent="0.65">
      <c r="B102" s="56" t="s">
        <v>386</v>
      </c>
      <c r="C102" s="57" t="s">
        <v>237</v>
      </c>
      <c r="D102" s="58" t="str">
        <f>'User Inputs'!G13</f>
        <v>Rail</v>
      </c>
      <c r="E102" s="133"/>
      <c r="F102" s="134"/>
      <c r="G102" s="134"/>
      <c r="H102" s="135"/>
    </row>
    <row r="103" spans="2:8" x14ac:dyDescent="0.65">
      <c r="B103" s="56" t="s">
        <v>384</v>
      </c>
      <c r="C103" s="57" t="s">
        <v>237</v>
      </c>
      <c r="D103" s="58" t="str">
        <f>'User Inputs'!G14</f>
        <v>Rail</v>
      </c>
      <c r="E103" s="133"/>
      <c r="F103" s="134"/>
      <c r="G103" s="134"/>
      <c r="H103" s="135"/>
    </row>
    <row r="104" spans="2:8" x14ac:dyDescent="0.65">
      <c r="B104" s="56" t="s">
        <v>385</v>
      </c>
      <c r="C104" s="57" t="s">
        <v>237</v>
      </c>
      <c r="D104" s="58" t="str">
        <f>'User Inputs'!G15</f>
        <v>Plane (Business)</v>
      </c>
      <c r="E104" s="133"/>
      <c r="F104" s="134"/>
      <c r="G104" s="134"/>
      <c r="H104" s="135"/>
    </row>
    <row r="106" spans="2:8" x14ac:dyDescent="0.65">
      <c r="B106" s="74" t="s">
        <v>625</v>
      </c>
    </row>
    <row r="107" spans="2:8" x14ac:dyDescent="0.65">
      <c r="B107" s="74" t="s">
        <v>568</v>
      </c>
      <c r="D107" s="74">
        <f>D83</f>
        <v>10</v>
      </c>
    </row>
    <row r="108" spans="2:8" x14ac:dyDescent="0.65">
      <c r="B108" s="74" t="s">
        <v>622</v>
      </c>
      <c r="D108" s="74">
        <f>D107</f>
        <v>10</v>
      </c>
    </row>
    <row r="109" spans="2:8" x14ac:dyDescent="0.65">
      <c r="B109" s="74" t="s">
        <v>623</v>
      </c>
      <c r="D109" s="74">
        <f>D108</f>
        <v>10</v>
      </c>
    </row>
    <row r="110" spans="2:8" x14ac:dyDescent="0.65">
      <c r="B110" s="74" t="s">
        <v>624</v>
      </c>
    </row>
  </sheetData>
  <mergeCells count="67">
    <mergeCell ref="E26:H26"/>
    <mergeCell ref="E98:H98"/>
    <mergeCell ref="E99:H99"/>
    <mergeCell ref="E102:H102"/>
    <mergeCell ref="E103:H103"/>
    <mergeCell ref="E86:H86"/>
    <mergeCell ref="E87:H87"/>
    <mergeCell ref="E88:H88"/>
    <mergeCell ref="E89:H89"/>
    <mergeCell ref="E90:H90"/>
    <mergeCell ref="E91:H91"/>
    <mergeCell ref="E78:H78"/>
    <mergeCell ref="E79:H79"/>
    <mergeCell ref="E80:H80"/>
    <mergeCell ref="E81:H81"/>
    <mergeCell ref="E83:H83"/>
    <mergeCell ref="E104:H104"/>
    <mergeCell ref="E101:H101"/>
    <mergeCell ref="E92:H92"/>
    <mergeCell ref="E93:H93"/>
    <mergeCell ref="E94:H94"/>
    <mergeCell ref="E95:H95"/>
    <mergeCell ref="E96:H96"/>
    <mergeCell ref="E97:H97"/>
    <mergeCell ref="E85:H85"/>
    <mergeCell ref="E72:H72"/>
    <mergeCell ref="E73:H73"/>
    <mergeCell ref="E74:H74"/>
    <mergeCell ref="E75:H75"/>
    <mergeCell ref="E76:H76"/>
    <mergeCell ref="E77:H77"/>
    <mergeCell ref="E65:H65"/>
    <mergeCell ref="E68:H68"/>
    <mergeCell ref="E69:H69"/>
    <mergeCell ref="E70:H70"/>
    <mergeCell ref="E42:H42"/>
    <mergeCell ref="E44:H44"/>
    <mergeCell ref="E62:H62"/>
    <mergeCell ref="E58:H58"/>
    <mergeCell ref="E59:H59"/>
    <mergeCell ref="E60:H60"/>
    <mergeCell ref="E63:H63"/>
    <mergeCell ref="E64:H64"/>
    <mergeCell ref="E52:H52"/>
    <mergeCell ref="E53:H53"/>
    <mergeCell ref="E54:H54"/>
    <mergeCell ref="E55:H55"/>
    <mergeCell ref="E56:H56"/>
    <mergeCell ref="E57:H57"/>
    <mergeCell ref="E46:H46"/>
    <mergeCell ref="E47:H47"/>
    <mergeCell ref="E48:H48"/>
    <mergeCell ref="E49:H49"/>
    <mergeCell ref="E50:H50"/>
    <mergeCell ref="E51:H51"/>
    <mergeCell ref="E41:H41"/>
    <mergeCell ref="E29:H29"/>
    <mergeCell ref="E30:H30"/>
    <mergeCell ref="E31:H31"/>
    <mergeCell ref="E33:H33"/>
    <mergeCell ref="E34:H34"/>
    <mergeCell ref="E35:H35"/>
    <mergeCell ref="E36:H36"/>
    <mergeCell ref="E37:H37"/>
    <mergeCell ref="E38:H38"/>
    <mergeCell ref="E39:H39"/>
    <mergeCell ref="E40:H40"/>
  </mergeCells>
  <dataValidations disablePrompts="1" count="1">
    <dataValidation type="list" allowBlank="1" showInputMessage="1" showErrorMessage="1" sqref="D23" xr:uid="{5E8593BD-12A1-429F-B1C4-9F9BF0676F46}">
      <formula1>"Yes,No"</formula1>
    </dataValidation>
  </dataValidations>
  <pageMargins left="0.7" right="0.7" top="0.75" bottom="0.75" header="0.3" footer="0.3"/>
  <pageSetup orientation="portrait" horizontalDpi="300" verticalDpi="300" r:id="rId1"/>
  <ignoredErrors>
    <ignoredError sqref="D48" formulaRange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A9E210-C876-4709-835C-CE01E9DEABC2}">
          <x14:formula1>
            <xm:f>'List Selections'!$I$5:$I$9</xm:f>
          </x14:formula1>
          <xm:sqref>D49:D50 D98:D99 D63:D65 D54:D55 D93:D94 D88:D89 D59:D60 D102:D104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3A3-8869-4A9A-A431-0A67788A408B}">
  <dimension ref="B2:D57"/>
  <sheetViews>
    <sheetView tabSelected="1" workbookViewId="0">
      <selection activeCell="B14" sqref="B14"/>
    </sheetView>
  </sheetViews>
  <sheetFormatPr defaultColWidth="8.7265625" defaultRowHeight="14.25" x14ac:dyDescent="0.65"/>
  <cols>
    <col min="1" max="1" width="8.7265625" style="31"/>
    <col min="2" max="2" width="25.54296875" style="31" customWidth="1"/>
    <col min="3" max="3" width="4.54296875" style="31" customWidth="1"/>
    <col min="4" max="4" width="25.54296875" style="31" customWidth="1"/>
    <col min="5" max="16384" width="8.7265625" style="31"/>
  </cols>
  <sheetData>
    <row r="2" spans="2:4" ht="15.5" x14ac:dyDescent="0.7">
      <c r="B2" s="40" t="s">
        <v>254</v>
      </c>
    </row>
    <row r="3" spans="2:4" ht="15.5" x14ac:dyDescent="0.7">
      <c r="B3" s="40"/>
    </row>
    <row r="4" spans="2:4" ht="14.5" x14ac:dyDescent="0.7">
      <c r="B4" s="29" t="s">
        <v>219</v>
      </c>
    </row>
    <row r="5" spans="2:4" s="30" customFormat="1" ht="14.5" x14ac:dyDescent="0.7">
      <c r="B5" s="29" t="s">
        <v>667</v>
      </c>
      <c r="C5" s="31"/>
      <c r="D5" s="103" t="s">
        <v>201</v>
      </c>
    </row>
    <row r="6" spans="2:4" x14ac:dyDescent="0.65">
      <c r="B6" s="31" t="s">
        <v>255</v>
      </c>
      <c r="D6" s="102">
        <f>SUM('Emissions Calcs'!C11:C15)</f>
        <v>3.6040776325600001</v>
      </c>
    </row>
    <row r="7" spans="2:4" x14ac:dyDescent="0.65">
      <c r="B7" s="148" t="s">
        <v>200</v>
      </c>
      <c r="C7" s="148"/>
      <c r="D7" s="149">
        <f>'Emissions Calcs'!C16</f>
        <v>208.79999999999998</v>
      </c>
    </row>
    <row r="8" spans="2:4" ht="14.5" x14ac:dyDescent="0.7">
      <c r="B8" s="29" t="s">
        <v>414</v>
      </c>
      <c r="D8" s="103">
        <f>SUM(D6:D7)</f>
        <v>212.40407763255999</v>
      </c>
    </row>
    <row r="9" spans="2:4" ht="14.5" x14ac:dyDescent="0.7">
      <c r="B9" s="29"/>
      <c r="D9" s="103"/>
    </row>
    <row r="10" spans="2:4" ht="14.5" x14ac:dyDescent="0.7">
      <c r="B10" s="29" t="s">
        <v>668</v>
      </c>
      <c r="D10" s="103" t="s">
        <v>201</v>
      </c>
    </row>
    <row r="11" spans="2:4" x14ac:dyDescent="0.65">
      <c r="B11" s="31" t="s">
        <v>255</v>
      </c>
      <c r="D11" s="102">
        <f>SUM('Emissions Calcs'!C30:C34)</f>
        <v>3.63669869304</v>
      </c>
    </row>
    <row r="12" spans="2:4" x14ac:dyDescent="0.65">
      <c r="B12" s="31" t="s">
        <v>415</v>
      </c>
      <c r="D12" s="102">
        <f>'Emissions Calcs'!C57</f>
        <v>35.073254692399999</v>
      </c>
    </row>
    <row r="13" spans="2:4" x14ac:dyDescent="0.65">
      <c r="B13" s="138" t="s">
        <v>684</v>
      </c>
      <c r="C13" s="138"/>
      <c r="D13" s="150">
        <f>'Emissions Calcs'!C35</f>
        <v>1183.2</v>
      </c>
    </row>
    <row r="14" spans="2:4" x14ac:dyDescent="0.65">
      <c r="B14" s="31" t="s">
        <v>209</v>
      </c>
      <c r="D14" s="102">
        <f>SUM('Emissions Calcs'!C41:C42,'Emissions Calcs'!C45:C46,'Emissions Calcs'!C49:C50,'Emissions Calcs'!C53:C55)</f>
        <v>5859.095275626597</v>
      </c>
    </row>
    <row r="15" spans="2:4" x14ac:dyDescent="0.65">
      <c r="B15" s="31" t="s">
        <v>256</v>
      </c>
      <c r="D15" s="102">
        <f>SUM('Emissions Calcs'!C40,'Emissions Calcs'!C44,'Emissions Calcs'!C48,'Emissions Calcs'!C52)</f>
        <v>1427.2799380198976</v>
      </c>
    </row>
    <row r="16" spans="2:4" x14ac:dyDescent="0.65">
      <c r="B16" s="31" t="s">
        <v>257</v>
      </c>
      <c r="D16" s="102">
        <f>SUM('Emissions Calcs'!C36:C38)</f>
        <v>4.4649542386284455</v>
      </c>
    </row>
    <row r="17" spans="2:4" ht="14.5" x14ac:dyDescent="0.7">
      <c r="B17" s="43" t="s">
        <v>413</v>
      </c>
      <c r="C17" s="44"/>
      <c r="D17" s="104">
        <f t="shared" ref="D17" si="0">SUM(D11:D16)</f>
        <v>8512.7501212705629</v>
      </c>
    </row>
    <row r="18" spans="2:4" ht="14.5" x14ac:dyDescent="0.7">
      <c r="B18" s="43"/>
      <c r="C18" s="44"/>
      <c r="D18" s="89"/>
    </row>
    <row r="19" spans="2:4" ht="14.5" x14ac:dyDescent="0.7">
      <c r="B19" s="43" t="s">
        <v>258</v>
      </c>
      <c r="C19" s="44"/>
      <c r="D19" s="89">
        <f>SUM(D17,D8)</f>
        <v>8725.154198903123</v>
      </c>
    </row>
    <row r="20" spans="2:4" ht="14.5" x14ac:dyDescent="0.7">
      <c r="B20" s="29"/>
      <c r="D20" s="86"/>
    </row>
    <row r="21" spans="2:4" ht="14.5" x14ac:dyDescent="0.7">
      <c r="B21" s="47" t="s">
        <v>244</v>
      </c>
      <c r="C21" s="42"/>
      <c r="D21" s="88"/>
    </row>
    <row r="22" spans="2:4" ht="14.5" x14ac:dyDescent="0.7">
      <c r="B22" s="29" t="s">
        <v>667</v>
      </c>
      <c r="D22" s="103" t="s">
        <v>201</v>
      </c>
    </row>
    <row r="23" spans="2:4" x14ac:dyDescent="0.65">
      <c r="B23" s="31" t="s">
        <v>255</v>
      </c>
      <c r="D23" s="102">
        <f>SUM('Emissions Calcs'!C19:C23)</f>
        <v>4.0585688003999998</v>
      </c>
    </row>
    <row r="24" spans="2:4" x14ac:dyDescent="0.65">
      <c r="B24" s="42" t="s">
        <v>200</v>
      </c>
      <c r="C24" s="42"/>
      <c r="D24" s="149">
        <f>'Emissions Calcs'!C24</f>
        <v>231.99999999999997</v>
      </c>
    </row>
    <row r="25" spans="2:4" ht="14.5" x14ac:dyDescent="0.7">
      <c r="B25" s="29" t="s">
        <v>414</v>
      </c>
      <c r="D25" s="103">
        <f>SUM(D23:D24)</f>
        <v>236.05856880039997</v>
      </c>
    </row>
    <row r="26" spans="2:4" ht="14.5" x14ac:dyDescent="0.7">
      <c r="B26" s="29"/>
      <c r="D26" s="103"/>
    </row>
    <row r="27" spans="2:4" ht="14.5" x14ac:dyDescent="0.7">
      <c r="B27" s="29" t="s">
        <v>668</v>
      </c>
      <c r="D27" s="103" t="s">
        <v>201</v>
      </c>
    </row>
    <row r="28" spans="2:4" x14ac:dyDescent="0.65">
      <c r="B28" s="31" t="s">
        <v>255</v>
      </c>
      <c r="D28" s="102">
        <f>SUM('Emissions Calcs'!C60:C64)</f>
        <v>4.0585688003999998</v>
      </c>
    </row>
    <row r="29" spans="2:4" x14ac:dyDescent="0.65">
      <c r="B29" s="31" t="s">
        <v>415</v>
      </c>
      <c r="D29" s="102">
        <f>'Emissions Calcs'!C87</f>
        <v>42.145079291199998</v>
      </c>
    </row>
    <row r="30" spans="2:4" x14ac:dyDescent="0.65">
      <c r="B30" s="138" t="s">
        <v>684</v>
      </c>
      <c r="C30" s="138"/>
      <c r="D30" s="150">
        <f>'Emissions Calcs'!C65</f>
        <v>1314.6666666666667</v>
      </c>
    </row>
    <row r="31" spans="2:4" x14ac:dyDescent="0.65">
      <c r="B31" s="31" t="s">
        <v>209</v>
      </c>
      <c r="D31" s="102">
        <f>SUM('Emissions Calcs'!C71:C72,'Emissions Calcs'!C75:C76,'Emissions Calcs'!C79:C80,'Emissions Calcs'!C83:C85)</f>
        <v>23833.924828322994</v>
      </c>
    </row>
    <row r="32" spans="2:4" x14ac:dyDescent="0.65">
      <c r="B32" s="31" t="s">
        <v>256</v>
      </c>
      <c r="D32" s="102">
        <f>SUM('Emissions Calcs'!C70,'Emissions Calcs'!C74,'Emissions Calcs'!C78,'Emissions Calcs'!C82)</f>
        <v>7883.5213862181745</v>
      </c>
    </row>
    <row r="33" spans="2:4" x14ac:dyDescent="0.65">
      <c r="B33" s="31" t="s">
        <v>257</v>
      </c>
      <c r="D33" s="102">
        <f>SUM('Emissions Calcs'!C66:C68)</f>
        <v>6.6332602651427166</v>
      </c>
    </row>
    <row r="34" spans="2:4" ht="14.5" x14ac:dyDescent="0.7">
      <c r="B34" s="43" t="s">
        <v>413</v>
      </c>
      <c r="C34" s="44"/>
      <c r="D34" s="104">
        <f t="shared" ref="D34" si="1">SUM(D28:D33)</f>
        <v>33084.949789564584</v>
      </c>
    </row>
    <row r="35" spans="2:4" ht="14.5" x14ac:dyDescent="0.7">
      <c r="B35" s="43"/>
      <c r="C35" s="44"/>
      <c r="D35" s="104"/>
    </row>
    <row r="36" spans="2:4" ht="14.5" x14ac:dyDescent="0.7">
      <c r="B36" s="43" t="s">
        <v>259</v>
      </c>
      <c r="C36" s="44"/>
      <c r="D36" s="104">
        <f>SUM(D34,D25)</f>
        <v>33321.008358364983</v>
      </c>
    </row>
    <row r="37" spans="2:4" ht="14.5" x14ac:dyDescent="0.7">
      <c r="B37" s="29"/>
      <c r="D37" s="69"/>
    </row>
    <row r="38" spans="2:4" s="138" customFormat="1" ht="14.5" x14ac:dyDescent="0.7">
      <c r="B38" s="152" t="s">
        <v>669</v>
      </c>
      <c r="D38" s="153"/>
    </row>
    <row r="39" spans="2:4" s="138" customFormat="1" ht="14.5" x14ac:dyDescent="0.7">
      <c r="B39" s="152" t="s">
        <v>667</v>
      </c>
      <c r="D39" s="153"/>
    </row>
    <row r="40" spans="2:4" s="138" customFormat="1" x14ac:dyDescent="0.65">
      <c r="B40" s="138" t="s">
        <v>255</v>
      </c>
      <c r="D40" s="159">
        <f>SUM('Emissions Calcs'!C99:C101)</f>
        <v>1.5660946530000001E-2</v>
      </c>
    </row>
    <row r="41" spans="2:4" s="138" customFormat="1" x14ac:dyDescent="0.65">
      <c r="B41" s="148" t="s">
        <v>200</v>
      </c>
      <c r="D41" s="158">
        <f>SUM('Emissions Calcs'!C107)</f>
        <v>69.600000000000009</v>
      </c>
    </row>
    <row r="42" spans="2:4" s="138" customFormat="1" ht="14.5" x14ac:dyDescent="0.7">
      <c r="B42" s="152" t="s">
        <v>414</v>
      </c>
      <c r="D42" s="153">
        <f>SUM(D40:D41)</f>
        <v>69.615660946530014</v>
      </c>
    </row>
    <row r="43" spans="2:4" s="138" customFormat="1" ht="14.5" x14ac:dyDescent="0.7">
      <c r="B43" s="152"/>
      <c r="D43" s="153"/>
    </row>
    <row r="44" spans="2:4" s="138" customFormat="1" ht="14.5" x14ac:dyDescent="0.7">
      <c r="B44" s="152" t="s">
        <v>668</v>
      </c>
      <c r="D44" s="153"/>
    </row>
    <row r="45" spans="2:4" s="138" customFormat="1" x14ac:dyDescent="0.65">
      <c r="B45" s="138" t="s">
        <v>255</v>
      </c>
      <c r="D45" s="158">
        <f>SUM('Emissions Calcs'!C103:C105)</f>
        <v>7.1883744572700022E-3</v>
      </c>
    </row>
    <row r="46" spans="2:4" s="138" customFormat="1" x14ac:dyDescent="0.65">
      <c r="B46" s="138" t="s">
        <v>415</v>
      </c>
      <c r="D46" s="153">
        <f>SUM('Emissions Calcs'!C111:C113)</f>
        <v>43.52003030169999</v>
      </c>
    </row>
    <row r="47" spans="2:4" s="138" customFormat="1" x14ac:dyDescent="0.65">
      <c r="B47" s="138" t="s">
        <v>684</v>
      </c>
      <c r="D47" s="153">
        <f>SUM('Emissions Calcs'!C109)</f>
        <v>394.4</v>
      </c>
    </row>
    <row r="48" spans="2:4" s="138" customFormat="1" x14ac:dyDescent="0.65">
      <c r="B48" s="138" t="s">
        <v>682</v>
      </c>
      <c r="D48" s="153">
        <f>SUM('Emissions Calcs'!C91:C93)</f>
        <v>446.47165063785917</v>
      </c>
    </row>
    <row r="49" spans="2:4" s="138" customFormat="1" x14ac:dyDescent="0.65">
      <c r="B49" s="138" t="s">
        <v>683</v>
      </c>
      <c r="D49" s="153">
        <f>SUM('Emissions Calcs'!C95:C97)</f>
        <v>174.37231244177229</v>
      </c>
    </row>
    <row r="50" spans="2:4" s="138" customFormat="1" x14ac:dyDescent="0.65">
      <c r="B50" s="138" t="s">
        <v>257</v>
      </c>
      <c r="D50" s="153">
        <f>SUM('Emissions Calcs'!C115)</f>
        <v>1.752349658490183</v>
      </c>
    </row>
    <row r="51" spans="2:4" s="138" customFormat="1" ht="14.5" x14ac:dyDescent="0.7">
      <c r="B51" s="154" t="s">
        <v>413</v>
      </c>
      <c r="D51" s="153">
        <f>SUM(D45:D50)</f>
        <v>1060.5235314142788</v>
      </c>
    </row>
    <row r="52" spans="2:4" ht="14.5" x14ac:dyDescent="0.7">
      <c r="B52" s="151"/>
      <c r="D52" s="69"/>
    </row>
    <row r="53" spans="2:4" ht="14.5" x14ac:dyDescent="0.7">
      <c r="B53" s="151" t="s">
        <v>670</v>
      </c>
      <c r="D53" s="69"/>
    </row>
    <row r="54" spans="2:4" ht="15.25" thickBot="1" x14ac:dyDescent="0.85">
      <c r="B54" s="29"/>
      <c r="D54" s="69"/>
    </row>
    <row r="55" spans="2:4" x14ac:dyDescent="0.65">
      <c r="B55" s="120" t="s">
        <v>575</v>
      </c>
      <c r="C55" s="120"/>
      <c r="D55" s="123">
        <f>D42+D8+D25</f>
        <v>518.07830737948996</v>
      </c>
    </row>
    <row r="56" spans="2:4" ht="15" thickBot="1" x14ac:dyDescent="0.8">
      <c r="B56" s="121" t="s">
        <v>576</v>
      </c>
      <c r="C56" s="121"/>
      <c r="D56" s="122">
        <f>D51+D34+D17</f>
        <v>42658.223442249422</v>
      </c>
    </row>
    <row r="57" spans="2:4" ht="15.25" thickBot="1" x14ac:dyDescent="0.85">
      <c r="B57" s="48" t="s">
        <v>260</v>
      </c>
      <c r="C57" s="49"/>
      <c r="D57" s="87">
        <f t="shared" ref="D57" si="2">SUM(D36,D19)</f>
        <v>42046.162557268108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FD69-CCB8-4977-A1B9-C191ED85688D}">
  <dimension ref="B2:G39"/>
  <sheetViews>
    <sheetView topLeftCell="A17" workbookViewId="0">
      <selection activeCell="E23" sqref="E23"/>
    </sheetView>
  </sheetViews>
  <sheetFormatPr defaultColWidth="8.7265625" defaultRowHeight="14.25" x14ac:dyDescent="0.65"/>
  <cols>
    <col min="1" max="1" width="4.54296875" style="31" customWidth="1"/>
    <col min="2" max="2" width="60.54296875" style="31" customWidth="1"/>
    <col min="3" max="3" width="4.54296875" style="31" customWidth="1"/>
    <col min="4" max="5" width="30.54296875" style="32" customWidth="1"/>
    <col min="6" max="6" width="73.7265625" style="32" bestFit="1" customWidth="1"/>
    <col min="7" max="7" width="114.86328125" style="32" bestFit="1" customWidth="1"/>
    <col min="8" max="16384" width="8.7265625" style="31"/>
  </cols>
  <sheetData>
    <row r="2" spans="2:7" ht="18" x14ac:dyDescent="0.8">
      <c r="B2" s="34" t="s">
        <v>184</v>
      </c>
    </row>
    <row r="4" spans="2:7" s="37" customFormat="1" ht="16.25" thickBot="1" x14ac:dyDescent="0.9">
      <c r="B4" s="45" t="s">
        <v>185</v>
      </c>
      <c r="C4" s="46"/>
      <c r="D4" s="46" t="s">
        <v>186</v>
      </c>
      <c r="E4" s="46" t="s">
        <v>187</v>
      </c>
      <c r="F4" s="46" t="s">
        <v>0</v>
      </c>
      <c r="G4" s="46" t="s">
        <v>340</v>
      </c>
    </row>
    <row r="5" spans="2:7" s="35" customFormat="1" ht="15.5" x14ac:dyDescent="0.75">
      <c r="B5" s="36"/>
    </row>
    <row r="6" spans="2:7" s="29" customFormat="1" ht="14.5" x14ac:dyDescent="0.7">
      <c r="B6" s="47" t="s">
        <v>188</v>
      </c>
      <c r="C6" s="47"/>
      <c r="D6" s="41"/>
      <c r="E6" s="41"/>
      <c r="F6" s="41"/>
      <c r="G6" s="41"/>
    </row>
    <row r="7" spans="2:7" x14ac:dyDescent="0.65">
      <c r="B7" s="31" t="s">
        <v>189</v>
      </c>
      <c r="D7" s="32" t="s">
        <v>190</v>
      </c>
      <c r="E7" s="38">
        <v>1</v>
      </c>
      <c r="F7" s="31" t="s">
        <v>562</v>
      </c>
      <c r="G7" s="31"/>
    </row>
    <row r="8" spans="2:7" x14ac:dyDescent="0.65">
      <c r="B8" s="31" t="s">
        <v>191</v>
      </c>
      <c r="D8" s="32" t="s">
        <v>192</v>
      </c>
      <c r="E8" s="38">
        <v>400</v>
      </c>
      <c r="F8" s="33"/>
      <c r="G8" s="127" t="s">
        <v>613</v>
      </c>
    </row>
    <row r="9" spans="2:7" x14ac:dyDescent="0.65">
      <c r="B9" s="31" t="s">
        <v>193</v>
      </c>
      <c r="D9" s="32" t="s">
        <v>194</v>
      </c>
      <c r="E9" s="39">
        <v>1000</v>
      </c>
      <c r="F9" s="31" t="s">
        <v>562</v>
      </c>
      <c r="G9" s="31"/>
    </row>
    <row r="10" spans="2:7" x14ac:dyDescent="0.65">
      <c r="B10" s="31" t="s">
        <v>195</v>
      </c>
      <c r="D10" s="32" t="s">
        <v>196</v>
      </c>
      <c r="E10" s="39">
        <v>60000</v>
      </c>
      <c r="F10" s="31" t="s">
        <v>562</v>
      </c>
      <c r="G10" s="31"/>
    </row>
    <row r="11" spans="2:7" x14ac:dyDescent="0.65">
      <c r="B11" s="31" t="s">
        <v>191</v>
      </c>
      <c r="D11" s="32" t="s">
        <v>197</v>
      </c>
      <c r="E11" s="67">
        <f>E8/E10/1000</f>
        <v>6.6666666666666675E-6</v>
      </c>
      <c r="F11" s="33"/>
      <c r="G11" s="33"/>
    </row>
    <row r="12" spans="2:7" ht="31.5" customHeight="1" x14ac:dyDescent="0.65">
      <c r="B12" s="130" t="s">
        <v>198</v>
      </c>
      <c r="C12" s="130"/>
      <c r="D12" s="50" t="s">
        <v>199</v>
      </c>
      <c r="E12" s="129">
        <v>0.45900000000000002</v>
      </c>
      <c r="F12" s="128" t="s">
        <v>614</v>
      </c>
      <c r="G12" s="128" t="s">
        <v>342</v>
      </c>
    </row>
    <row r="14" spans="2:7" ht="14.5" x14ac:dyDescent="0.7">
      <c r="B14" s="47" t="s">
        <v>200</v>
      </c>
      <c r="C14" s="42"/>
      <c r="D14" s="66"/>
      <c r="E14" s="66"/>
      <c r="F14" s="66"/>
      <c r="G14" s="66"/>
    </row>
    <row r="15" spans="2:7" x14ac:dyDescent="0.65">
      <c r="B15" s="31" t="s">
        <v>661</v>
      </c>
      <c r="D15" s="32" t="s">
        <v>201</v>
      </c>
      <c r="E15" s="38">
        <v>928</v>
      </c>
      <c r="F15" s="126"/>
      <c r="G15" s="127" t="s">
        <v>341</v>
      </c>
    </row>
    <row r="16" spans="2:7" x14ac:dyDescent="0.65">
      <c r="B16" s="31" t="s">
        <v>202</v>
      </c>
      <c r="D16" s="32" t="s">
        <v>203</v>
      </c>
      <c r="E16" s="38">
        <v>72</v>
      </c>
      <c r="F16" s="33" t="s">
        <v>562</v>
      </c>
      <c r="G16" s="31"/>
    </row>
    <row r="17" spans="2:7" s="138" customFormat="1" x14ac:dyDescent="0.65">
      <c r="B17" s="138" t="s">
        <v>678</v>
      </c>
      <c r="D17" s="139" t="s">
        <v>201</v>
      </c>
      <c r="E17" s="140">
        <f>(E15/72)*E18</f>
        <v>6.4444444444444446</v>
      </c>
      <c r="F17" s="141"/>
      <c r="G17" s="138" t="s">
        <v>679</v>
      </c>
    </row>
    <row r="18" spans="2:7" s="138" customFormat="1" x14ac:dyDescent="0.65">
      <c r="B18" s="138" t="s">
        <v>680</v>
      </c>
      <c r="D18" s="139"/>
      <c r="E18" s="144">
        <v>0.5</v>
      </c>
      <c r="F18" s="141"/>
    </row>
    <row r="19" spans="2:7" s="138" customFormat="1" x14ac:dyDescent="0.65">
      <c r="B19" s="138" t="s">
        <v>664</v>
      </c>
      <c r="D19" s="139"/>
      <c r="E19" s="144">
        <v>0.15</v>
      </c>
      <c r="F19" s="141"/>
      <c r="G19" s="127" t="s">
        <v>341</v>
      </c>
    </row>
    <row r="20" spans="2:7" s="138" customFormat="1" x14ac:dyDescent="0.65">
      <c r="B20" s="138" t="s">
        <v>665</v>
      </c>
      <c r="D20" s="139"/>
      <c r="E20" s="144">
        <v>0.85</v>
      </c>
      <c r="F20" s="141"/>
      <c r="G20" s="127" t="s">
        <v>341</v>
      </c>
    </row>
    <row r="21" spans="2:7" s="138" customFormat="1" ht="14.75" x14ac:dyDescent="0.75">
      <c r="B21" s="138" t="s">
        <v>204</v>
      </c>
      <c r="D21" s="139" t="s">
        <v>205</v>
      </c>
      <c r="E21" s="142">
        <v>4.0000000000000001E-3</v>
      </c>
      <c r="F21" s="141"/>
      <c r="G21" s="143" t="s">
        <v>663</v>
      </c>
    </row>
    <row r="22" spans="2:7" x14ac:dyDescent="0.65">
      <c r="B22" s="31" t="s">
        <v>408</v>
      </c>
      <c r="D22" s="32" t="s">
        <v>407</v>
      </c>
      <c r="E22" s="38">
        <v>5</v>
      </c>
      <c r="G22" s="127" t="s">
        <v>411</v>
      </c>
    </row>
    <row r="23" spans="2:7" x14ac:dyDescent="0.65">
      <c r="B23" s="31" t="s">
        <v>409</v>
      </c>
      <c r="D23" s="32" t="s">
        <v>410</v>
      </c>
      <c r="E23" s="125">
        <v>2E-3</v>
      </c>
      <c r="F23" s="33" t="s">
        <v>412</v>
      </c>
      <c r="G23" s="33"/>
    </row>
    <row r="24" spans="2:7" x14ac:dyDescent="0.65">
      <c r="F24" s="33"/>
      <c r="G24" s="33"/>
    </row>
    <row r="25" spans="2:7" ht="14.5" x14ac:dyDescent="0.7">
      <c r="B25" s="47" t="s">
        <v>206</v>
      </c>
      <c r="C25" s="42"/>
      <c r="D25" s="66"/>
      <c r="E25" s="66"/>
      <c r="F25" s="66"/>
      <c r="G25" s="66"/>
    </row>
    <row r="26" spans="2:7" ht="14.75" x14ac:dyDescent="0.75">
      <c r="B26" s="31" t="s">
        <v>207</v>
      </c>
      <c r="D26" s="32" t="s">
        <v>201</v>
      </c>
      <c r="E26" s="38">
        <v>8.0999999999999996E-3</v>
      </c>
      <c r="F26" s="33" t="s">
        <v>208</v>
      </c>
      <c r="G26" s="101" t="s">
        <v>615</v>
      </c>
    </row>
    <row r="27" spans="2:7" x14ac:dyDescent="0.65">
      <c r="B27" s="31" t="s">
        <v>620</v>
      </c>
      <c r="D27" s="32" t="s">
        <v>201</v>
      </c>
      <c r="E27" s="90">
        <v>910.47809780939599</v>
      </c>
      <c r="F27" s="33"/>
      <c r="G27" s="128" t="s">
        <v>342</v>
      </c>
    </row>
    <row r="28" spans="2:7" x14ac:dyDescent="0.65">
      <c r="B28" s="31" t="s">
        <v>621</v>
      </c>
      <c r="D28" s="32" t="s">
        <v>201</v>
      </c>
      <c r="E28" s="90">
        <v>3102.448505440294</v>
      </c>
      <c r="F28" s="33"/>
      <c r="G28" s="128" t="s">
        <v>342</v>
      </c>
    </row>
    <row r="30" spans="2:7" ht="14.5" x14ac:dyDescent="0.7">
      <c r="B30" s="47" t="s">
        <v>209</v>
      </c>
      <c r="C30" s="42"/>
      <c r="D30" s="66"/>
      <c r="E30" s="66"/>
      <c r="F30" s="66"/>
      <c r="G30" s="66"/>
    </row>
    <row r="31" spans="2:7" x14ac:dyDescent="0.65">
      <c r="B31" s="31" t="s">
        <v>566</v>
      </c>
      <c r="D31" s="32" t="s">
        <v>210</v>
      </c>
      <c r="E31" s="90">
        <v>0.15090452367606264</v>
      </c>
      <c r="F31" s="33" t="s">
        <v>616</v>
      </c>
      <c r="G31" s="128" t="s">
        <v>342</v>
      </c>
    </row>
    <row r="32" spans="2:7" x14ac:dyDescent="0.65">
      <c r="B32" s="31" t="s">
        <v>567</v>
      </c>
      <c r="D32" s="32" t="s">
        <v>210</v>
      </c>
      <c r="E32" s="90">
        <v>5.4796441610738253E-2</v>
      </c>
      <c r="F32" s="33" t="s">
        <v>617</v>
      </c>
      <c r="G32" s="128" t="s">
        <v>342</v>
      </c>
    </row>
    <row r="33" spans="2:7" x14ac:dyDescent="0.65">
      <c r="B33" s="31" t="s">
        <v>395</v>
      </c>
      <c r="D33" s="32" t="s">
        <v>210</v>
      </c>
      <c r="E33" s="90">
        <v>0.18286935436241611</v>
      </c>
      <c r="F33" s="33"/>
      <c r="G33" s="128" t="s">
        <v>342</v>
      </c>
    </row>
    <row r="34" spans="2:7" x14ac:dyDescent="0.65">
      <c r="B34" s="31" t="s">
        <v>394</v>
      </c>
      <c r="D34" s="32" t="s">
        <v>210</v>
      </c>
      <c r="E34" s="90">
        <v>0.27430287785234903</v>
      </c>
      <c r="F34" s="33"/>
      <c r="G34" s="128" t="s">
        <v>342</v>
      </c>
    </row>
    <row r="35" spans="2:7" x14ac:dyDescent="0.65">
      <c r="B35" s="31" t="s">
        <v>396</v>
      </c>
      <c r="D35" s="32" t="s">
        <v>210</v>
      </c>
      <c r="E35" s="90">
        <v>0.13464333030872483</v>
      </c>
      <c r="F35" s="33"/>
      <c r="G35" s="128" t="s">
        <v>342</v>
      </c>
    </row>
    <row r="36" spans="2:7" x14ac:dyDescent="0.65">
      <c r="B36" s="31" t="s">
        <v>397</v>
      </c>
      <c r="D36" s="32" t="s">
        <v>210</v>
      </c>
      <c r="E36" s="90">
        <v>0.39044320536912752</v>
      </c>
      <c r="F36" s="33"/>
      <c r="G36" s="128" t="s">
        <v>342</v>
      </c>
    </row>
    <row r="37" spans="2:7" x14ac:dyDescent="0.65">
      <c r="B37" s="31" t="s">
        <v>561</v>
      </c>
      <c r="D37" s="32" t="s">
        <v>261</v>
      </c>
      <c r="E37" s="39">
        <v>3000</v>
      </c>
      <c r="F37" s="31" t="s">
        <v>562</v>
      </c>
      <c r="G37" s="128"/>
    </row>
    <row r="38" spans="2:7" x14ac:dyDescent="0.65">
      <c r="B38" s="31" t="s">
        <v>344</v>
      </c>
      <c r="D38" s="32" t="s">
        <v>210</v>
      </c>
      <c r="E38" s="90">
        <v>1.9961020805369128E-2</v>
      </c>
      <c r="F38" s="33" t="s">
        <v>618</v>
      </c>
      <c r="G38" s="128" t="s">
        <v>342</v>
      </c>
    </row>
    <row r="39" spans="2:7" x14ac:dyDescent="0.65">
      <c r="D39" s="31"/>
      <c r="E39" s="31"/>
      <c r="F39" s="31"/>
      <c r="G39" s="31"/>
    </row>
  </sheetData>
  <hyperlinks>
    <hyperlink ref="G22" r:id="rId1" xr:uid="{838A8838-D608-4D71-8FE1-64480211D98F}"/>
    <hyperlink ref="G8" r:id="rId2" xr:uid="{D3BC4117-8AEA-4032-88B5-CC0436937FD4}"/>
    <hyperlink ref="G15" r:id="rId3" xr:uid="{4FC80CF2-C2D3-44C3-AAFB-ABDFE8FE70D8}"/>
    <hyperlink ref="G21" r:id="rId4" xr:uid="{3CEB60EB-8A06-4467-98EF-42C30DBDAAA5}"/>
    <hyperlink ref="G26" r:id="rId5" xr:uid="{FBD431E3-541D-49DE-B9CC-402A35E94AF0}"/>
    <hyperlink ref="G19" r:id="rId6" xr:uid="{92E253C9-847D-46A0-B93D-09A253CEE6F9}"/>
    <hyperlink ref="G20" r:id="rId7" xr:uid="{20C68347-C4C5-4AB3-8673-2CFF4E355E6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0241-DAD9-427D-82A7-13B5398B0B5A}">
  <sheetPr>
    <tabColor rgb="FF00206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282-EAF3-4464-B662-D5FCA4C12F4B}">
  <sheetPr>
    <pageSetUpPr autoPageBreaks="0"/>
  </sheetPr>
  <dimension ref="B2:V47"/>
  <sheetViews>
    <sheetView topLeftCell="A23" workbookViewId="0"/>
  </sheetViews>
  <sheetFormatPr defaultColWidth="8.7265625" defaultRowHeight="14.25" x14ac:dyDescent="0.65"/>
  <cols>
    <col min="1" max="1" width="4.54296875" style="31" customWidth="1"/>
    <col min="2" max="2" width="27.7265625" style="31" customWidth="1"/>
    <col min="3" max="22" width="16.6796875" style="31" customWidth="1"/>
    <col min="23" max="16384" width="8.7265625" style="31"/>
  </cols>
  <sheetData>
    <row r="2" spans="2:22" ht="18" x14ac:dyDescent="0.8">
      <c r="B2" s="34" t="s">
        <v>398</v>
      </c>
    </row>
    <row r="3" spans="2:22" ht="18" x14ac:dyDescent="0.8">
      <c r="B3" s="34"/>
      <c r="I3" s="108"/>
    </row>
    <row r="4" spans="2:22" ht="16.25" thickBot="1" x14ac:dyDescent="0.85">
      <c r="B4" s="52" t="s">
        <v>0</v>
      </c>
    </row>
    <row r="5" spans="2:22" ht="15.5" x14ac:dyDescent="0.7">
      <c r="B5" s="98"/>
      <c r="H5" s="108"/>
    </row>
    <row r="6" spans="2:22" ht="14.5" x14ac:dyDescent="0.7">
      <c r="B6" s="62" t="s">
        <v>382</v>
      </c>
    </row>
    <row r="7" spans="2:22" ht="14.5" x14ac:dyDescent="0.7">
      <c r="B7" s="62" t="s">
        <v>405</v>
      </c>
    </row>
    <row r="8" spans="2:22" x14ac:dyDescent="0.65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2:22" ht="16.25" thickBot="1" x14ac:dyDescent="0.85">
      <c r="B9" s="98"/>
      <c r="C9" s="119" t="s">
        <v>393</v>
      </c>
      <c r="D9" s="119" t="s">
        <v>393</v>
      </c>
      <c r="E9" s="119" t="s">
        <v>393</v>
      </c>
      <c r="F9" s="119" t="s">
        <v>393</v>
      </c>
      <c r="G9" s="119" t="s">
        <v>392</v>
      </c>
      <c r="H9" s="119" t="s">
        <v>392</v>
      </c>
      <c r="I9" s="119" t="s">
        <v>392</v>
      </c>
      <c r="J9" s="119" t="s">
        <v>392</v>
      </c>
      <c r="K9" s="119" t="s">
        <v>344</v>
      </c>
      <c r="L9" s="119" t="s">
        <v>344</v>
      </c>
      <c r="M9" s="119" t="s">
        <v>344</v>
      </c>
      <c r="N9" s="119" t="s">
        <v>344</v>
      </c>
      <c r="O9" s="119" t="s">
        <v>566</v>
      </c>
      <c r="P9" s="119" t="s">
        <v>566</v>
      </c>
      <c r="Q9" s="119" t="s">
        <v>566</v>
      </c>
      <c r="R9" s="119" t="s">
        <v>566</v>
      </c>
      <c r="S9" s="119" t="s">
        <v>567</v>
      </c>
      <c r="T9" s="119" t="s">
        <v>567</v>
      </c>
      <c r="U9" s="119" t="s">
        <v>567</v>
      </c>
      <c r="V9" s="119" t="s">
        <v>567</v>
      </c>
    </row>
    <row r="10" spans="2:22" ht="15.5" x14ac:dyDescent="0.7">
      <c r="B10" s="98"/>
      <c r="C10" s="100" t="s">
        <v>219</v>
      </c>
      <c r="D10" s="100" t="s">
        <v>399</v>
      </c>
      <c r="E10" s="100" t="s">
        <v>400</v>
      </c>
      <c r="F10" s="100" t="s">
        <v>349</v>
      </c>
      <c r="G10" s="100" t="s">
        <v>219</v>
      </c>
      <c r="H10" s="100" t="s">
        <v>399</v>
      </c>
      <c r="I10" s="100" t="s">
        <v>400</v>
      </c>
      <c r="J10" s="100" t="s">
        <v>349</v>
      </c>
      <c r="K10" s="100" t="s">
        <v>219</v>
      </c>
      <c r="L10" s="100" t="s">
        <v>399</v>
      </c>
      <c r="M10" s="100" t="s">
        <v>400</v>
      </c>
      <c r="N10" s="100" t="s">
        <v>349</v>
      </c>
      <c r="O10" s="100" t="s">
        <v>219</v>
      </c>
      <c r="P10" s="100" t="s">
        <v>399</v>
      </c>
      <c r="Q10" s="100" t="s">
        <v>400</v>
      </c>
      <c r="R10" s="100" t="s">
        <v>349</v>
      </c>
      <c r="S10" s="100" t="s">
        <v>219</v>
      </c>
      <c r="T10" s="100" t="s">
        <v>399</v>
      </c>
      <c r="U10" s="100" t="s">
        <v>400</v>
      </c>
      <c r="V10" s="100" t="s">
        <v>349</v>
      </c>
    </row>
    <row r="11" spans="2:22" x14ac:dyDescent="0.65">
      <c r="B11" s="59" t="s">
        <v>219</v>
      </c>
      <c r="C11" s="61">
        <f>IF($B11=C$10,0,INDEX('Travel Matrix'!$D$7:$GT$205,MATCH(INDEX('Inputs (detail)'!$E$10:$E$16,MATCH($B11,'Inputs (detail)'!$B$10:$B$16,0)),'Travel Matrix'!$C$7:$C$205,0),MATCH(INDEX('Inputs (detail)'!$E$10:$E$16,MATCH(C$10,'Inputs (detail)'!$B$10:$B$16,0)),'Travel Matrix'!$D$6:$GT$6,0))*IF(INDEX('Travel Matrix'!$D$7:$GT$205,MATCH(INDEX('Inputs (detail)'!$E$10:$E$16,MATCH($B11,'Inputs (detail)'!$B$10:$B$16,0)),'Travel Matrix'!$C$7:$C$205,0),MATCH(INDEX('Inputs (detail)'!$E$10:$E$16,MATCH(C$10,'Inputs (detail)'!$B$10:$B$16,0)),'Travel Matrix'!$D$6:$GT$6,0))&gt;Assumptions!$E$37,IF(C$9="Plane (Economy)",Assumptions!$E$35,Assumptions!$E$36),IF(C$9="Plane (Economy)",Assumptions!$E$33,Assumptions!$E$34)))</f>
        <v>0</v>
      </c>
      <c r="D11" s="61">
        <f>IF($B11=D$10,0,INDEX('Travel Matrix'!$D$7:$GT$205,MATCH(INDEX('Inputs (detail)'!$E$10:$E$16,MATCH($B11,'Inputs (detail)'!$B$10:$B$16,0)),'Travel Matrix'!$C$7:$C$205,0),MATCH(INDEX('Inputs (detail)'!$E$10:$E$16,MATCH(D$10,'Inputs (detail)'!$B$10:$B$16,0)),'Travel Matrix'!$D$6:$GT$6,0))*IF(INDEX('Travel Matrix'!$D$7:$GT$205,MATCH(INDEX('Inputs (detail)'!$E$10:$E$16,MATCH($B11,'Inputs (detail)'!$B$10:$B$16,0)),'Travel Matrix'!$C$7:$C$205,0),MATCH(INDEX('Inputs (detail)'!$E$10:$E$16,MATCH(D$10,'Inputs (detail)'!$B$10:$B$16,0)),'Travel Matrix'!$D$6:$GT$6,0))&gt;Assumptions!$E$37,IF(D$9="Plane (Economy)",Assumptions!$E$35,Assumptions!$E$36),IF(D$9="Plane (Economy)",Assumptions!$E$33,Assumptions!$E$34)))</f>
        <v>270.76573708676676</v>
      </c>
      <c r="E11" s="61">
        <f>IF($B11=E$10,0,INDEX('Travel Matrix'!$D$7:$GT$205,MATCH(INDEX('Inputs (detail)'!$E$10:$E$16,MATCH($B11,'Inputs (detail)'!$B$10:$B$16,0)),'Travel Matrix'!$C$7:$C$205,0),MATCH(INDEX('Inputs (detail)'!$E$10:$E$16,MATCH(E$10,'Inputs (detail)'!$B$10:$B$16,0)),'Travel Matrix'!$D$6:$GT$6,0))*IF(INDEX('Travel Matrix'!$D$7:$GT$205,MATCH(INDEX('Inputs (detail)'!$E$10:$E$16,MATCH($B11,'Inputs (detail)'!$B$10:$B$16,0)),'Travel Matrix'!$C$7:$C$205,0),MATCH(INDEX('Inputs (detail)'!$E$10:$E$16,MATCH(E$10,'Inputs (detail)'!$B$10:$B$16,0)),'Travel Matrix'!$D$6:$GT$6,0))&gt;Assumptions!$E$37,IF(E$9="Plane (Economy)",Assumptions!$E$35,Assumptions!$E$36),IF(E$9="Plane (Economy)",Assumptions!$E$33,Assumptions!$E$34)))</f>
        <v>166.07063213010801</v>
      </c>
      <c r="F11" s="61">
        <f>IF($B11=F$10,0,INDEX('Travel Matrix'!$D$7:$GT$205,MATCH(INDEX('Inputs (detail)'!$E$10:$E$16,MATCH($B11,'Inputs (detail)'!$B$10:$B$16,0)),'Travel Matrix'!$C$7:$C$205,0),MATCH(INDEX('Inputs (detail)'!$E$10:$E$16,MATCH(F$10,'Inputs (detail)'!$B$10:$B$16,0)),'Travel Matrix'!$D$6:$GT$6,0))*IF(INDEX('Travel Matrix'!$D$7:$GT$205,MATCH(INDEX('Inputs (detail)'!$E$10:$E$16,MATCH($B11,'Inputs (detail)'!$B$10:$B$16,0)),'Travel Matrix'!$C$7:$C$205,0),MATCH(INDEX('Inputs (detail)'!$E$10:$E$16,MATCH(F$10,'Inputs (detail)'!$B$10:$B$16,0)),'Travel Matrix'!$D$6:$GT$6,0))&gt;Assumptions!$E$37,IF(F$9="Plane (Economy)",Assumptions!$E$35,Assumptions!$E$36),IF(F$9="Plane (Economy)",Assumptions!$E$33,Assumptions!$E$34)))</f>
        <v>127.00242052410503</v>
      </c>
      <c r="G11" s="61">
        <f>IF($B11=G$10,0,INDEX('Travel Matrix'!$D$7:$GT$205,MATCH(INDEX('Inputs (detail)'!$E$10:$E$16,MATCH($B11,'Inputs (detail)'!$B$10:$B$16,0)),'Travel Matrix'!$C$7:$C$205,0),MATCH(INDEX('Inputs (detail)'!$E$10:$E$16,MATCH(G$10,'Inputs (detail)'!$B$10:$B$16,0)),'Travel Matrix'!$D$6:$GT$6,0))*IF(INDEX('Travel Matrix'!$D$7:$GT$205,MATCH(INDEX('Inputs (detail)'!$E$10:$E$16,MATCH($B11,'Inputs (detail)'!$B$10:$B$16,0)),'Travel Matrix'!$C$7:$C$205,0),MATCH(INDEX('Inputs (detail)'!$E$10:$E$16,MATCH(G$10,'Inputs (detail)'!$B$10:$B$16,0)),'Travel Matrix'!$D$6:$GT$6,0))&gt;Assumptions!$E$37,IF(G$9="Plane (Economy)",Assumptions!$E$35,Assumptions!$E$36),IF(G$9="Plane (Economy)",Assumptions!$E$33,Assumptions!$E$34)))</f>
        <v>0</v>
      </c>
      <c r="H11" s="61">
        <f>IF($B11=H$10,0,INDEX('Travel Matrix'!$D$7:$GT$205,MATCH(INDEX('Inputs (detail)'!$E$10:$E$16,MATCH($B11,'Inputs (detail)'!$B$10:$B$16,0)),'Travel Matrix'!$C$7:$C$205,0),MATCH(INDEX('Inputs (detail)'!$E$10:$E$16,MATCH(H$10,'Inputs (detail)'!$B$10:$B$16,0)),'Travel Matrix'!$D$6:$GT$6,0))*IF(INDEX('Travel Matrix'!$D$7:$GT$205,MATCH(INDEX('Inputs (detail)'!$E$10:$E$16,MATCH($B11,'Inputs (detail)'!$B$10:$B$16,0)),'Travel Matrix'!$C$7:$C$205,0),MATCH(INDEX('Inputs (detail)'!$E$10:$E$16,MATCH(H$10,'Inputs (detail)'!$B$10:$B$16,0)),'Travel Matrix'!$D$6:$GT$6,0))&gt;Assumptions!$E$37,IF(H$9="Plane (Economy)",Assumptions!$E$35,Assumptions!$E$36),IF(H$9="Plane (Economy)",Assumptions!$E$33,Assumptions!$E$34)))</f>
        <v>406.14689741572806</v>
      </c>
      <c r="I11" s="61">
        <f>IF($B11=I$10,0,INDEX('Travel Matrix'!$D$7:$GT$205,MATCH(INDEX('Inputs (detail)'!$E$10:$E$16,MATCH($B11,'Inputs (detail)'!$B$10:$B$16,0)),'Travel Matrix'!$C$7:$C$205,0),MATCH(INDEX('Inputs (detail)'!$E$10:$E$16,MATCH(I$10,'Inputs (detail)'!$B$10:$B$16,0)),'Travel Matrix'!$D$6:$GT$6,0))*IF(INDEX('Travel Matrix'!$D$7:$GT$205,MATCH(INDEX('Inputs (detail)'!$E$10:$E$16,MATCH($B11,'Inputs (detail)'!$B$10:$B$16,0)),'Travel Matrix'!$C$7:$C$205,0),MATCH(INDEX('Inputs (detail)'!$E$10:$E$16,MATCH(I$10,'Inputs (detail)'!$B$10:$B$16,0)),'Travel Matrix'!$D$6:$GT$6,0))&gt;Assumptions!$E$37,IF(I$9="Plane (Economy)",Assumptions!$E$35,Assumptions!$E$36),IF(I$9="Plane (Economy)",Assumptions!$E$33,Assumptions!$E$34)))</f>
        <v>249.10490048413351</v>
      </c>
      <c r="J11" s="61">
        <f>IF($B11=J$10,0,INDEX('Travel Matrix'!$D$7:$GT$205,MATCH(INDEX('Inputs (detail)'!$E$10:$E$16,MATCH($B11,'Inputs (detail)'!$B$10:$B$16,0)),'Travel Matrix'!$C$7:$C$205,0),MATCH(INDEX('Inputs (detail)'!$E$10:$E$16,MATCH(J$10,'Inputs (detail)'!$B$10:$B$16,0)),'Travel Matrix'!$D$6:$GT$6,0))*IF(INDEX('Travel Matrix'!$D$7:$GT$205,MATCH(INDEX('Inputs (detail)'!$E$10:$E$16,MATCH($B11,'Inputs (detail)'!$B$10:$B$16,0)),'Travel Matrix'!$C$7:$C$205,0),MATCH(INDEX('Inputs (detail)'!$E$10:$E$16,MATCH(J$10,'Inputs (detail)'!$B$10:$B$16,0)),'Travel Matrix'!$D$6:$GT$6,0))&gt;Assumptions!$E$37,IF(J$9="Plane (Economy)",Assumptions!$E$35,Assumptions!$E$36),IF(J$9="Plane (Economy)",Assumptions!$E$33,Assumptions!$E$34)))</f>
        <v>190.50282954975034</v>
      </c>
      <c r="K11" s="61">
        <f>IF($B11=K$10,0,INDEX('Travel Matrix'!$D$7:$GT$205,MATCH(INDEX('Inputs (detail)'!$E$10:$E$16,MATCH($B11,'Inputs (detail)'!$B$10:$B$16,0)),'Travel Matrix'!$C$7:$C$205,0),MATCH(INDEX('Inputs (detail)'!$E$10:$E$16,MATCH(K$10,'Inputs (detail)'!$B$10:$B$16,0)),'Travel Matrix'!$D$6:$GT$6,0)))*Assumptions!$E$38</f>
        <v>0</v>
      </c>
      <c r="L11" s="61">
        <f>IF($B11=L$10,0,INDEX('Travel Matrix'!$D$7:$GT$205,MATCH(INDEX('Inputs (detail)'!$E$10:$E$16,MATCH($B11,'Inputs (detail)'!$B$10:$B$16,0)),'Travel Matrix'!$C$7:$C$205,0),MATCH(INDEX('Inputs (detail)'!$E$10:$E$16,MATCH(L$10,'Inputs (detail)'!$B$10:$B$16,0)),'Travel Matrix'!$D$6:$GT$6,0)))*Assumptions!$E$38</f>
        <v>29.555310293592104</v>
      </c>
      <c r="M11" s="61">
        <f>IF($B11=M$10,0,INDEX('Travel Matrix'!$D$7:$GT$205,MATCH(INDEX('Inputs (detail)'!$E$10:$E$16,MATCH($B11,'Inputs (detail)'!$B$10:$B$16,0)),'Travel Matrix'!$C$7:$C$205,0),MATCH(INDEX('Inputs (detail)'!$E$10:$E$16,MATCH(M$10,'Inputs (detail)'!$B$10:$B$16,0)),'Travel Matrix'!$D$6:$GT$6,0)))*Assumptions!$E$38</f>
        <v>18.127363957004192</v>
      </c>
      <c r="N11" s="61">
        <f>IF($B11=N$10,0,INDEX('Travel Matrix'!$D$7:$GT$205,MATCH(INDEX('Inputs (detail)'!$E$10:$E$16,MATCH($B11,'Inputs (detail)'!$B$10:$B$16,0)),'Travel Matrix'!$C$7:$C$205,0),MATCH(INDEX('Inputs (detail)'!$E$10:$E$16,MATCH(N$10,'Inputs (detail)'!$B$10:$B$16,0)),'Travel Matrix'!$D$6:$GT$6,0)))*Assumptions!$E$38</f>
        <v>13.862891173059893</v>
      </c>
      <c r="O11" s="61">
        <f>IF($B11=O$10,0,INDEX('Travel Matrix'!$D$7:$GT$205,MATCH(INDEX('Inputs (detail)'!$E$10:$E$16,MATCH($B11,'Inputs (detail)'!$B$10:$B$16,0)),'Travel Matrix'!$C$7:$C$205,0),MATCH(INDEX('Inputs (detail)'!$E$10:$E$16,MATCH(O$10,'Inputs (detail)'!$B$10:$B$16,0)),'Travel Matrix'!$D$6:$GT$6,0)))*Assumptions!$E$31</f>
        <v>0</v>
      </c>
      <c r="P11" s="61">
        <f>IF($B11=P$10,0,INDEX('Travel Matrix'!$D$7:$GT$205,MATCH(INDEX('Inputs (detail)'!$E$10:$E$16,MATCH($B11,'Inputs (detail)'!$B$10:$B$16,0)),'Travel Matrix'!$C$7:$C$205,0),MATCH(INDEX('Inputs (detail)'!$E$10:$E$16,MATCH(P$10,'Inputs (detail)'!$B$10:$B$16,0)),'Travel Matrix'!$D$6:$GT$6,0)))*Assumptions!$E$31</f>
        <v>223.43697075617925</v>
      </c>
      <c r="Q11" s="61">
        <f>IF($B11=Q$10,0,INDEX('Travel Matrix'!$D$7:$GT$205,MATCH(INDEX('Inputs (detail)'!$E$10:$E$16,MATCH($B11,'Inputs (detail)'!$B$10:$B$16,0)),'Travel Matrix'!$C$7:$C$205,0),MATCH(INDEX('Inputs (detail)'!$E$10:$E$16,MATCH(Q$10,'Inputs (detail)'!$B$10:$B$16,0)),'Travel Matrix'!$D$6:$GT$6,0)))*Assumptions!$E$31</f>
        <v>137.04215080516056</v>
      </c>
      <c r="R11" s="61">
        <f>IF($B11=R$10,0,INDEX('Travel Matrix'!$D$7:$GT$205,MATCH(INDEX('Inputs (detail)'!$E$10:$E$16,MATCH($B11,'Inputs (detail)'!$B$10:$B$16,0)),'Travel Matrix'!$C$7:$C$205,0),MATCH(INDEX('Inputs (detail)'!$E$10:$E$16,MATCH(R$10,'Inputs (detail)'!$B$10:$B$16,0)),'Travel Matrix'!$D$6:$GT$6,0)))*Assumptions!$E$31</f>
        <v>104.80290610593403</v>
      </c>
      <c r="S11" s="61">
        <f>IF($B11=S$10,0,INDEX('Travel Matrix'!$D$7:$GT$205,MATCH(INDEX('Inputs (detail)'!$E$10:$E$16,MATCH($B11,'Inputs (detail)'!$B$10:$B$16,0)),'Travel Matrix'!$C$7:$C$205,0),MATCH(INDEX('Inputs (detail)'!$E$10:$E$16,MATCH(S$10,'Inputs (detail)'!$B$10:$B$16,0)),'Travel Matrix'!$D$6:$GT$6,0)))*Assumptions!$E$32</f>
        <v>0</v>
      </c>
      <c r="T11" s="61">
        <f>IF($B11=T$10,0,INDEX('Travel Matrix'!$D$7:$GT$205,MATCH(INDEX('Inputs (detail)'!$E$10:$E$16,MATCH($B11,'Inputs (detail)'!$B$10:$B$16,0)),'Travel Matrix'!$C$7:$C$205,0),MATCH(INDEX('Inputs (detail)'!$E$10:$E$16,MATCH(T$10,'Inputs (detail)'!$B$10:$B$16,0)),'Travel Matrix'!$D$6:$GT$6,0)))*Assumptions!$E$32</f>
        <v>81.134419455865199</v>
      </c>
      <c r="U11" s="61">
        <f>IF($B11=U$10,0,INDEX('Travel Matrix'!$D$7:$GT$205,MATCH(INDEX('Inputs (detail)'!$E$10:$E$16,MATCH($B11,'Inputs (detail)'!$B$10:$B$16,0)),'Travel Matrix'!$C$7:$C$205,0),MATCH(INDEX('Inputs (detail)'!$E$10:$E$16,MATCH(U$10,'Inputs (detail)'!$B$10:$B$16,0)),'Travel Matrix'!$D$6:$GT$6,0)))*Assumptions!$E$32</f>
        <v>49.762737603048777</v>
      </c>
      <c r="V11" s="61">
        <f>IF($B11=V$10,0,INDEX('Travel Matrix'!$D$7:$GT$205,MATCH(INDEX('Inputs (detail)'!$E$10:$E$16,MATCH($B11,'Inputs (detail)'!$B$10:$B$16,0)),'Travel Matrix'!$C$7:$C$205,0),MATCH(INDEX('Inputs (detail)'!$E$10:$E$16,MATCH(V$10,'Inputs (detail)'!$B$10:$B$16,0)),'Travel Matrix'!$D$6:$GT$6,0)))*Assumptions!$E$32</f>
        <v>38.056024996290141</v>
      </c>
    </row>
    <row r="12" spans="2:22" x14ac:dyDescent="0.65">
      <c r="B12" s="59" t="s">
        <v>399</v>
      </c>
      <c r="C12" s="61">
        <f>IF($B12=C$10,0,INDEX('Travel Matrix'!$D$7:$GT$205,MATCH(INDEX('Inputs (detail)'!$E$10:$E$16,MATCH($B12,'Inputs (detail)'!$B$10:$B$16,0)),'Travel Matrix'!$C$7:$C$205,0),MATCH(INDEX('Inputs (detail)'!$E$10:$E$16,MATCH(C$10,'Inputs (detail)'!$B$10:$B$16,0)),'Travel Matrix'!$D$6:$GT$6,0))*IF(INDEX('Travel Matrix'!$D$7:$GT$205,MATCH(INDEX('Inputs (detail)'!$E$10:$E$16,MATCH($B12,'Inputs (detail)'!$B$10:$B$16,0)),'Travel Matrix'!$C$7:$C$205,0),MATCH(INDEX('Inputs (detail)'!$E$10:$E$16,MATCH(C$10,'Inputs (detail)'!$B$10:$B$16,0)),'Travel Matrix'!$D$6:$GT$6,0))&gt;Assumptions!$E$37,IF(C$9="Plane (Economy)",Assumptions!$E$35,Assumptions!$E$36),IF(C$9="Plane (Economy)",Assumptions!$E$33,Assumptions!$E$34)))</f>
        <v>270.76573708676676</v>
      </c>
      <c r="D12" s="61">
        <f>IF($B12=D$10,0,INDEX('Travel Matrix'!$D$7:$GT$205,MATCH(INDEX('Inputs (detail)'!$E$10:$E$16,MATCH($B12,'Inputs (detail)'!$B$10:$B$16,0)),'Travel Matrix'!$C$7:$C$205,0),MATCH(INDEX('Inputs (detail)'!$E$10:$E$16,MATCH(D$10,'Inputs (detail)'!$B$10:$B$16,0)),'Travel Matrix'!$D$6:$GT$6,0))*IF(INDEX('Travel Matrix'!$D$7:$GT$205,MATCH(INDEX('Inputs (detail)'!$E$10:$E$16,MATCH($B12,'Inputs (detail)'!$B$10:$B$16,0)),'Travel Matrix'!$C$7:$C$205,0),MATCH(INDEX('Inputs (detail)'!$E$10:$E$16,MATCH(D$10,'Inputs (detail)'!$B$10:$B$16,0)),'Travel Matrix'!$D$6:$GT$6,0))&gt;Assumptions!$E$37,IF(D$9="Plane (Economy)",Assumptions!$E$35,Assumptions!$E$36),IF(D$9="Plane (Economy)",Assumptions!$E$33,Assumptions!$E$34)))</f>
        <v>0</v>
      </c>
      <c r="E12" s="61">
        <f>IF($B12=E$10,0,INDEX('Travel Matrix'!$D$7:$GT$205,MATCH(INDEX('Inputs (detail)'!$E$10:$E$16,MATCH($B12,'Inputs (detail)'!$B$10:$B$16,0)),'Travel Matrix'!$C$7:$C$205,0),MATCH(INDEX('Inputs (detail)'!$E$10:$E$16,MATCH(E$10,'Inputs (detail)'!$B$10:$B$16,0)),'Travel Matrix'!$D$6:$GT$6,0))*IF(INDEX('Travel Matrix'!$D$7:$GT$205,MATCH(INDEX('Inputs (detail)'!$E$10:$E$16,MATCH($B12,'Inputs (detail)'!$B$10:$B$16,0)),'Travel Matrix'!$C$7:$C$205,0),MATCH(INDEX('Inputs (detail)'!$E$10:$E$16,MATCH(E$10,'Inputs (detail)'!$B$10:$B$16,0)),'Travel Matrix'!$D$6:$GT$6,0))&gt;Assumptions!$E$37,IF(E$9="Plane (Economy)",Assumptions!$E$35,Assumptions!$E$36),IF(E$9="Plane (Economy)",Assumptions!$E$33,Assumptions!$E$34)))</f>
        <v>230.9292962260937</v>
      </c>
      <c r="F12" s="61">
        <f>IF($B12=F$10,0,INDEX('Travel Matrix'!$D$7:$GT$205,MATCH(INDEX('Inputs (detail)'!$E$10:$E$16,MATCH($B12,'Inputs (detail)'!$B$10:$B$16,0)),'Travel Matrix'!$C$7:$C$205,0),MATCH(INDEX('Inputs (detail)'!$E$10:$E$16,MATCH(F$10,'Inputs (detail)'!$B$10:$B$16,0)),'Travel Matrix'!$D$6:$GT$6,0))*IF(INDEX('Travel Matrix'!$D$7:$GT$205,MATCH(INDEX('Inputs (detail)'!$E$10:$E$16,MATCH($B12,'Inputs (detail)'!$B$10:$B$16,0)),'Travel Matrix'!$C$7:$C$205,0),MATCH(INDEX('Inputs (detail)'!$E$10:$E$16,MATCH(F$10,'Inputs (detail)'!$B$10:$B$16,0)),'Travel Matrix'!$D$6:$GT$6,0))&gt;Assumptions!$E$37,IF(F$9="Plane (Economy)",Assumptions!$E$35,Assumptions!$E$36),IF(F$9="Plane (Economy)",Assumptions!$E$33,Assumptions!$E$34)))</f>
        <v>186.64953568241606</v>
      </c>
      <c r="G12" s="61">
        <f>IF($B12=G$10,0,INDEX('Travel Matrix'!$D$7:$GT$205,MATCH(INDEX('Inputs (detail)'!$E$10:$E$16,MATCH($B12,'Inputs (detail)'!$B$10:$B$16,0)),'Travel Matrix'!$C$7:$C$205,0),MATCH(INDEX('Inputs (detail)'!$E$10:$E$16,MATCH(G$10,'Inputs (detail)'!$B$10:$B$16,0)),'Travel Matrix'!$D$6:$GT$6,0))*IF(INDEX('Travel Matrix'!$D$7:$GT$205,MATCH(INDEX('Inputs (detail)'!$E$10:$E$16,MATCH($B12,'Inputs (detail)'!$B$10:$B$16,0)),'Travel Matrix'!$C$7:$C$205,0),MATCH(INDEX('Inputs (detail)'!$E$10:$E$16,MATCH(G$10,'Inputs (detail)'!$B$10:$B$16,0)),'Travel Matrix'!$D$6:$GT$6,0))&gt;Assumptions!$E$37,IF(G$9="Plane (Economy)",Assumptions!$E$35,Assumptions!$E$36),IF(G$9="Plane (Economy)",Assumptions!$E$33,Assumptions!$E$34)))</f>
        <v>406.14689741572806</v>
      </c>
      <c r="H12" s="61">
        <f>IF($B12=H$10,0,INDEX('Travel Matrix'!$D$7:$GT$205,MATCH(INDEX('Inputs (detail)'!$E$10:$E$16,MATCH($B12,'Inputs (detail)'!$B$10:$B$16,0)),'Travel Matrix'!$C$7:$C$205,0),MATCH(INDEX('Inputs (detail)'!$E$10:$E$16,MATCH(H$10,'Inputs (detail)'!$B$10:$B$16,0)),'Travel Matrix'!$D$6:$GT$6,0))*IF(INDEX('Travel Matrix'!$D$7:$GT$205,MATCH(INDEX('Inputs (detail)'!$E$10:$E$16,MATCH($B12,'Inputs (detail)'!$B$10:$B$16,0)),'Travel Matrix'!$C$7:$C$205,0),MATCH(INDEX('Inputs (detail)'!$E$10:$E$16,MATCH(H$10,'Inputs (detail)'!$B$10:$B$16,0)),'Travel Matrix'!$D$6:$GT$6,0))&gt;Assumptions!$E$37,IF(H$9="Plane (Economy)",Assumptions!$E$35,Assumptions!$E$36),IF(H$9="Plane (Economy)",Assumptions!$E$33,Assumptions!$E$34)))</f>
        <v>0</v>
      </c>
      <c r="I12" s="61">
        <f>IF($B12=I$10,0,INDEX('Travel Matrix'!$D$7:$GT$205,MATCH(INDEX('Inputs (detail)'!$E$10:$E$16,MATCH($B12,'Inputs (detail)'!$B$10:$B$16,0)),'Travel Matrix'!$C$7:$C$205,0),MATCH(INDEX('Inputs (detail)'!$E$10:$E$16,MATCH(I$10,'Inputs (detail)'!$B$10:$B$16,0)),'Travel Matrix'!$D$6:$GT$6,0))*IF(INDEX('Travel Matrix'!$D$7:$GT$205,MATCH(INDEX('Inputs (detail)'!$E$10:$E$16,MATCH($B12,'Inputs (detail)'!$B$10:$B$16,0)),'Travel Matrix'!$C$7:$C$205,0),MATCH(INDEX('Inputs (detail)'!$E$10:$E$16,MATCH(I$10,'Inputs (detail)'!$B$10:$B$16,0)),'Travel Matrix'!$D$6:$GT$6,0))&gt;Assumptions!$E$37,IF(I$9="Plane (Economy)",Assumptions!$E$35,Assumptions!$E$36),IF(I$9="Plane (Economy)",Assumptions!$E$33,Assumptions!$E$34)))</f>
        <v>346.39248744596586</v>
      </c>
      <c r="J12" s="61">
        <f>IF($B12=J$10,0,INDEX('Travel Matrix'!$D$7:$GT$205,MATCH(INDEX('Inputs (detail)'!$E$10:$E$16,MATCH($B12,'Inputs (detail)'!$B$10:$B$16,0)),'Travel Matrix'!$C$7:$C$205,0),MATCH(INDEX('Inputs (detail)'!$E$10:$E$16,MATCH(J$10,'Inputs (detail)'!$B$10:$B$16,0)),'Travel Matrix'!$D$6:$GT$6,0))*IF(INDEX('Travel Matrix'!$D$7:$GT$205,MATCH(INDEX('Inputs (detail)'!$E$10:$E$16,MATCH($B12,'Inputs (detail)'!$B$10:$B$16,0)),'Travel Matrix'!$C$7:$C$205,0),MATCH(INDEX('Inputs (detail)'!$E$10:$E$16,MATCH(J$10,'Inputs (detail)'!$B$10:$B$16,0)),'Travel Matrix'!$D$6:$GT$6,0))&gt;Assumptions!$E$37,IF(J$9="Plane (Economy)",Assumptions!$E$35,Assumptions!$E$36),IF(J$9="Plane (Economy)",Assumptions!$E$33,Assumptions!$E$34)))</f>
        <v>279.97312598383576</v>
      </c>
      <c r="K12" s="61">
        <f>IF($B12=K$10,0,INDEX('Travel Matrix'!$D$7:$GT$205,MATCH(INDEX('Inputs (detail)'!$E$10:$E$16,MATCH($B12,'Inputs (detail)'!$B$10:$B$16,0)),'Travel Matrix'!$C$7:$C$205,0),MATCH(INDEX('Inputs (detail)'!$E$10:$E$16,MATCH(K$10,'Inputs (detail)'!$B$10:$B$16,0)),'Travel Matrix'!$D$6:$GT$6,0)))*Assumptions!$E$38</f>
        <v>29.555310293592104</v>
      </c>
      <c r="L12" s="61">
        <f>IF($B12=L$10,0,INDEX('Travel Matrix'!$D$7:$GT$205,MATCH(INDEX('Inputs (detail)'!$E$10:$E$16,MATCH($B12,'Inputs (detail)'!$B$10:$B$16,0)),'Travel Matrix'!$C$7:$C$205,0),MATCH(INDEX('Inputs (detail)'!$E$10:$E$16,MATCH(L$10,'Inputs (detail)'!$B$10:$B$16,0)),'Travel Matrix'!$D$6:$GT$6,0)))*Assumptions!$E$38</f>
        <v>0</v>
      </c>
      <c r="M12" s="61">
        <f>IF($B12=M$10,0,INDEX('Travel Matrix'!$D$7:$GT$205,MATCH(INDEX('Inputs (detail)'!$E$10:$E$16,MATCH($B12,'Inputs (detail)'!$B$10:$B$16,0)),'Travel Matrix'!$C$7:$C$205,0),MATCH(INDEX('Inputs (detail)'!$E$10:$E$16,MATCH(M$10,'Inputs (detail)'!$B$10:$B$16,0)),'Travel Matrix'!$D$6:$GT$6,0)))*Assumptions!$E$38</f>
        <v>25.206981796429872</v>
      </c>
      <c r="N12" s="61">
        <f>IF($B12=N$10,0,INDEX('Travel Matrix'!$D$7:$GT$205,MATCH(INDEX('Inputs (detail)'!$E$10:$E$16,MATCH($B12,'Inputs (detail)'!$B$10:$B$16,0)),'Travel Matrix'!$C$7:$C$205,0),MATCH(INDEX('Inputs (detail)'!$E$10:$E$16,MATCH(N$10,'Inputs (detail)'!$B$10:$B$16,0)),'Travel Matrix'!$D$6:$GT$6,0)))*Assumptions!$E$38</f>
        <v>20.373644769836378</v>
      </c>
      <c r="O12" s="61">
        <f>IF($B12=O$10,0,INDEX('Travel Matrix'!$D$7:$GT$205,MATCH(INDEX('Inputs (detail)'!$E$10:$E$16,MATCH($B12,'Inputs (detail)'!$B$10:$B$16,0)),'Travel Matrix'!$C$7:$C$205,0),MATCH(INDEX('Inputs (detail)'!$E$10:$E$16,MATCH(O$10,'Inputs (detail)'!$B$10:$B$16,0)),'Travel Matrix'!$D$6:$GT$6,0)))*Assumptions!$E$31</f>
        <v>223.43697075617925</v>
      </c>
      <c r="P12" s="61">
        <f>IF($B12=P$10,0,INDEX('Travel Matrix'!$D$7:$GT$205,MATCH(INDEX('Inputs (detail)'!$E$10:$E$16,MATCH($B12,'Inputs (detail)'!$B$10:$B$16,0)),'Travel Matrix'!$C$7:$C$205,0),MATCH(INDEX('Inputs (detail)'!$E$10:$E$16,MATCH(P$10,'Inputs (detail)'!$B$10:$B$16,0)),'Travel Matrix'!$D$6:$GT$6,0)))*Assumptions!$E$31</f>
        <v>0</v>
      </c>
      <c r="Q12" s="61">
        <f>IF($B12=Q$10,0,INDEX('Travel Matrix'!$D$7:$GT$205,MATCH(INDEX('Inputs (detail)'!$E$10:$E$16,MATCH($B12,'Inputs (detail)'!$B$10:$B$16,0)),'Travel Matrix'!$C$7:$C$205,0),MATCH(INDEX('Inputs (detail)'!$E$10:$E$16,MATCH(Q$10,'Inputs (detail)'!$B$10:$B$16,0)),'Travel Matrix'!$D$6:$GT$6,0)))*Assumptions!$E$31</f>
        <v>190.56378019897011</v>
      </c>
      <c r="R12" s="61">
        <f>IF($B12=R$10,0,INDEX('Travel Matrix'!$D$7:$GT$205,MATCH(INDEX('Inputs (detail)'!$E$10:$E$16,MATCH($B12,'Inputs (detail)'!$B$10:$B$16,0)),'Travel Matrix'!$C$7:$C$205,0),MATCH(INDEX('Inputs (detail)'!$E$10:$E$16,MATCH(R$10,'Inputs (detail)'!$B$10:$B$16,0)),'Travel Matrix'!$D$6:$GT$6,0)))*Assumptions!$E$31</f>
        <v>154.02394444228469</v>
      </c>
      <c r="S12" s="61">
        <f>IF($B12=S$10,0,INDEX('Travel Matrix'!$D$7:$GT$205,MATCH(INDEX('Inputs (detail)'!$E$10:$E$16,MATCH($B12,'Inputs (detail)'!$B$10:$B$16,0)),'Travel Matrix'!$C$7:$C$205,0),MATCH(INDEX('Inputs (detail)'!$E$10:$E$16,MATCH(S$10,'Inputs (detail)'!$B$10:$B$16,0)),'Travel Matrix'!$D$6:$GT$6,0)))*Assumptions!$E$32</f>
        <v>81.134419455865199</v>
      </c>
      <c r="T12" s="61">
        <f>IF($B12=T$10,0,INDEX('Travel Matrix'!$D$7:$GT$205,MATCH(INDEX('Inputs (detail)'!$E$10:$E$16,MATCH($B12,'Inputs (detail)'!$B$10:$B$16,0)),'Travel Matrix'!$C$7:$C$205,0),MATCH(INDEX('Inputs (detail)'!$E$10:$E$16,MATCH(T$10,'Inputs (detail)'!$B$10:$B$16,0)),'Travel Matrix'!$D$6:$GT$6,0)))*Assumptions!$E$32</f>
        <v>0</v>
      </c>
      <c r="U12" s="61">
        <f>IF($B12=U$10,0,INDEX('Travel Matrix'!$D$7:$GT$205,MATCH(INDEX('Inputs (detail)'!$E$10:$E$16,MATCH($B12,'Inputs (detail)'!$B$10:$B$16,0)),'Travel Matrix'!$C$7:$C$205,0),MATCH(INDEX('Inputs (detail)'!$E$10:$E$16,MATCH(U$10,'Inputs (detail)'!$B$10:$B$16,0)),'Travel Matrix'!$D$6:$GT$6,0)))*Assumptions!$E$32</f>
        <v>69.197508467076062</v>
      </c>
      <c r="V12" s="61">
        <f>IF($B12=V$10,0,INDEX('Travel Matrix'!$D$7:$GT$205,MATCH(INDEX('Inputs (detail)'!$E$10:$E$16,MATCH($B12,'Inputs (detail)'!$B$10:$B$16,0)),'Travel Matrix'!$C$7:$C$205,0),MATCH(INDEX('Inputs (detail)'!$E$10:$E$16,MATCH(V$10,'Inputs (detail)'!$B$10:$B$16,0)),'Travel Matrix'!$D$6:$GT$6,0)))*Assumptions!$E$32</f>
        <v>55.929165492777358</v>
      </c>
    </row>
    <row r="13" spans="2:22" x14ac:dyDescent="0.65">
      <c r="B13" s="59" t="s">
        <v>400</v>
      </c>
      <c r="C13" s="61">
        <f>IF($B13=C$10,0,INDEX('Travel Matrix'!$D$7:$GT$205,MATCH(INDEX('Inputs (detail)'!$E$10:$E$16,MATCH($B13,'Inputs (detail)'!$B$10:$B$16,0)),'Travel Matrix'!$C$7:$C$205,0),MATCH(INDEX('Inputs (detail)'!$E$10:$E$16,MATCH(C$10,'Inputs (detail)'!$B$10:$B$16,0)),'Travel Matrix'!$D$6:$GT$6,0))*IF(INDEX('Travel Matrix'!$D$7:$GT$205,MATCH(INDEX('Inputs (detail)'!$E$10:$E$16,MATCH($B13,'Inputs (detail)'!$B$10:$B$16,0)),'Travel Matrix'!$C$7:$C$205,0),MATCH(INDEX('Inputs (detail)'!$E$10:$E$16,MATCH(C$10,'Inputs (detail)'!$B$10:$B$16,0)),'Travel Matrix'!$D$6:$GT$6,0))&gt;Assumptions!$E$37,IF(C$9="Plane (Economy)",Assumptions!$E$35,Assumptions!$E$36),IF(C$9="Plane (Economy)",Assumptions!$E$33,Assumptions!$E$34)))</f>
        <v>166.07063213010801</v>
      </c>
      <c r="D13" s="61">
        <f>IF($B13=D$10,0,INDEX('Travel Matrix'!$D$7:$GT$205,MATCH(INDEX('Inputs (detail)'!$E$10:$E$16,MATCH($B13,'Inputs (detail)'!$B$10:$B$16,0)),'Travel Matrix'!$C$7:$C$205,0),MATCH(INDEX('Inputs (detail)'!$E$10:$E$16,MATCH(D$10,'Inputs (detail)'!$B$10:$B$16,0)),'Travel Matrix'!$D$6:$GT$6,0))*IF(INDEX('Travel Matrix'!$D$7:$GT$205,MATCH(INDEX('Inputs (detail)'!$E$10:$E$16,MATCH($B13,'Inputs (detail)'!$B$10:$B$16,0)),'Travel Matrix'!$C$7:$C$205,0),MATCH(INDEX('Inputs (detail)'!$E$10:$E$16,MATCH(D$10,'Inputs (detail)'!$B$10:$B$16,0)),'Travel Matrix'!$D$6:$GT$6,0))&gt;Assumptions!$E$37,IF(D$9="Plane (Economy)",Assumptions!$E$35,Assumptions!$E$36),IF(D$9="Plane (Economy)",Assumptions!$E$33,Assumptions!$E$34)))</f>
        <v>230.9292962260937</v>
      </c>
      <c r="E13" s="61">
        <f>IF($B13=E$10,0,INDEX('Travel Matrix'!$D$7:$GT$205,MATCH(INDEX('Inputs (detail)'!$E$10:$E$16,MATCH($B13,'Inputs (detail)'!$B$10:$B$16,0)),'Travel Matrix'!$C$7:$C$205,0),MATCH(INDEX('Inputs (detail)'!$E$10:$E$16,MATCH(E$10,'Inputs (detail)'!$B$10:$B$16,0)),'Travel Matrix'!$D$6:$GT$6,0))*IF(INDEX('Travel Matrix'!$D$7:$GT$205,MATCH(INDEX('Inputs (detail)'!$E$10:$E$16,MATCH($B13,'Inputs (detail)'!$B$10:$B$16,0)),'Travel Matrix'!$C$7:$C$205,0),MATCH(INDEX('Inputs (detail)'!$E$10:$E$16,MATCH(E$10,'Inputs (detail)'!$B$10:$B$16,0)),'Travel Matrix'!$D$6:$GT$6,0))&gt;Assumptions!$E$37,IF(E$9="Plane (Economy)",Assumptions!$E$35,Assumptions!$E$36),IF(E$9="Plane (Economy)",Assumptions!$E$33,Assumptions!$E$34)))</f>
        <v>0</v>
      </c>
      <c r="F13" s="61">
        <f>IF($B13=F$10,0,INDEX('Travel Matrix'!$D$7:$GT$205,MATCH(INDEX('Inputs (detail)'!$E$10:$E$16,MATCH($B13,'Inputs (detail)'!$B$10:$B$16,0)),'Travel Matrix'!$C$7:$C$205,0),MATCH(INDEX('Inputs (detail)'!$E$10:$E$16,MATCH(F$10,'Inputs (detail)'!$B$10:$B$16,0)),'Travel Matrix'!$D$6:$GT$6,0))*IF(INDEX('Travel Matrix'!$D$7:$GT$205,MATCH(INDEX('Inputs (detail)'!$E$10:$E$16,MATCH($B13,'Inputs (detail)'!$B$10:$B$16,0)),'Travel Matrix'!$C$7:$C$205,0),MATCH(INDEX('Inputs (detail)'!$E$10:$E$16,MATCH(F$10,'Inputs (detail)'!$B$10:$B$16,0)),'Travel Matrix'!$D$6:$GT$6,0))&gt;Assumptions!$E$37,IF(F$9="Plane (Economy)",Assumptions!$E$35,Assumptions!$E$36),IF(F$9="Plane (Economy)",Assumptions!$E$33,Assumptions!$E$34)))</f>
        <v>65.180226527655861</v>
      </c>
      <c r="G13" s="61">
        <f>IF($B13=G$10,0,INDEX('Travel Matrix'!$D$7:$GT$205,MATCH(INDEX('Inputs (detail)'!$E$10:$E$16,MATCH($B13,'Inputs (detail)'!$B$10:$B$16,0)),'Travel Matrix'!$C$7:$C$205,0),MATCH(INDEX('Inputs (detail)'!$E$10:$E$16,MATCH(G$10,'Inputs (detail)'!$B$10:$B$16,0)),'Travel Matrix'!$D$6:$GT$6,0))*IF(INDEX('Travel Matrix'!$D$7:$GT$205,MATCH(INDEX('Inputs (detail)'!$E$10:$E$16,MATCH($B13,'Inputs (detail)'!$B$10:$B$16,0)),'Travel Matrix'!$C$7:$C$205,0),MATCH(INDEX('Inputs (detail)'!$E$10:$E$16,MATCH(G$10,'Inputs (detail)'!$B$10:$B$16,0)),'Travel Matrix'!$D$6:$GT$6,0))&gt;Assumptions!$E$37,IF(G$9="Plane (Economy)",Assumptions!$E$35,Assumptions!$E$36),IF(G$9="Plane (Economy)",Assumptions!$E$33,Assumptions!$E$34)))</f>
        <v>249.10490048413351</v>
      </c>
      <c r="H13" s="61">
        <f>IF($B13=H$10,0,INDEX('Travel Matrix'!$D$7:$GT$205,MATCH(INDEX('Inputs (detail)'!$E$10:$E$16,MATCH($B13,'Inputs (detail)'!$B$10:$B$16,0)),'Travel Matrix'!$C$7:$C$205,0),MATCH(INDEX('Inputs (detail)'!$E$10:$E$16,MATCH(H$10,'Inputs (detail)'!$B$10:$B$16,0)),'Travel Matrix'!$D$6:$GT$6,0))*IF(INDEX('Travel Matrix'!$D$7:$GT$205,MATCH(INDEX('Inputs (detail)'!$E$10:$E$16,MATCH($B13,'Inputs (detail)'!$B$10:$B$16,0)),'Travel Matrix'!$C$7:$C$205,0),MATCH(INDEX('Inputs (detail)'!$E$10:$E$16,MATCH(H$10,'Inputs (detail)'!$B$10:$B$16,0)),'Travel Matrix'!$D$6:$GT$6,0))&gt;Assumptions!$E$37,IF(H$9="Plane (Economy)",Assumptions!$E$35,Assumptions!$E$36),IF(H$9="Plane (Economy)",Assumptions!$E$33,Assumptions!$E$34)))</f>
        <v>346.39248744596586</v>
      </c>
      <c r="I13" s="61">
        <f>IF($B13=I$10,0,INDEX('Travel Matrix'!$D$7:$GT$205,MATCH(INDEX('Inputs (detail)'!$E$10:$E$16,MATCH($B13,'Inputs (detail)'!$B$10:$B$16,0)),'Travel Matrix'!$C$7:$C$205,0),MATCH(INDEX('Inputs (detail)'!$E$10:$E$16,MATCH(I$10,'Inputs (detail)'!$B$10:$B$16,0)),'Travel Matrix'!$D$6:$GT$6,0))*IF(INDEX('Travel Matrix'!$D$7:$GT$205,MATCH(INDEX('Inputs (detail)'!$E$10:$E$16,MATCH($B13,'Inputs (detail)'!$B$10:$B$16,0)),'Travel Matrix'!$C$7:$C$205,0),MATCH(INDEX('Inputs (detail)'!$E$10:$E$16,MATCH(I$10,'Inputs (detail)'!$B$10:$B$16,0)),'Travel Matrix'!$D$6:$GT$6,0))&gt;Assumptions!$E$37,IF(I$9="Plane (Economy)",Assumptions!$E$35,Assumptions!$E$36),IF(I$9="Plane (Economy)",Assumptions!$E$33,Assumptions!$E$34)))</f>
        <v>0</v>
      </c>
      <c r="J13" s="61">
        <f>IF($B13=J$10,0,INDEX('Travel Matrix'!$D$7:$GT$205,MATCH(INDEX('Inputs (detail)'!$E$10:$E$16,MATCH($B13,'Inputs (detail)'!$B$10:$B$16,0)),'Travel Matrix'!$C$7:$C$205,0),MATCH(INDEX('Inputs (detail)'!$E$10:$E$16,MATCH(J$10,'Inputs (detail)'!$B$10:$B$16,0)),'Travel Matrix'!$D$6:$GT$6,0))*IF(INDEX('Travel Matrix'!$D$7:$GT$205,MATCH(INDEX('Inputs (detail)'!$E$10:$E$16,MATCH($B13,'Inputs (detail)'!$B$10:$B$16,0)),'Travel Matrix'!$C$7:$C$205,0),MATCH(INDEX('Inputs (detail)'!$E$10:$E$16,MATCH(J$10,'Inputs (detail)'!$B$10:$B$16,0)),'Travel Matrix'!$D$6:$GT$6,0))&gt;Assumptions!$E$37,IF(J$9="Plane (Economy)",Assumptions!$E$35,Assumptions!$E$36),IF(J$9="Plane (Economy)",Assumptions!$E$33,Assumptions!$E$34)))</f>
        <v>97.769928580655616</v>
      </c>
      <c r="K13" s="61">
        <f>IF($B13=K$10,0,INDEX('Travel Matrix'!$D$7:$GT$205,MATCH(INDEX('Inputs (detail)'!$E$10:$E$16,MATCH($B13,'Inputs (detail)'!$B$10:$B$16,0)),'Travel Matrix'!$C$7:$C$205,0),MATCH(INDEX('Inputs (detail)'!$E$10:$E$16,MATCH(K$10,'Inputs (detail)'!$B$10:$B$16,0)),'Travel Matrix'!$D$6:$GT$6,0)))*Assumptions!$E$38</f>
        <v>18.127363957004192</v>
      </c>
      <c r="L13" s="61">
        <f>IF($B13=L$10,0,INDEX('Travel Matrix'!$D$7:$GT$205,MATCH(INDEX('Inputs (detail)'!$E$10:$E$16,MATCH($B13,'Inputs (detail)'!$B$10:$B$16,0)),'Travel Matrix'!$C$7:$C$205,0),MATCH(INDEX('Inputs (detail)'!$E$10:$E$16,MATCH(L$10,'Inputs (detail)'!$B$10:$B$16,0)),'Travel Matrix'!$D$6:$GT$6,0)))*Assumptions!$E$38</f>
        <v>25.206981796429872</v>
      </c>
      <c r="M13" s="61">
        <f>IF($B13=M$10,0,INDEX('Travel Matrix'!$D$7:$GT$205,MATCH(INDEX('Inputs (detail)'!$E$10:$E$16,MATCH($B13,'Inputs (detail)'!$B$10:$B$16,0)),'Travel Matrix'!$C$7:$C$205,0),MATCH(INDEX('Inputs (detail)'!$E$10:$E$16,MATCH(M$10,'Inputs (detail)'!$B$10:$B$16,0)),'Travel Matrix'!$D$6:$GT$6,0)))*Assumptions!$E$38</f>
        <v>0</v>
      </c>
      <c r="N13" s="61">
        <f>IF($B13=N$10,0,INDEX('Travel Matrix'!$D$7:$GT$205,MATCH(INDEX('Inputs (detail)'!$E$10:$E$16,MATCH($B13,'Inputs (detail)'!$B$10:$B$16,0)),'Travel Matrix'!$C$7:$C$205,0),MATCH(INDEX('Inputs (detail)'!$E$10:$E$16,MATCH(N$10,'Inputs (detail)'!$B$10:$B$16,0)),'Travel Matrix'!$D$6:$GT$6,0)))*Assumptions!$E$38</f>
        <v>7.1147178397027817</v>
      </c>
      <c r="O13" s="61">
        <f>IF($B13=O$10,0,INDEX('Travel Matrix'!$D$7:$GT$205,MATCH(INDEX('Inputs (detail)'!$E$10:$E$16,MATCH($B13,'Inputs (detail)'!$B$10:$B$16,0)),'Travel Matrix'!$C$7:$C$205,0),MATCH(INDEX('Inputs (detail)'!$E$10:$E$16,MATCH(O$10,'Inputs (detail)'!$B$10:$B$16,0)),'Travel Matrix'!$D$6:$GT$6,0)))*Assumptions!$E$31</f>
        <v>137.04215080516056</v>
      </c>
      <c r="P13" s="61">
        <f>IF($B13=P$10,0,INDEX('Travel Matrix'!$D$7:$GT$205,MATCH(INDEX('Inputs (detail)'!$E$10:$E$16,MATCH($B13,'Inputs (detail)'!$B$10:$B$16,0)),'Travel Matrix'!$C$7:$C$205,0),MATCH(INDEX('Inputs (detail)'!$E$10:$E$16,MATCH(P$10,'Inputs (detail)'!$B$10:$B$16,0)),'Travel Matrix'!$D$6:$GT$6,0)))*Assumptions!$E$31</f>
        <v>190.56378019897011</v>
      </c>
      <c r="Q13" s="61">
        <f>IF($B13=Q$10,0,INDEX('Travel Matrix'!$D$7:$GT$205,MATCH(INDEX('Inputs (detail)'!$E$10:$E$16,MATCH($B13,'Inputs (detail)'!$B$10:$B$16,0)),'Travel Matrix'!$C$7:$C$205,0),MATCH(INDEX('Inputs (detail)'!$E$10:$E$16,MATCH(Q$10,'Inputs (detail)'!$B$10:$B$16,0)),'Travel Matrix'!$D$6:$GT$6,0)))*Assumptions!$E$31</f>
        <v>0</v>
      </c>
      <c r="R13" s="61">
        <f>IF($B13=R$10,0,INDEX('Travel Matrix'!$D$7:$GT$205,MATCH(INDEX('Inputs (detail)'!$E$10:$E$16,MATCH($B13,'Inputs (detail)'!$B$10:$B$16,0)),'Travel Matrix'!$C$7:$C$205,0),MATCH(INDEX('Inputs (detail)'!$E$10:$E$16,MATCH(R$10,'Inputs (detail)'!$B$10:$B$16,0)),'Travel Matrix'!$D$6:$GT$6,0)))*Assumptions!$E$31</f>
        <v>53.786984000394625</v>
      </c>
      <c r="S13" s="61">
        <f>IF($B13=S$10,0,INDEX('Travel Matrix'!$D$7:$GT$205,MATCH(INDEX('Inputs (detail)'!$E$10:$E$16,MATCH($B13,'Inputs (detail)'!$B$10:$B$16,0)),'Travel Matrix'!$C$7:$C$205,0),MATCH(INDEX('Inputs (detail)'!$E$10:$E$16,MATCH(S$10,'Inputs (detail)'!$B$10:$B$16,0)),'Travel Matrix'!$D$6:$GT$6,0)))*Assumptions!$E$32</f>
        <v>49.762737603048777</v>
      </c>
      <c r="T13" s="61">
        <f>IF($B13=T$10,0,INDEX('Travel Matrix'!$D$7:$GT$205,MATCH(INDEX('Inputs (detail)'!$E$10:$E$16,MATCH($B13,'Inputs (detail)'!$B$10:$B$16,0)),'Travel Matrix'!$C$7:$C$205,0),MATCH(INDEX('Inputs (detail)'!$E$10:$E$16,MATCH(T$10,'Inputs (detail)'!$B$10:$B$16,0)),'Travel Matrix'!$D$6:$GT$6,0)))*Assumptions!$E$32</f>
        <v>69.197508467076062</v>
      </c>
      <c r="U13" s="61">
        <f>IF($B13=U$10,0,INDEX('Travel Matrix'!$D$7:$GT$205,MATCH(INDEX('Inputs (detail)'!$E$10:$E$16,MATCH($B13,'Inputs (detail)'!$B$10:$B$16,0)),'Travel Matrix'!$C$7:$C$205,0),MATCH(INDEX('Inputs (detail)'!$E$10:$E$16,MATCH(U$10,'Inputs (detail)'!$B$10:$B$16,0)),'Travel Matrix'!$D$6:$GT$6,0)))*Assumptions!$E$32</f>
        <v>0</v>
      </c>
      <c r="V13" s="61">
        <f>IF($B13=V$10,0,INDEX('Travel Matrix'!$D$7:$GT$205,MATCH(INDEX('Inputs (detail)'!$E$10:$E$16,MATCH($B13,'Inputs (detail)'!$B$10:$B$16,0)),'Travel Matrix'!$C$7:$C$205,0),MATCH(INDEX('Inputs (detail)'!$E$10:$E$16,MATCH(V$10,'Inputs (detail)'!$B$10:$B$16,0)),'Travel Matrix'!$D$6:$GT$6,0)))*Assumptions!$E$32</f>
        <v>19.53112641289799</v>
      </c>
    </row>
    <row r="14" spans="2:22" ht="15.5" x14ac:dyDescent="0.7"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</row>
    <row r="15" spans="2:22" x14ac:dyDescent="0.65">
      <c r="C15" s="60" t="s">
        <v>393</v>
      </c>
      <c r="D15" s="60" t="s">
        <v>392</v>
      </c>
      <c r="E15" s="60" t="s">
        <v>344</v>
      </c>
      <c r="F15" s="60" t="s">
        <v>566</v>
      </c>
      <c r="G15" s="60" t="s">
        <v>567</v>
      </c>
    </row>
    <row r="16" spans="2:22" x14ac:dyDescent="0.65">
      <c r="B16" s="59" t="s">
        <v>363</v>
      </c>
      <c r="C16" s="61">
        <f>D11</f>
        <v>270.76573708676676</v>
      </c>
      <c r="D16" s="61">
        <f>H11</f>
        <v>406.14689741572806</v>
      </c>
      <c r="E16" s="61">
        <f>L11</f>
        <v>29.555310293592104</v>
      </c>
      <c r="F16" s="61">
        <f>P11</f>
        <v>223.43697075617925</v>
      </c>
      <c r="G16" s="61">
        <f>T11</f>
        <v>81.134419455865199</v>
      </c>
    </row>
    <row r="17" spans="2:22" x14ac:dyDescent="0.65">
      <c r="B17" s="59" t="s">
        <v>364</v>
      </c>
      <c r="C17" s="61">
        <f>E11</f>
        <v>166.07063213010801</v>
      </c>
      <c r="D17" s="61">
        <f>I11</f>
        <v>249.10490048413351</v>
      </c>
      <c r="E17" s="61">
        <f>M11</f>
        <v>18.127363957004192</v>
      </c>
      <c r="F17" s="61">
        <f>Q11</f>
        <v>137.04215080516056</v>
      </c>
      <c r="G17" s="61">
        <f>U11</f>
        <v>49.762737603048777</v>
      </c>
    </row>
    <row r="18" spans="2:22" x14ac:dyDescent="0.65">
      <c r="B18" s="59" t="s">
        <v>365</v>
      </c>
      <c r="C18" s="61">
        <f>C12</f>
        <v>270.76573708676676</v>
      </c>
      <c r="D18" s="61">
        <f>G12</f>
        <v>406.14689741572806</v>
      </c>
      <c r="E18" s="61">
        <f>K12</f>
        <v>29.555310293592104</v>
      </c>
      <c r="F18" s="61">
        <f>O12</f>
        <v>223.43697075617925</v>
      </c>
      <c r="G18" s="61">
        <f>S12</f>
        <v>81.134419455865199</v>
      </c>
    </row>
    <row r="19" spans="2:22" x14ac:dyDescent="0.65">
      <c r="B19" s="59" t="s">
        <v>366</v>
      </c>
      <c r="C19" s="61">
        <f>E12</f>
        <v>230.9292962260937</v>
      </c>
      <c r="D19" s="61">
        <f>I12</f>
        <v>346.39248744596586</v>
      </c>
      <c r="E19" s="61">
        <f>M12</f>
        <v>25.206981796429872</v>
      </c>
      <c r="F19" s="61">
        <f>Q12</f>
        <v>190.56378019897011</v>
      </c>
      <c r="G19" s="61">
        <f>U12</f>
        <v>69.197508467076062</v>
      </c>
    </row>
    <row r="20" spans="2:22" x14ac:dyDescent="0.65">
      <c r="B20" s="59" t="s">
        <v>368</v>
      </c>
      <c r="C20" s="61">
        <f>C13</f>
        <v>166.07063213010801</v>
      </c>
      <c r="D20" s="61">
        <f>G13</f>
        <v>249.10490048413351</v>
      </c>
      <c r="E20" s="61">
        <f>K13</f>
        <v>18.127363957004192</v>
      </c>
      <c r="F20" s="61">
        <f>O13</f>
        <v>137.04215080516056</v>
      </c>
      <c r="G20" s="61">
        <f>S13</f>
        <v>49.762737603048777</v>
      </c>
    </row>
    <row r="21" spans="2:22" x14ac:dyDescent="0.65">
      <c r="B21" s="59" t="s">
        <v>369</v>
      </c>
      <c r="C21" s="61">
        <f>D13</f>
        <v>230.9292962260937</v>
      </c>
      <c r="D21" s="61">
        <f>H13</f>
        <v>346.39248744596586</v>
      </c>
      <c r="E21" s="61">
        <f>L13</f>
        <v>25.206981796429872</v>
      </c>
      <c r="F21" s="61">
        <f>P13</f>
        <v>190.56378019897011</v>
      </c>
      <c r="G21" s="61">
        <f>T13</f>
        <v>69.197508467076062</v>
      </c>
    </row>
    <row r="22" spans="2:22" x14ac:dyDescent="0.65">
      <c r="B22" s="59" t="s">
        <v>388</v>
      </c>
      <c r="C22" s="61">
        <f>F11</f>
        <v>127.00242052410503</v>
      </c>
      <c r="D22" s="61">
        <f>J11</f>
        <v>190.50282954975034</v>
      </c>
      <c r="E22" s="61">
        <f>N11</f>
        <v>13.862891173059893</v>
      </c>
      <c r="F22" s="61">
        <f>R11</f>
        <v>104.80290610593403</v>
      </c>
      <c r="G22" s="61">
        <f>V11</f>
        <v>38.056024996290141</v>
      </c>
    </row>
    <row r="23" spans="2:22" x14ac:dyDescent="0.65">
      <c r="B23" s="59" t="s">
        <v>389</v>
      </c>
      <c r="C23" s="61">
        <f>F12</f>
        <v>186.64953568241606</v>
      </c>
      <c r="D23" s="61">
        <f>J12</f>
        <v>279.97312598383576</v>
      </c>
      <c r="E23" s="61">
        <f>N12</f>
        <v>20.373644769836378</v>
      </c>
      <c r="F23" s="61">
        <f>R12</f>
        <v>154.02394444228469</v>
      </c>
      <c r="G23" s="61">
        <f t="shared" ref="G23:G24" si="0">V12</f>
        <v>55.929165492777358</v>
      </c>
    </row>
    <row r="24" spans="2:22" x14ac:dyDescent="0.65">
      <c r="B24" s="59" t="s">
        <v>390</v>
      </c>
      <c r="C24" s="61">
        <f>F13</f>
        <v>65.180226527655861</v>
      </c>
      <c r="D24" s="61">
        <f>J13</f>
        <v>97.769928580655616</v>
      </c>
      <c r="E24" s="61">
        <f>N13</f>
        <v>7.1147178397027817</v>
      </c>
      <c r="F24" s="61">
        <f>R13</f>
        <v>53.786984000394625</v>
      </c>
      <c r="G24" s="61">
        <f t="shared" si="0"/>
        <v>19.53112641289799</v>
      </c>
    </row>
    <row r="27" spans="2:22" ht="16.25" thickBot="1" x14ac:dyDescent="0.85">
      <c r="B27" s="98"/>
      <c r="C27" s="119" t="s">
        <v>393</v>
      </c>
      <c r="D27" s="119" t="s">
        <v>393</v>
      </c>
      <c r="E27" s="119" t="s">
        <v>393</v>
      </c>
      <c r="F27" s="119" t="s">
        <v>393</v>
      </c>
      <c r="G27" s="119" t="s">
        <v>392</v>
      </c>
      <c r="H27" s="119" t="s">
        <v>392</v>
      </c>
      <c r="I27" s="119" t="s">
        <v>392</v>
      </c>
      <c r="J27" s="119" t="s">
        <v>392</v>
      </c>
      <c r="K27" s="119" t="s">
        <v>344</v>
      </c>
      <c r="L27" s="119" t="s">
        <v>344</v>
      </c>
      <c r="M27" s="119" t="s">
        <v>344</v>
      </c>
      <c r="N27" s="119" t="s">
        <v>344</v>
      </c>
      <c r="O27" s="119" t="s">
        <v>566</v>
      </c>
      <c r="P27" s="119" t="s">
        <v>566</v>
      </c>
      <c r="Q27" s="119" t="s">
        <v>566</v>
      </c>
      <c r="R27" s="119" t="s">
        <v>566</v>
      </c>
      <c r="S27" s="119" t="s">
        <v>567</v>
      </c>
      <c r="T27" s="119" t="s">
        <v>567</v>
      </c>
      <c r="U27" s="119" t="s">
        <v>567</v>
      </c>
      <c r="V27" s="119" t="s">
        <v>567</v>
      </c>
    </row>
    <row r="28" spans="2:22" ht="15.5" x14ac:dyDescent="0.7">
      <c r="B28" s="98"/>
      <c r="C28" s="100" t="s">
        <v>244</v>
      </c>
      <c r="D28" s="100" t="s">
        <v>404</v>
      </c>
      <c r="E28" s="100" t="s">
        <v>403</v>
      </c>
      <c r="F28" s="100" t="s">
        <v>349</v>
      </c>
      <c r="G28" s="100" t="s">
        <v>244</v>
      </c>
      <c r="H28" s="100" t="s">
        <v>404</v>
      </c>
      <c r="I28" s="100" t="s">
        <v>403</v>
      </c>
      <c r="J28" s="100" t="s">
        <v>349</v>
      </c>
      <c r="K28" s="100" t="s">
        <v>244</v>
      </c>
      <c r="L28" s="100" t="s">
        <v>404</v>
      </c>
      <c r="M28" s="100" t="s">
        <v>403</v>
      </c>
      <c r="N28" s="100" t="s">
        <v>349</v>
      </c>
      <c r="O28" s="100" t="s">
        <v>244</v>
      </c>
      <c r="P28" s="100" t="s">
        <v>404</v>
      </c>
      <c r="Q28" s="100" t="s">
        <v>403</v>
      </c>
      <c r="R28" s="100" t="s">
        <v>349</v>
      </c>
      <c r="S28" s="100" t="s">
        <v>244</v>
      </c>
      <c r="T28" s="100" t="s">
        <v>404</v>
      </c>
      <c r="U28" s="100" t="s">
        <v>403</v>
      </c>
      <c r="V28" s="100" t="s">
        <v>349</v>
      </c>
    </row>
    <row r="29" spans="2:22" x14ac:dyDescent="0.65">
      <c r="B29" s="59" t="s">
        <v>244</v>
      </c>
      <c r="C29" s="61">
        <f>IF($B29=C$28,0,INDEX('Travel Matrix'!$D$7:$GT$205,MATCH(INDEX('Inputs (detail)'!$E$10:$E$16,MATCH($B29,'Inputs (detail)'!$B$10:$B$16,0)),'Travel Matrix'!$C$7:$C$205,0),MATCH(INDEX('Inputs (detail)'!$E$10:$E$16,MATCH(C$28,'Inputs (detail)'!$B$10:$B$16,0)),'Travel Matrix'!$D$6:$GT$6,0))*IF(INDEX('Travel Matrix'!$D$7:$GT$205,MATCH(INDEX('Inputs (detail)'!$E$10:$E$16,MATCH($B29,'Inputs (detail)'!$B$10:$B$16,0)),'Travel Matrix'!$C$7:$C$205,0),MATCH(INDEX('Inputs (detail)'!$E$10:$E$16,MATCH(C$28,'Inputs (detail)'!$B$10:$B$16,0)),'Travel Matrix'!$D$6:$GT$6,0))&gt;Assumptions!$E$37,IF(C$27="Plane (Economy)",Assumptions!$E$35,Assumptions!$E$36),IF(C$9="Plane (Economy)",Assumptions!$E$33,Assumptions!$E$34)))</f>
        <v>0</v>
      </c>
      <c r="D29" s="61">
        <f>IF($B29=D$28,0,INDEX('Travel Matrix'!$D$7:$GT$205,MATCH(INDEX('Inputs (detail)'!$E$10:$E$16,MATCH($B29,'Inputs (detail)'!$B$10:$B$16,0)),'Travel Matrix'!$C$7:$C$205,0),MATCH(INDEX('Inputs (detail)'!$E$10:$E$16,MATCH(D$28,'Inputs (detail)'!$B$10:$B$16,0)),'Travel Matrix'!$D$6:$GT$6,0))*IF(INDEX('Travel Matrix'!$D$7:$GT$205,MATCH(INDEX('Inputs (detail)'!$E$10:$E$16,MATCH($B29,'Inputs (detail)'!$B$10:$B$16,0)),'Travel Matrix'!$C$7:$C$205,0),MATCH(INDEX('Inputs (detail)'!$E$10:$E$16,MATCH(D$28,'Inputs (detail)'!$B$10:$B$16,0)),'Travel Matrix'!$D$6:$GT$6,0))&gt;Assumptions!$E$37,IF(D$27="Plane (Economy)",Assumptions!$E$35,Assumptions!$E$36),IF(D$9="Plane (Economy)",Assumptions!$E$33,Assumptions!$E$34)))</f>
        <v>94.740474419038492</v>
      </c>
      <c r="E29" s="61">
        <f>IF($B29=E$28,0,INDEX('Travel Matrix'!$D$7:$GT$205,MATCH(INDEX('Inputs (detail)'!$E$10:$E$16,MATCH($B29,'Inputs (detail)'!$B$10:$B$16,0)),'Travel Matrix'!$C$7:$C$205,0),MATCH(INDEX('Inputs (detail)'!$E$10:$E$16,MATCH(E$28,'Inputs (detail)'!$B$10:$B$16,0)),'Travel Matrix'!$D$6:$GT$6,0))*IF(INDEX('Travel Matrix'!$D$7:$GT$205,MATCH(INDEX('Inputs (detail)'!$E$10:$E$16,MATCH($B29,'Inputs (detail)'!$B$10:$B$16,0)),'Travel Matrix'!$C$7:$C$205,0),MATCH(INDEX('Inputs (detail)'!$E$10:$E$16,MATCH(E$28,'Inputs (detail)'!$B$10:$B$16,0)),'Travel Matrix'!$D$6:$GT$6,0))&gt;Assumptions!$E$37,IF(E$27="Plane (Economy)",Assumptions!$E$35,Assumptions!$E$36),IF(E$9="Plane (Economy)",Assumptions!$E$33,Assumptions!$E$34)))</f>
        <v>172.74633090302274</v>
      </c>
      <c r="F29" s="61">
        <f>IF($B29=F$28,0,INDEX('Travel Matrix'!$D$7:$GT$205,MATCH(INDEX('Inputs (detail)'!$E$10:$E$16,MATCH($B29,'Inputs (detail)'!$B$10:$B$16,0)),'Travel Matrix'!$C$7:$C$205,0),MATCH(INDEX('Inputs (detail)'!$E$10:$E$16,MATCH(F$28,'Inputs (detail)'!$B$10:$B$16,0)),'Travel Matrix'!$D$6:$GT$6,0))*IF(INDEX('Travel Matrix'!$D$7:$GT$205,MATCH(INDEX('Inputs (detail)'!$E$10:$E$16,MATCH($B29,'Inputs (detail)'!$B$10:$B$16,0)),'Travel Matrix'!$C$7:$C$205,0),MATCH(INDEX('Inputs (detail)'!$E$10:$E$16,MATCH(F$28,'Inputs (detail)'!$B$10:$B$16,0)),'Travel Matrix'!$D$6:$GT$6,0))&gt;Assumptions!$E$37,IF(F$27="Plane (Economy)",Assumptions!$E$35,Assumptions!$E$36),IF(F$9="Plane (Economy)",Assumptions!$E$33,Assumptions!$E$34)))</f>
        <v>114.88066236760086</v>
      </c>
      <c r="G29" s="61">
        <f>IF($B29=G$28,0,INDEX('Travel Matrix'!$D$7:$GT$205,MATCH(INDEX('Inputs (detail)'!$E$10:$E$16,MATCH($B29,'Inputs (detail)'!$B$10:$B$16,0)),'Travel Matrix'!$C$7:$C$205,0),MATCH(INDEX('Inputs (detail)'!$E$10:$E$16,MATCH(G$28,'Inputs (detail)'!$B$10:$B$16,0)),'Travel Matrix'!$D$6:$GT$6,0))*IF(INDEX('Travel Matrix'!$D$7:$GT$205,MATCH(INDEX('Inputs (detail)'!$E$10:$E$16,MATCH($B29,'Inputs (detail)'!$B$10:$B$16,0)),'Travel Matrix'!$C$7:$C$205,0),MATCH(INDEX('Inputs (detail)'!$E$10:$E$16,MATCH(G$28,'Inputs (detail)'!$B$10:$B$16,0)),'Travel Matrix'!$D$6:$GT$6,0))&gt;Assumptions!$E$37,IF(G$27="Plane (Economy)",Assumptions!$E$35,Assumptions!$E$36),IF(G$9="Plane (Economy)",Assumptions!$E$33,Assumptions!$E$34)))</f>
        <v>0</v>
      </c>
      <c r="H29" s="61">
        <f>IF($B29=H$28,0,INDEX('Travel Matrix'!$D$7:$GT$205,MATCH(INDEX('Inputs (detail)'!$E$10:$E$16,MATCH($B29,'Inputs (detail)'!$B$10:$B$16,0)),'Travel Matrix'!$C$7:$C$205,0),MATCH(INDEX('Inputs (detail)'!$E$10:$E$16,MATCH(H$28,'Inputs (detail)'!$B$10:$B$16,0)),'Travel Matrix'!$D$6:$GT$6,0))*IF(INDEX('Travel Matrix'!$D$7:$GT$205,MATCH(INDEX('Inputs (detail)'!$E$10:$E$16,MATCH($B29,'Inputs (detail)'!$B$10:$B$16,0)),'Travel Matrix'!$C$7:$C$205,0),MATCH(INDEX('Inputs (detail)'!$E$10:$E$16,MATCH(H$28,'Inputs (detail)'!$B$10:$B$16,0)),'Travel Matrix'!$D$6:$GT$6,0))&gt;Assumptions!$E$37,IF(H$27="Plane (Economy)",Assumptions!$E$35,Assumptions!$E$36),IF(H$9="Plane (Economy)",Assumptions!$E$33,Assumptions!$E$34)))</f>
        <v>142.11011392721448</v>
      </c>
      <c r="I29" s="61">
        <f>IF($B29=I$28,0,INDEX('Travel Matrix'!$D$7:$GT$205,MATCH(INDEX('Inputs (detail)'!$E$10:$E$16,MATCH($B29,'Inputs (detail)'!$B$10:$B$16,0)),'Travel Matrix'!$C$7:$C$205,0),MATCH(INDEX('Inputs (detail)'!$E$10:$E$16,MATCH(I$28,'Inputs (detail)'!$B$10:$B$16,0)),'Travel Matrix'!$D$6:$GT$6,0))*IF(INDEX('Travel Matrix'!$D$7:$GT$205,MATCH(INDEX('Inputs (detail)'!$E$10:$E$16,MATCH($B29,'Inputs (detail)'!$B$10:$B$16,0)),'Travel Matrix'!$C$7:$C$205,0),MATCH(INDEX('Inputs (detail)'!$E$10:$E$16,MATCH(I$28,'Inputs (detail)'!$B$10:$B$16,0)),'Travel Matrix'!$D$6:$GT$6,0))&gt;Assumptions!$E$37,IF(I$27="Plane (Economy)",Assumptions!$E$35,Assumptions!$E$36),IF(I$9="Plane (Economy)",Assumptions!$E$33,Assumptions!$E$34)))</f>
        <v>259.11840652767125</v>
      </c>
      <c r="J29" s="61">
        <f>IF($B29=J$28,0,INDEX('Travel Matrix'!$D$7:$GT$205,MATCH(INDEX('Inputs (detail)'!$E$10:$E$16,MATCH($B29,'Inputs (detail)'!$B$10:$B$16,0)),'Travel Matrix'!$C$7:$C$205,0),MATCH(INDEX('Inputs (detail)'!$E$10:$E$16,MATCH(J$28,'Inputs (detail)'!$B$10:$B$16,0)),'Travel Matrix'!$D$6:$GT$6,0))*IF(INDEX('Travel Matrix'!$D$7:$GT$205,MATCH(INDEX('Inputs (detail)'!$E$10:$E$16,MATCH($B29,'Inputs (detail)'!$B$10:$B$16,0)),'Travel Matrix'!$C$7:$C$205,0),MATCH(INDEX('Inputs (detail)'!$E$10:$E$16,MATCH(J$28,'Inputs (detail)'!$B$10:$B$16,0)),'Travel Matrix'!$D$6:$GT$6,0))&gt;Assumptions!$E$37,IF(J$27="Plane (Economy)",Assumptions!$E$35,Assumptions!$E$36),IF(J$9="Plane (Economy)",Assumptions!$E$33,Assumptions!$E$34)))</f>
        <v>172.32026878907951</v>
      </c>
      <c r="K29" s="61">
        <f>IF($B29=K$28,0,INDEX('Travel Matrix'!$D$7:$GT$205,MATCH(INDEX('Inputs (detail)'!$E$10:$E$16,MATCH($B29,'Inputs (detail)'!$B$10:$B$16,0)),'Travel Matrix'!$C$7:$C$205,0),MATCH(INDEX('Inputs (detail)'!$E$10:$E$16,MATCH(K$28,'Inputs (detail)'!$B$10:$B$16,0)),'Travel Matrix'!$D$6:$GT$6,0)))*Assumptions!$E$38</f>
        <v>0</v>
      </c>
      <c r="L29" s="61">
        <f>IF($B29=L$28,0,INDEX('Travel Matrix'!$D$7:$GT$205,MATCH(INDEX('Inputs (detail)'!$E$10:$E$16,MATCH($B29,'Inputs (detail)'!$B$10:$B$16,0)),'Travel Matrix'!$C$7:$C$205,0),MATCH(INDEX('Inputs (detail)'!$E$10:$E$16,MATCH(L$28,'Inputs (detail)'!$B$10:$B$16,0)),'Travel Matrix'!$D$6:$GT$6,0)))*Assumptions!$E$38</f>
        <v>10.341353189452924</v>
      </c>
      <c r="M29" s="61">
        <f>IF($B29=M$28,0,INDEX('Travel Matrix'!$D$7:$GT$205,MATCH(INDEX('Inputs (detail)'!$E$10:$E$16,MATCH($B29,'Inputs (detail)'!$B$10:$B$16,0)),'Travel Matrix'!$C$7:$C$205,0),MATCH(INDEX('Inputs (detail)'!$E$10:$E$16,MATCH(M$28,'Inputs (detail)'!$B$10:$B$16,0)),'Travel Matrix'!$D$6:$GT$6,0)))*Assumptions!$E$38</f>
        <v>18.856046805812426</v>
      </c>
      <c r="N29" s="61">
        <f>IF($B29=N$28,0,INDEX('Travel Matrix'!$D$7:$GT$205,MATCH(INDEX('Inputs (detail)'!$E$10:$E$16,MATCH($B29,'Inputs (detail)'!$B$10:$B$16,0)),'Travel Matrix'!$C$7:$C$205,0),MATCH(INDEX('Inputs (detail)'!$E$10:$E$16,MATCH(N$28,'Inputs (detail)'!$B$10:$B$16,0)),'Travel Matrix'!$D$6:$GT$6,0)))*Assumptions!$E$38</f>
        <v>12.539746201048324</v>
      </c>
      <c r="O29" s="61">
        <f>IF($B29=O$28,0,INDEX('Travel Matrix'!$D$7:$GT$205,MATCH(INDEX('Inputs (detail)'!$E$10:$E$16,MATCH($B29,'Inputs (detail)'!$B$10:$B$16,0)),'Travel Matrix'!$C$7:$C$205,0),MATCH(INDEX('Inputs (detail)'!$E$10:$E$16,MATCH(O$28,'Inputs (detail)'!$B$10:$B$16,0)),'Travel Matrix'!$D$6:$GT$6,0)))*Assumptions!$E$31</f>
        <v>0</v>
      </c>
      <c r="P29" s="61">
        <f>IF($B29=P$28,0,INDEX('Travel Matrix'!$D$7:$GT$205,MATCH(INDEX('Inputs (detail)'!$E$10:$E$16,MATCH($B29,'Inputs (detail)'!$B$10:$B$16,0)),'Travel Matrix'!$C$7:$C$205,0),MATCH(INDEX('Inputs (detail)'!$E$10:$E$16,MATCH(P$28,'Inputs (detail)'!$B$10:$B$16,0)),'Travel Matrix'!$D$6:$GT$6,0)))*Assumptions!$E$31</f>
        <v>78.180218959571704</v>
      </c>
      <c r="Q29" s="61">
        <f>IF($B29=Q$28,0,INDEX('Travel Matrix'!$D$7:$GT$205,MATCH(INDEX('Inputs (detail)'!$E$10:$E$16,MATCH($B29,'Inputs (detail)'!$B$10:$B$16,0)),'Travel Matrix'!$C$7:$C$205,0),MATCH(INDEX('Inputs (detail)'!$E$10:$E$16,MATCH(Q$28,'Inputs (detail)'!$B$10:$B$16,0)),'Travel Matrix'!$D$6:$GT$6,0)))*Assumptions!$E$31</f>
        <v>142.5509641710955</v>
      </c>
      <c r="R29" s="61">
        <f>IF($B29=R$28,0,INDEX('Travel Matrix'!$D$7:$GT$205,MATCH(INDEX('Inputs (detail)'!$E$10:$E$16,MATCH($B29,'Inputs (detail)'!$B$10:$B$16,0)),'Travel Matrix'!$C$7:$C$205,0),MATCH(INDEX('Inputs (detail)'!$E$10:$E$16,MATCH(R$28,'Inputs (detail)'!$B$10:$B$16,0)),'Travel Matrix'!$D$6:$GT$6,0)))*Assumptions!$E$31</f>
        <v>94.799982723274354</v>
      </c>
      <c r="S29" s="61">
        <f>IF($B29=S$28,0,INDEX('Travel Matrix'!$D$7:$GT$205,MATCH(INDEX('Inputs (detail)'!$E$10:$E$16,MATCH($B29,'Inputs (detail)'!$B$10:$B$16,0)),'Travel Matrix'!$C$7:$C$205,0),MATCH(INDEX('Inputs (detail)'!$E$10:$E$16,MATCH(S$28,'Inputs (detail)'!$B$10:$B$16,0)),'Travel Matrix'!$D$6:$GT$6,0)))*Assumptions!$E$32</f>
        <v>0</v>
      </c>
      <c r="T29" s="61">
        <f>IF($B29=T$28,0,INDEX('Travel Matrix'!$D$7:$GT$205,MATCH(INDEX('Inputs (detail)'!$E$10:$E$16,MATCH($B29,'Inputs (detail)'!$B$10:$B$16,0)),'Travel Matrix'!$C$7:$C$205,0),MATCH(INDEX('Inputs (detail)'!$E$10:$E$16,MATCH(T$28,'Inputs (detail)'!$B$10:$B$16,0)),'Travel Matrix'!$D$6:$GT$6,0)))*Assumptions!$E$32</f>
        <v>28.388796432167233</v>
      </c>
      <c r="U29" s="61">
        <f>IF($B29=U$28,0,INDEX('Travel Matrix'!$D$7:$GT$205,MATCH(INDEX('Inputs (detail)'!$E$10:$E$16,MATCH($B29,'Inputs (detail)'!$B$10:$B$16,0)),'Travel Matrix'!$C$7:$C$205,0),MATCH(INDEX('Inputs (detail)'!$E$10:$E$16,MATCH(U$28,'Inputs (detail)'!$B$10:$B$16,0)),'Travel Matrix'!$D$6:$GT$6,0)))*Assumptions!$E$32</f>
        <v>51.763097582971575</v>
      </c>
      <c r="V29" s="61">
        <f>IF($B29=V$28,0,INDEX('Travel Matrix'!$D$7:$GT$205,MATCH(INDEX('Inputs (detail)'!$E$10:$E$16,MATCH($B29,'Inputs (detail)'!$B$10:$B$16,0)),'Travel Matrix'!$C$7:$C$205,0),MATCH(INDEX('Inputs (detail)'!$E$10:$E$16,MATCH(V$28,'Inputs (detail)'!$B$10:$B$16,0)),'Travel Matrix'!$D$6:$GT$6,0)))*Assumptions!$E$32</f>
        <v>34.423764055914198</v>
      </c>
    </row>
    <row r="30" spans="2:22" x14ac:dyDescent="0.65">
      <c r="B30" s="59" t="s">
        <v>404</v>
      </c>
      <c r="C30" s="61">
        <f>IF($B30=C$28,0,INDEX('Travel Matrix'!$D$7:$GT$205,MATCH(INDEX('Inputs (detail)'!$E$10:$E$16,MATCH($B30,'Inputs (detail)'!$B$10:$B$16,0)),'Travel Matrix'!$C$7:$C$205,0),MATCH(INDEX('Inputs (detail)'!$E$10:$E$16,MATCH(C$28,'Inputs (detail)'!$B$10:$B$16,0)),'Travel Matrix'!$D$6:$GT$6,0))*IF(INDEX('Travel Matrix'!$D$7:$GT$205,MATCH(INDEX('Inputs (detail)'!$E$10:$E$16,MATCH($B30,'Inputs (detail)'!$B$10:$B$16,0)),'Travel Matrix'!$C$7:$C$205,0),MATCH(INDEX('Inputs (detail)'!$E$10:$E$16,MATCH(C$28,'Inputs (detail)'!$B$10:$B$16,0)),'Travel Matrix'!$D$6:$GT$6,0))&gt;Assumptions!$E$37,IF(C$27="Plane (Economy)",Assumptions!$E$35,Assumptions!$E$36),IF(C$9="Plane (Economy)",Assumptions!$E$33,Assumptions!$E$34)))</f>
        <v>94.740474419038492</v>
      </c>
      <c r="D30" s="61">
        <f>IF($B30=D$28,0,INDEX('Travel Matrix'!$D$7:$GT$205,MATCH(INDEX('Inputs (detail)'!$E$10:$E$16,MATCH($B30,'Inputs (detail)'!$B$10:$B$16,0)),'Travel Matrix'!$C$7:$C$205,0),MATCH(INDEX('Inputs (detail)'!$E$10:$E$16,MATCH(D$28,'Inputs (detail)'!$B$10:$B$16,0)),'Travel Matrix'!$D$6:$GT$6,0))*IF(INDEX('Travel Matrix'!$D$7:$GT$205,MATCH(INDEX('Inputs (detail)'!$E$10:$E$16,MATCH($B30,'Inputs (detail)'!$B$10:$B$16,0)),'Travel Matrix'!$C$7:$C$205,0),MATCH(INDEX('Inputs (detail)'!$E$10:$E$16,MATCH(D$28,'Inputs (detail)'!$B$10:$B$16,0)),'Travel Matrix'!$D$6:$GT$6,0))&gt;Assumptions!$E$37,IF(D$27="Plane (Economy)",Assumptions!$E$35,Assumptions!$E$36),IF(D$9="Plane (Economy)",Assumptions!$E$33,Assumptions!$E$34)))</f>
        <v>0</v>
      </c>
      <c r="E30" s="61">
        <f>IF($B30=E$28,0,INDEX('Travel Matrix'!$D$7:$GT$205,MATCH(INDEX('Inputs (detail)'!$E$10:$E$16,MATCH($B30,'Inputs (detail)'!$B$10:$B$16,0)),'Travel Matrix'!$C$7:$C$205,0),MATCH(INDEX('Inputs (detail)'!$E$10:$E$16,MATCH(E$28,'Inputs (detail)'!$B$10:$B$16,0)),'Travel Matrix'!$D$6:$GT$6,0))*IF(INDEX('Travel Matrix'!$D$7:$GT$205,MATCH(INDEX('Inputs (detail)'!$E$10:$E$16,MATCH($B30,'Inputs (detail)'!$B$10:$B$16,0)),'Travel Matrix'!$C$7:$C$205,0),MATCH(INDEX('Inputs (detail)'!$E$10:$E$16,MATCH(E$28,'Inputs (detail)'!$B$10:$B$16,0)),'Travel Matrix'!$D$6:$GT$6,0))&gt;Assumptions!$E$37,IF(E$27="Plane (Economy)",Assumptions!$E$35,Assumptions!$E$36),IF(E$9="Plane (Economy)",Assumptions!$E$33,Assumptions!$E$34)))</f>
        <v>115.13698290740921</v>
      </c>
      <c r="F30" s="61">
        <f>IF($B30=F$28,0,INDEX('Travel Matrix'!$D$7:$GT$205,MATCH(INDEX('Inputs (detail)'!$E$10:$E$16,MATCH($B30,'Inputs (detail)'!$B$10:$B$16,0)),'Travel Matrix'!$C$7:$C$205,0),MATCH(INDEX('Inputs (detail)'!$E$10:$E$16,MATCH(F$28,'Inputs (detail)'!$B$10:$B$16,0)),'Travel Matrix'!$D$6:$GT$6,0))*IF(INDEX('Travel Matrix'!$D$7:$GT$205,MATCH(INDEX('Inputs (detail)'!$E$10:$E$16,MATCH($B30,'Inputs (detail)'!$B$10:$B$16,0)),'Travel Matrix'!$C$7:$C$205,0),MATCH(INDEX('Inputs (detail)'!$E$10:$E$16,MATCH(F$28,'Inputs (detail)'!$B$10:$B$16,0)),'Travel Matrix'!$D$6:$GT$6,0))&gt;Assumptions!$E$37,IF(F$27="Plane (Economy)",Assumptions!$E$35,Assumptions!$E$36),IF(F$9="Plane (Economy)",Assumptions!$E$33,Assumptions!$E$34)))</f>
        <v>91.935055285952629</v>
      </c>
      <c r="G30" s="61">
        <f>IF($B30=G$28,0,INDEX('Travel Matrix'!$D$7:$GT$205,MATCH(INDEX('Inputs (detail)'!$E$10:$E$16,MATCH($B30,'Inputs (detail)'!$B$10:$B$16,0)),'Travel Matrix'!$C$7:$C$205,0),MATCH(INDEX('Inputs (detail)'!$E$10:$E$16,MATCH(G$28,'Inputs (detail)'!$B$10:$B$16,0)),'Travel Matrix'!$D$6:$GT$6,0))*IF(INDEX('Travel Matrix'!$D$7:$GT$205,MATCH(INDEX('Inputs (detail)'!$E$10:$E$16,MATCH($B30,'Inputs (detail)'!$B$10:$B$16,0)),'Travel Matrix'!$C$7:$C$205,0),MATCH(INDEX('Inputs (detail)'!$E$10:$E$16,MATCH(G$28,'Inputs (detail)'!$B$10:$B$16,0)),'Travel Matrix'!$D$6:$GT$6,0))&gt;Assumptions!$E$37,IF(G$27="Plane (Economy)",Assumptions!$E$35,Assumptions!$E$36),IF(G$9="Plane (Economy)",Assumptions!$E$33,Assumptions!$E$34)))</f>
        <v>142.11011392721448</v>
      </c>
      <c r="H30" s="61">
        <f>IF($B30=H$28,0,INDEX('Travel Matrix'!$D$7:$GT$205,MATCH(INDEX('Inputs (detail)'!$E$10:$E$16,MATCH($B30,'Inputs (detail)'!$B$10:$B$16,0)),'Travel Matrix'!$C$7:$C$205,0),MATCH(INDEX('Inputs (detail)'!$E$10:$E$16,MATCH(H$28,'Inputs (detail)'!$B$10:$B$16,0)),'Travel Matrix'!$D$6:$GT$6,0))*IF(INDEX('Travel Matrix'!$D$7:$GT$205,MATCH(INDEX('Inputs (detail)'!$E$10:$E$16,MATCH($B30,'Inputs (detail)'!$B$10:$B$16,0)),'Travel Matrix'!$C$7:$C$205,0),MATCH(INDEX('Inputs (detail)'!$E$10:$E$16,MATCH(H$28,'Inputs (detail)'!$B$10:$B$16,0)),'Travel Matrix'!$D$6:$GT$6,0))&gt;Assumptions!$E$37,IF(H$27="Plane (Economy)",Assumptions!$E$35,Assumptions!$E$36),IF(H$9="Plane (Economy)",Assumptions!$E$33,Assumptions!$E$34)))</f>
        <v>0</v>
      </c>
      <c r="I30" s="61">
        <f>IF($B30=I$28,0,INDEX('Travel Matrix'!$D$7:$GT$205,MATCH(INDEX('Inputs (detail)'!$E$10:$E$16,MATCH($B30,'Inputs (detail)'!$B$10:$B$16,0)),'Travel Matrix'!$C$7:$C$205,0),MATCH(INDEX('Inputs (detail)'!$E$10:$E$16,MATCH(I$28,'Inputs (detail)'!$B$10:$B$16,0)),'Travel Matrix'!$D$6:$GT$6,0))*IF(INDEX('Travel Matrix'!$D$7:$GT$205,MATCH(INDEX('Inputs (detail)'!$E$10:$E$16,MATCH($B30,'Inputs (detail)'!$B$10:$B$16,0)),'Travel Matrix'!$C$7:$C$205,0),MATCH(INDEX('Inputs (detail)'!$E$10:$E$16,MATCH(I$28,'Inputs (detail)'!$B$10:$B$16,0)),'Travel Matrix'!$D$6:$GT$6,0))&gt;Assumptions!$E$37,IF(I$27="Plane (Economy)",Assumptions!$E$35,Assumptions!$E$36),IF(I$9="Plane (Economy)",Assumptions!$E$33,Assumptions!$E$34)))</f>
        <v>172.70474798170983</v>
      </c>
      <c r="J30" s="61">
        <f>IF($B30=J$28,0,INDEX('Travel Matrix'!$D$7:$GT$205,MATCH(INDEX('Inputs (detail)'!$E$10:$E$16,MATCH($B30,'Inputs (detail)'!$B$10:$B$16,0)),'Travel Matrix'!$C$7:$C$205,0),MATCH(INDEX('Inputs (detail)'!$E$10:$E$16,MATCH(J$28,'Inputs (detail)'!$B$10:$B$16,0)),'Travel Matrix'!$D$6:$GT$6,0))*IF(INDEX('Travel Matrix'!$D$7:$GT$205,MATCH(INDEX('Inputs (detail)'!$E$10:$E$16,MATCH($B30,'Inputs (detail)'!$B$10:$B$16,0)),'Travel Matrix'!$C$7:$C$205,0),MATCH(INDEX('Inputs (detail)'!$E$10:$E$16,MATCH(J$28,'Inputs (detail)'!$B$10:$B$16,0)),'Travel Matrix'!$D$6:$GT$6,0))&gt;Assumptions!$E$37,IF(J$27="Plane (Economy)",Assumptions!$E$35,Assumptions!$E$36),IF(J$9="Plane (Economy)",Assumptions!$E$33,Assumptions!$E$34)))</f>
        <v>137.90200292649206</v>
      </c>
      <c r="K30" s="61">
        <f>IF($B30=K$28,0,INDEX('Travel Matrix'!$D$7:$GT$205,MATCH(INDEX('Inputs (detail)'!$E$10:$E$16,MATCH($B30,'Inputs (detail)'!$B$10:$B$16,0)),'Travel Matrix'!$C$7:$C$205,0),MATCH(INDEX('Inputs (detail)'!$E$10:$E$16,MATCH(K$28,'Inputs (detail)'!$B$10:$B$16,0)),'Travel Matrix'!$D$6:$GT$6,0)))*Assumptions!$E$38</f>
        <v>10.341353189452924</v>
      </c>
      <c r="L30" s="61">
        <f>IF($B30=L$28,0,INDEX('Travel Matrix'!$D$7:$GT$205,MATCH(INDEX('Inputs (detail)'!$E$10:$E$16,MATCH($B30,'Inputs (detail)'!$B$10:$B$16,0)),'Travel Matrix'!$C$7:$C$205,0),MATCH(INDEX('Inputs (detail)'!$E$10:$E$16,MATCH(L$28,'Inputs (detail)'!$B$10:$B$16,0)),'Travel Matrix'!$D$6:$GT$6,0)))*Assumptions!$E$38</f>
        <v>0</v>
      </c>
      <c r="M30" s="61">
        <f>IF($B30=M$28,0,INDEX('Travel Matrix'!$D$7:$GT$205,MATCH(INDEX('Inputs (detail)'!$E$10:$E$16,MATCH($B30,'Inputs (detail)'!$B$10:$B$16,0)),'Travel Matrix'!$C$7:$C$205,0),MATCH(INDEX('Inputs (detail)'!$E$10:$E$16,MATCH(M$28,'Inputs (detail)'!$B$10:$B$16,0)),'Travel Matrix'!$D$6:$GT$6,0)))*Assumptions!$E$38</f>
        <v>12.567724752434346</v>
      </c>
      <c r="N30" s="61">
        <f>IF($B30=N$28,0,INDEX('Travel Matrix'!$D$7:$GT$205,MATCH(INDEX('Inputs (detail)'!$E$10:$E$16,MATCH($B30,'Inputs (detail)'!$B$10:$B$16,0)),'Travel Matrix'!$C$7:$C$205,0),MATCH(INDEX('Inputs (detail)'!$E$10:$E$16,MATCH(N$28,'Inputs (detail)'!$B$10:$B$16,0)),'Travel Matrix'!$D$6:$GT$6,0)))*Assumptions!$E$38</f>
        <v>10.035128946038542</v>
      </c>
      <c r="O30" s="61">
        <f>IF($B30=O$28,0,INDEX('Travel Matrix'!$D$7:$GT$205,MATCH(INDEX('Inputs (detail)'!$E$10:$E$16,MATCH($B30,'Inputs (detail)'!$B$10:$B$16,0)),'Travel Matrix'!$C$7:$C$205,0),MATCH(INDEX('Inputs (detail)'!$E$10:$E$16,MATCH(O$28,'Inputs (detail)'!$B$10:$B$16,0)),'Travel Matrix'!$D$6:$GT$6,0)))*Assumptions!$E$31</f>
        <v>78.180218959571704</v>
      </c>
      <c r="P30" s="61">
        <f>IF($B30=P$28,0,INDEX('Travel Matrix'!$D$7:$GT$205,MATCH(INDEX('Inputs (detail)'!$E$10:$E$16,MATCH($B30,'Inputs (detail)'!$B$10:$B$16,0)),'Travel Matrix'!$C$7:$C$205,0),MATCH(INDEX('Inputs (detail)'!$E$10:$E$16,MATCH(P$28,'Inputs (detail)'!$B$10:$B$16,0)),'Travel Matrix'!$D$6:$GT$6,0)))*Assumptions!$E$31</f>
        <v>0</v>
      </c>
      <c r="Q30" s="61">
        <f>IF($B30=Q$28,0,INDEX('Travel Matrix'!$D$7:$GT$205,MATCH(INDEX('Inputs (detail)'!$E$10:$E$16,MATCH($B30,'Inputs (detail)'!$B$10:$B$16,0)),'Travel Matrix'!$C$7:$C$205,0),MATCH(INDEX('Inputs (detail)'!$E$10:$E$16,MATCH(Q$28,'Inputs (detail)'!$B$10:$B$16,0)),'Travel Matrix'!$D$6:$GT$6,0)))*Assumptions!$E$31</f>
        <v>95.011499459378271</v>
      </c>
      <c r="R30" s="61">
        <f>IF($B30=R$28,0,INDEX('Travel Matrix'!$D$7:$GT$205,MATCH(INDEX('Inputs (detail)'!$E$10:$E$16,MATCH($B30,'Inputs (detail)'!$B$10:$B$16,0)),'Travel Matrix'!$C$7:$C$205,0),MATCH(INDEX('Inputs (detail)'!$E$10:$E$16,MATCH(R$28,'Inputs (detail)'!$B$10:$B$16,0)),'Travel Matrix'!$D$6:$GT$6,0)))*Assumptions!$E$31</f>
        <v>75.86517585425716</v>
      </c>
      <c r="S30" s="61">
        <f>IF($B30=S$28,0,INDEX('Travel Matrix'!$D$7:$GT$205,MATCH(INDEX('Inputs (detail)'!$E$10:$E$16,MATCH($B30,'Inputs (detail)'!$B$10:$B$16,0)),'Travel Matrix'!$C$7:$C$205,0),MATCH(INDEX('Inputs (detail)'!$E$10:$E$16,MATCH(S$28,'Inputs (detail)'!$B$10:$B$16,0)),'Travel Matrix'!$D$6:$GT$6,0)))*Assumptions!$E$32</f>
        <v>28.388796432167233</v>
      </c>
      <c r="T30" s="61">
        <f>IF($B30=T$28,0,INDEX('Travel Matrix'!$D$7:$GT$205,MATCH(INDEX('Inputs (detail)'!$E$10:$E$16,MATCH($B30,'Inputs (detail)'!$B$10:$B$16,0)),'Travel Matrix'!$C$7:$C$205,0),MATCH(INDEX('Inputs (detail)'!$E$10:$E$16,MATCH(T$28,'Inputs (detail)'!$B$10:$B$16,0)),'Travel Matrix'!$D$6:$GT$6,0)))*Assumptions!$E$32</f>
        <v>0</v>
      </c>
      <c r="U30" s="61">
        <f>IF($B30=U$28,0,INDEX('Travel Matrix'!$D$7:$GT$205,MATCH(INDEX('Inputs (detail)'!$E$10:$E$16,MATCH($B30,'Inputs (detail)'!$B$10:$B$16,0)),'Travel Matrix'!$C$7:$C$205,0),MATCH(INDEX('Inputs (detail)'!$E$10:$E$16,MATCH(U$28,'Inputs (detail)'!$B$10:$B$16,0)),'Travel Matrix'!$D$6:$GT$6,0)))*Assumptions!$E$32</f>
        <v>34.500570000476152</v>
      </c>
      <c r="V30" s="61">
        <f>IF($B30=V$28,0,INDEX('Travel Matrix'!$D$7:$GT$205,MATCH(INDEX('Inputs (detail)'!$E$10:$E$16,MATCH($B30,'Inputs (detail)'!$B$10:$B$16,0)),'Travel Matrix'!$C$7:$C$205,0),MATCH(INDEX('Inputs (detail)'!$E$10:$E$16,MATCH(V$28,'Inputs (detail)'!$B$10:$B$16,0)),'Travel Matrix'!$D$6:$GT$6,0)))*Assumptions!$E$32</f>
        <v>27.548158118242164</v>
      </c>
    </row>
    <row r="31" spans="2:22" x14ac:dyDescent="0.65">
      <c r="B31" s="59" t="s">
        <v>403</v>
      </c>
      <c r="C31" s="61">
        <f>IF($B31=C$28,0,INDEX('Travel Matrix'!$D$7:$GT$205,MATCH(INDEX('Inputs (detail)'!$E$10:$E$16,MATCH($B31,'Inputs (detail)'!$B$10:$B$16,0)),'Travel Matrix'!$C$7:$C$205,0),MATCH(INDEX('Inputs (detail)'!$E$10:$E$16,MATCH(C$28,'Inputs (detail)'!$B$10:$B$16,0)),'Travel Matrix'!$D$6:$GT$6,0))*IF(INDEX('Travel Matrix'!$D$7:$GT$205,MATCH(INDEX('Inputs (detail)'!$E$10:$E$16,MATCH($B31,'Inputs (detail)'!$B$10:$B$16,0)),'Travel Matrix'!$C$7:$C$205,0),MATCH(INDEX('Inputs (detail)'!$E$10:$E$16,MATCH(C$28,'Inputs (detail)'!$B$10:$B$16,0)),'Travel Matrix'!$D$6:$GT$6,0))&gt;Assumptions!$E$37,IF(C$27="Plane (Economy)",Assumptions!$E$35,Assumptions!$E$36),IF(C$9="Plane (Economy)",Assumptions!$E$33,Assumptions!$E$34)))</f>
        <v>172.74633090302274</v>
      </c>
      <c r="D31" s="61">
        <f>IF($B31=D$28,0,INDEX('Travel Matrix'!$D$7:$GT$205,MATCH(INDEX('Inputs (detail)'!$E$10:$E$16,MATCH($B31,'Inputs (detail)'!$B$10:$B$16,0)),'Travel Matrix'!$C$7:$C$205,0),MATCH(INDEX('Inputs (detail)'!$E$10:$E$16,MATCH(D$28,'Inputs (detail)'!$B$10:$B$16,0)),'Travel Matrix'!$D$6:$GT$6,0))*IF(INDEX('Travel Matrix'!$D$7:$GT$205,MATCH(INDEX('Inputs (detail)'!$E$10:$E$16,MATCH($B31,'Inputs (detail)'!$B$10:$B$16,0)),'Travel Matrix'!$C$7:$C$205,0),MATCH(INDEX('Inputs (detail)'!$E$10:$E$16,MATCH(D$28,'Inputs (detail)'!$B$10:$B$16,0)),'Travel Matrix'!$D$6:$GT$6,0))&gt;Assumptions!$E$37,IF(D$27="Plane (Economy)",Assumptions!$E$35,Assumptions!$E$36),IF(D$9="Plane (Economy)",Assumptions!$E$33,Assumptions!$E$34)))</f>
        <v>115.13698290740921</v>
      </c>
      <c r="E31" s="61">
        <f>IF($B31=E$28,0,INDEX('Travel Matrix'!$D$7:$GT$205,MATCH(INDEX('Inputs (detail)'!$E$10:$E$16,MATCH($B31,'Inputs (detail)'!$B$10:$B$16,0)),'Travel Matrix'!$C$7:$C$205,0),MATCH(INDEX('Inputs (detail)'!$E$10:$E$16,MATCH(E$28,'Inputs (detail)'!$B$10:$B$16,0)),'Travel Matrix'!$D$6:$GT$6,0))*IF(INDEX('Travel Matrix'!$D$7:$GT$205,MATCH(INDEX('Inputs (detail)'!$E$10:$E$16,MATCH($B31,'Inputs (detail)'!$B$10:$B$16,0)),'Travel Matrix'!$C$7:$C$205,0),MATCH(INDEX('Inputs (detail)'!$E$10:$E$16,MATCH(E$28,'Inputs (detail)'!$B$10:$B$16,0)),'Travel Matrix'!$D$6:$GT$6,0))&gt;Assumptions!$E$37,IF(E$27="Plane (Economy)",Assumptions!$E$35,Assumptions!$E$36),IF(E$9="Plane (Economy)",Assumptions!$E$33,Assumptions!$E$34)))</f>
        <v>0</v>
      </c>
      <c r="F31" s="61">
        <f>IF($B31=F$28,0,INDEX('Travel Matrix'!$D$7:$GT$205,MATCH(INDEX('Inputs (detail)'!$E$10:$E$16,MATCH($B31,'Inputs (detail)'!$B$10:$B$16,0)),'Travel Matrix'!$C$7:$C$205,0),MATCH(INDEX('Inputs (detail)'!$E$10:$E$16,MATCH(F$28,'Inputs (detail)'!$B$10:$B$16,0)),'Travel Matrix'!$D$6:$GT$6,0))*IF(INDEX('Travel Matrix'!$D$7:$GT$205,MATCH(INDEX('Inputs (detail)'!$E$10:$E$16,MATCH($B31,'Inputs (detail)'!$B$10:$B$16,0)),'Travel Matrix'!$C$7:$C$205,0),MATCH(INDEX('Inputs (detail)'!$E$10:$E$16,MATCH(F$28,'Inputs (detail)'!$B$10:$B$16,0)),'Travel Matrix'!$D$6:$GT$6,0))&gt;Assumptions!$E$37,IF(F$27="Plane (Economy)",Assumptions!$E$35,Assumptions!$E$36),IF(F$9="Plane (Economy)",Assumptions!$E$33,Assumptions!$E$34)))</f>
        <v>65.180226527655861</v>
      </c>
      <c r="G31" s="61">
        <f>IF($B31=G$28,0,INDEX('Travel Matrix'!$D$7:$GT$205,MATCH(INDEX('Inputs (detail)'!$E$10:$E$16,MATCH($B31,'Inputs (detail)'!$B$10:$B$16,0)),'Travel Matrix'!$C$7:$C$205,0),MATCH(INDEX('Inputs (detail)'!$E$10:$E$16,MATCH(G$28,'Inputs (detail)'!$B$10:$B$16,0)),'Travel Matrix'!$D$6:$GT$6,0))*IF(INDEX('Travel Matrix'!$D$7:$GT$205,MATCH(INDEX('Inputs (detail)'!$E$10:$E$16,MATCH($B31,'Inputs (detail)'!$B$10:$B$16,0)),'Travel Matrix'!$C$7:$C$205,0),MATCH(INDEX('Inputs (detail)'!$E$10:$E$16,MATCH(G$28,'Inputs (detail)'!$B$10:$B$16,0)),'Travel Matrix'!$D$6:$GT$6,0))&gt;Assumptions!$E$37,IF(G$27="Plane (Economy)",Assumptions!$E$35,Assumptions!$E$36),IF(G$9="Plane (Economy)",Assumptions!$E$33,Assumptions!$E$34)))</f>
        <v>259.11840652767125</v>
      </c>
      <c r="H31" s="61">
        <f>IF($B31=H$28,0,INDEX('Travel Matrix'!$D$7:$GT$205,MATCH(INDEX('Inputs (detail)'!$E$10:$E$16,MATCH($B31,'Inputs (detail)'!$B$10:$B$16,0)),'Travel Matrix'!$C$7:$C$205,0),MATCH(INDEX('Inputs (detail)'!$E$10:$E$16,MATCH(H$28,'Inputs (detail)'!$B$10:$B$16,0)),'Travel Matrix'!$D$6:$GT$6,0))*IF(INDEX('Travel Matrix'!$D$7:$GT$205,MATCH(INDEX('Inputs (detail)'!$E$10:$E$16,MATCH($B31,'Inputs (detail)'!$B$10:$B$16,0)),'Travel Matrix'!$C$7:$C$205,0),MATCH(INDEX('Inputs (detail)'!$E$10:$E$16,MATCH(H$28,'Inputs (detail)'!$B$10:$B$16,0)),'Travel Matrix'!$D$6:$GT$6,0))&gt;Assumptions!$E$37,IF(H$27="Plane (Economy)",Assumptions!$E$35,Assumptions!$E$36),IF(H$9="Plane (Economy)",Assumptions!$E$33,Assumptions!$E$34)))</f>
        <v>172.70474798170983</v>
      </c>
      <c r="I31" s="61">
        <f>IF($B31=I$28,0,INDEX('Travel Matrix'!$D$7:$GT$205,MATCH(INDEX('Inputs (detail)'!$E$10:$E$16,MATCH($B31,'Inputs (detail)'!$B$10:$B$16,0)),'Travel Matrix'!$C$7:$C$205,0),MATCH(INDEX('Inputs (detail)'!$E$10:$E$16,MATCH(I$28,'Inputs (detail)'!$B$10:$B$16,0)),'Travel Matrix'!$D$6:$GT$6,0))*IF(INDEX('Travel Matrix'!$D$7:$GT$205,MATCH(INDEX('Inputs (detail)'!$E$10:$E$16,MATCH($B31,'Inputs (detail)'!$B$10:$B$16,0)),'Travel Matrix'!$C$7:$C$205,0),MATCH(INDEX('Inputs (detail)'!$E$10:$E$16,MATCH(I$28,'Inputs (detail)'!$B$10:$B$16,0)),'Travel Matrix'!$D$6:$GT$6,0))&gt;Assumptions!$E$37,IF(I$27="Plane (Economy)",Assumptions!$E$35,Assumptions!$E$36),IF(I$9="Plane (Economy)",Assumptions!$E$33,Assumptions!$E$34)))</f>
        <v>0</v>
      </c>
      <c r="J31" s="61">
        <f>IF($B31=J$28,0,INDEX('Travel Matrix'!$D$7:$GT$205,MATCH(INDEX('Inputs (detail)'!$E$10:$E$16,MATCH($B31,'Inputs (detail)'!$B$10:$B$16,0)),'Travel Matrix'!$C$7:$C$205,0),MATCH(INDEX('Inputs (detail)'!$E$10:$E$16,MATCH(J$28,'Inputs (detail)'!$B$10:$B$16,0)),'Travel Matrix'!$D$6:$GT$6,0))*IF(INDEX('Travel Matrix'!$D$7:$GT$205,MATCH(INDEX('Inputs (detail)'!$E$10:$E$16,MATCH($B31,'Inputs (detail)'!$B$10:$B$16,0)),'Travel Matrix'!$C$7:$C$205,0),MATCH(INDEX('Inputs (detail)'!$E$10:$E$16,MATCH(J$28,'Inputs (detail)'!$B$10:$B$16,0)),'Travel Matrix'!$D$6:$GT$6,0))&gt;Assumptions!$E$37,IF(J$27="Plane (Economy)",Assumptions!$E$35,Assumptions!$E$36),IF(J$9="Plane (Economy)",Assumptions!$E$33,Assumptions!$E$34)))</f>
        <v>97.769928580655616</v>
      </c>
      <c r="K31" s="61">
        <f>IF($B31=K$28,0,INDEX('Travel Matrix'!$D$7:$GT$205,MATCH(INDEX('Inputs (detail)'!$E$10:$E$16,MATCH($B31,'Inputs (detail)'!$B$10:$B$16,0)),'Travel Matrix'!$C$7:$C$205,0),MATCH(INDEX('Inputs (detail)'!$E$10:$E$16,MATCH(K$28,'Inputs (detail)'!$B$10:$B$16,0)),'Travel Matrix'!$D$6:$GT$6,0)))*Assumptions!$E$38</f>
        <v>18.856046805812426</v>
      </c>
      <c r="L31" s="61">
        <f>IF($B31=L$28,0,INDEX('Travel Matrix'!$D$7:$GT$205,MATCH(INDEX('Inputs (detail)'!$E$10:$E$16,MATCH($B31,'Inputs (detail)'!$B$10:$B$16,0)),'Travel Matrix'!$C$7:$C$205,0),MATCH(INDEX('Inputs (detail)'!$E$10:$E$16,MATCH(L$28,'Inputs (detail)'!$B$10:$B$16,0)),'Travel Matrix'!$D$6:$GT$6,0)))*Assumptions!$E$38</f>
        <v>12.567724752434346</v>
      </c>
      <c r="M31" s="61">
        <f>IF($B31=M$28,0,INDEX('Travel Matrix'!$D$7:$GT$205,MATCH(INDEX('Inputs (detail)'!$E$10:$E$16,MATCH($B31,'Inputs (detail)'!$B$10:$B$16,0)),'Travel Matrix'!$C$7:$C$205,0),MATCH(INDEX('Inputs (detail)'!$E$10:$E$16,MATCH(M$28,'Inputs (detail)'!$B$10:$B$16,0)),'Travel Matrix'!$D$6:$GT$6,0)))*Assumptions!$E$38</f>
        <v>0</v>
      </c>
      <c r="N31" s="61">
        <f>IF($B31=N$28,0,INDEX('Travel Matrix'!$D$7:$GT$205,MATCH(INDEX('Inputs (detail)'!$E$10:$E$16,MATCH($B31,'Inputs (detail)'!$B$10:$B$16,0)),'Travel Matrix'!$C$7:$C$205,0),MATCH(INDEX('Inputs (detail)'!$E$10:$E$16,MATCH(N$28,'Inputs (detail)'!$B$10:$B$16,0)),'Travel Matrix'!$D$6:$GT$6,0)))*Assumptions!$E$38</f>
        <v>7.1147178397027817</v>
      </c>
      <c r="O31" s="61">
        <f>IF($B31=O$28,0,INDEX('Travel Matrix'!$D$7:$GT$205,MATCH(INDEX('Inputs (detail)'!$E$10:$E$16,MATCH($B31,'Inputs (detail)'!$B$10:$B$16,0)),'Travel Matrix'!$C$7:$C$205,0),MATCH(INDEX('Inputs (detail)'!$E$10:$E$16,MATCH(O$28,'Inputs (detail)'!$B$10:$B$16,0)),'Travel Matrix'!$D$6:$GT$6,0)))*Assumptions!$E$31</f>
        <v>142.5509641710955</v>
      </c>
      <c r="P31" s="61">
        <f>IF($B31=P$28,0,INDEX('Travel Matrix'!$D$7:$GT$205,MATCH(INDEX('Inputs (detail)'!$E$10:$E$16,MATCH($B31,'Inputs (detail)'!$B$10:$B$16,0)),'Travel Matrix'!$C$7:$C$205,0),MATCH(INDEX('Inputs (detail)'!$E$10:$E$16,MATCH(P$28,'Inputs (detail)'!$B$10:$B$16,0)),'Travel Matrix'!$D$6:$GT$6,0)))*Assumptions!$E$31</f>
        <v>95.011499459378271</v>
      </c>
      <c r="Q31" s="61">
        <f>IF($B31=Q$28,0,INDEX('Travel Matrix'!$D$7:$GT$205,MATCH(INDEX('Inputs (detail)'!$E$10:$E$16,MATCH($B31,'Inputs (detail)'!$B$10:$B$16,0)),'Travel Matrix'!$C$7:$C$205,0),MATCH(INDEX('Inputs (detail)'!$E$10:$E$16,MATCH(Q$28,'Inputs (detail)'!$B$10:$B$16,0)),'Travel Matrix'!$D$6:$GT$6,0)))*Assumptions!$E$31</f>
        <v>0</v>
      </c>
      <c r="R31" s="61">
        <f>IF($B31=R$28,0,INDEX('Travel Matrix'!$D$7:$GT$205,MATCH(INDEX('Inputs (detail)'!$E$10:$E$16,MATCH($B31,'Inputs (detail)'!$B$10:$B$16,0)),'Travel Matrix'!$C$7:$C$205,0),MATCH(INDEX('Inputs (detail)'!$E$10:$E$16,MATCH(R$28,'Inputs (detail)'!$B$10:$B$16,0)),'Travel Matrix'!$D$6:$GT$6,0)))*Assumptions!$E$31</f>
        <v>53.786984000394625</v>
      </c>
      <c r="S31" s="61">
        <f>IF($B31=S$28,0,INDEX('Travel Matrix'!$D$7:$GT$205,MATCH(INDEX('Inputs (detail)'!$E$10:$E$16,MATCH($B31,'Inputs (detail)'!$B$10:$B$16,0)),'Travel Matrix'!$C$7:$C$205,0),MATCH(INDEX('Inputs (detail)'!$E$10:$E$16,MATCH(S$28,'Inputs (detail)'!$B$10:$B$16,0)),'Travel Matrix'!$D$6:$GT$6,0)))*Assumptions!$E$32</f>
        <v>51.763097582971575</v>
      </c>
      <c r="T31" s="61">
        <f>IF($B31=T$28,0,INDEX('Travel Matrix'!$D$7:$GT$205,MATCH(INDEX('Inputs (detail)'!$E$10:$E$16,MATCH($B31,'Inputs (detail)'!$B$10:$B$16,0)),'Travel Matrix'!$C$7:$C$205,0),MATCH(INDEX('Inputs (detail)'!$E$10:$E$16,MATCH(T$28,'Inputs (detail)'!$B$10:$B$16,0)),'Travel Matrix'!$D$6:$GT$6,0)))*Assumptions!$E$32</f>
        <v>34.500570000476152</v>
      </c>
      <c r="U31" s="61">
        <f>IF($B31=U$28,0,INDEX('Travel Matrix'!$D$7:$GT$205,MATCH(INDEX('Inputs (detail)'!$E$10:$E$16,MATCH($B31,'Inputs (detail)'!$B$10:$B$16,0)),'Travel Matrix'!$C$7:$C$205,0),MATCH(INDEX('Inputs (detail)'!$E$10:$E$16,MATCH(U$28,'Inputs (detail)'!$B$10:$B$16,0)),'Travel Matrix'!$D$6:$GT$6,0)))*Assumptions!$E$32</f>
        <v>0</v>
      </c>
      <c r="V31" s="61">
        <f>IF($B31=V$28,0,INDEX('Travel Matrix'!$D$7:$GT$205,MATCH(INDEX('Inputs (detail)'!$E$10:$E$16,MATCH($B31,'Inputs (detail)'!$B$10:$B$16,0)),'Travel Matrix'!$C$7:$C$205,0),MATCH(INDEX('Inputs (detail)'!$E$10:$E$16,MATCH(V$28,'Inputs (detail)'!$B$10:$B$16,0)),'Travel Matrix'!$D$6:$GT$6,0)))*Assumptions!$E$32</f>
        <v>19.53112641289799</v>
      </c>
    </row>
    <row r="32" spans="2:22" ht="15.5" x14ac:dyDescent="0.7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</row>
    <row r="33" spans="2:7" x14ac:dyDescent="0.65">
      <c r="C33" s="60" t="s">
        <v>393</v>
      </c>
      <c r="D33" s="60" t="s">
        <v>392</v>
      </c>
      <c r="E33" s="60" t="s">
        <v>344</v>
      </c>
      <c r="F33" s="60" t="s">
        <v>7</v>
      </c>
      <c r="G33" s="60" t="s">
        <v>567</v>
      </c>
    </row>
    <row r="34" spans="2:7" x14ac:dyDescent="0.65">
      <c r="B34" s="59" t="s">
        <v>371</v>
      </c>
      <c r="C34" s="61">
        <f>D29</f>
        <v>94.740474419038492</v>
      </c>
      <c r="D34" s="61">
        <f>H29</f>
        <v>142.11011392721448</v>
      </c>
      <c r="E34" s="61">
        <f>L29</f>
        <v>10.341353189452924</v>
      </c>
      <c r="F34" s="61">
        <f>P29</f>
        <v>78.180218959571704</v>
      </c>
      <c r="G34" s="61">
        <f>T29</f>
        <v>28.388796432167233</v>
      </c>
    </row>
    <row r="35" spans="2:7" x14ac:dyDescent="0.65">
      <c r="B35" s="59" t="s">
        <v>372</v>
      </c>
      <c r="C35" s="61">
        <f>E29</f>
        <v>172.74633090302274</v>
      </c>
      <c r="D35" s="61">
        <f>I29</f>
        <v>259.11840652767125</v>
      </c>
      <c r="E35" s="61">
        <f>M29</f>
        <v>18.856046805812426</v>
      </c>
      <c r="F35" s="61">
        <f>Q29</f>
        <v>142.5509641710955</v>
      </c>
      <c r="G35" s="61">
        <f>U29</f>
        <v>51.763097582971575</v>
      </c>
    </row>
    <row r="36" spans="2:7" x14ac:dyDescent="0.65">
      <c r="B36" s="59" t="s">
        <v>373</v>
      </c>
      <c r="C36" s="61">
        <f>C30</f>
        <v>94.740474419038492</v>
      </c>
      <c r="D36" s="61">
        <f>G30</f>
        <v>142.11011392721448</v>
      </c>
      <c r="E36" s="61">
        <f>K30</f>
        <v>10.341353189452924</v>
      </c>
      <c r="F36" s="61">
        <f>O30</f>
        <v>78.180218959571704</v>
      </c>
      <c r="G36" s="61">
        <f>S30</f>
        <v>28.388796432167233</v>
      </c>
    </row>
    <row r="37" spans="2:7" x14ac:dyDescent="0.65">
      <c r="B37" s="59" t="s">
        <v>366</v>
      </c>
      <c r="C37" s="61">
        <f>E30</f>
        <v>115.13698290740921</v>
      </c>
      <c r="D37" s="61">
        <f>I30</f>
        <v>172.70474798170983</v>
      </c>
      <c r="E37" s="61">
        <f>M30</f>
        <v>12.567724752434346</v>
      </c>
      <c r="F37" s="61">
        <f>Q30</f>
        <v>95.011499459378271</v>
      </c>
      <c r="G37" s="61">
        <f>U30</f>
        <v>34.500570000476152</v>
      </c>
    </row>
    <row r="38" spans="2:7" x14ac:dyDescent="0.65">
      <c r="B38" s="59" t="s">
        <v>374</v>
      </c>
      <c r="C38" s="61">
        <f>C31</f>
        <v>172.74633090302274</v>
      </c>
      <c r="D38" s="61">
        <f>G31</f>
        <v>259.11840652767125</v>
      </c>
      <c r="E38" s="61">
        <f>K31</f>
        <v>18.856046805812426</v>
      </c>
      <c r="F38" s="61">
        <f>O31</f>
        <v>142.5509641710955</v>
      </c>
      <c r="G38" s="61">
        <f>S31</f>
        <v>51.763097582971575</v>
      </c>
    </row>
    <row r="39" spans="2:7" x14ac:dyDescent="0.65">
      <c r="B39" s="59" t="s">
        <v>369</v>
      </c>
      <c r="C39" s="61">
        <f>D31</f>
        <v>115.13698290740921</v>
      </c>
      <c r="D39" s="61">
        <f>H31</f>
        <v>172.70474798170983</v>
      </c>
      <c r="E39" s="61">
        <f>L31</f>
        <v>12.567724752434346</v>
      </c>
      <c r="F39" s="61">
        <f>P31</f>
        <v>95.011499459378271</v>
      </c>
      <c r="G39" s="61">
        <f>T31</f>
        <v>34.500570000476152</v>
      </c>
    </row>
    <row r="40" spans="2:7" x14ac:dyDescent="0.65">
      <c r="B40" s="59" t="s">
        <v>391</v>
      </c>
      <c r="C40" s="61">
        <f>F29</f>
        <v>114.88066236760086</v>
      </c>
      <c r="D40" s="61">
        <f>J29</f>
        <v>172.32026878907951</v>
      </c>
      <c r="E40" s="61">
        <f>N29</f>
        <v>12.539746201048324</v>
      </c>
      <c r="F40" s="61">
        <f>R29</f>
        <v>94.799982723274354</v>
      </c>
      <c r="G40" s="61">
        <f>V29</f>
        <v>34.423764055914198</v>
      </c>
    </row>
    <row r="41" spans="2:7" x14ac:dyDescent="0.65">
      <c r="B41" s="59" t="s">
        <v>389</v>
      </c>
      <c r="C41" s="61">
        <f>F30</f>
        <v>91.935055285952629</v>
      </c>
      <c r="D41" s="61">
        <f>J30</f>
        <v>137.90200292649206</v>
      </c>
      <c r="E41" s="61">
        <f>N30</f>
        <v>10.035128946038542</v>
      </c>
      <c r="F41" s="61">
        <f>R30</f>
        <v>75.86517585425716</v>
      </c>
      <c r="G41" s="61">
        <f t="shared" ref="G41:G42" si="1">V30</f>
        <v>27.548158118242164</v>
      </c>
    </row>
    <row r="42" spans="2:7" x14ac:dyDescent="0.65">
      <c r="B42" s="59" t="s">
        <v>390</v>
      </c>
      <c r="C42" s="61">
        <f>F31</f>
        <v>65.180226527655861</v>
      </c>
      <c r="D42" s="61">
        <f>J31</f>
        <v>97.769928580655616</v>
      </c>
      <c r="E42" s="61">
        <f>N31</f>
        <v>7.1147178397027817</v>
      </c>
      <c r="F42" s="61">
        <f>R31</f>
        <v>53.786984000394625</v>
      </c>
      <c r="G42" s="61">
        <f t="shared" si="1"/>
        <v>19.53112641289799</v>
      </c>
    </row>
    <row r="44" spans="2:7" x14ac:dyDescent="0.65">
      <c r="C44" s="60" t="s">
        <v>393</v>
      </c>
      <c r="D44" s="60" t="s">
        <v>392</v>
      </c>
      <c r="E44" s="60" t="s">
        <v>344</v>
      </c>
      <c r="F44" s="60" t="s">
        <v>7</v>
      </c>
      <c r="G44" s="60" t="s">
        <v>567</v>
      </c>
    </row>
    <row r="45" spans="2:7" x14ac:dyDescent="0.65">
      <c r="B45" s="59" t="s">
        <v>622</v>
      </c>
      <c r="C45" s="61">
        <f>IFERROR(INDEX('Travel Matrix'!$D$7:$GT$205,MATCH(INDEX('Inputs (detail)'!$E$17:$E$19,MATCH('Transport Calcs'!$B45,'Inputs (detail)'!$B$17:$B$19,0)),'Travel Matrix'!$C$7:$C$205,0),MATCH('Inputs (detail)'!$E$16,'Travel Matrix'!$D$6:$GT$6,0))*IF(INDEX('Travel Matrix'!$D$7:$GT$205,MATCH(INDEX('Inputs (detail)'!$E$17:$E$19,MATCH('Transport Calcs'!$B45,'Inputs (detail)'!$B$17:$B$19,0)),'Travel Matrix'!$C$7:$C$205,0),MATCH('Inputs (detail)'!$E$16,'Travel Matrix'!$D$6:$GT$6,0))&gt;Assumptions!$E$37,IF(C$44="Plane (Economy)",Assumptions!$E$35,Assumptions!$E$36),IF(C$44="Plane (Economy)",Assumptions!$E$33,Assumptions!$E$34)),0)</f>
        <v>65.180226527655861</v>
      </c>
      <c r="D45" s="61">
        <f>IFERROR(INDEX('Travel Matrix'!$D$7:$GT$205,MATCH(INDEX('Inputs (detail)'!$E$17:$E$19,MATCH('Transport Calcs'!$B45,'Inputs (detail)'!$B$17:$B$19,0)),'Travel Matrix'!$C$7:$C$205,0),MATCH('Inputs (detail)'!$E$16,'Travel Matrix'!$D$6:$GT$6,0))*IF(INDEX('Travel Matrix'!$D$7:$GT$205,MATCH(INDEX('Inputs (detail)'!$E$17:$E$19,MATCH('Transport Calcs'!$B45,'Inputs (detail)'!$B$17:$B$19,0)),'Travel Matrix'!$C$7:$C$205,0),MATCH('Inputs (detail)'!$E$16,'Travel Matrix'!$D$6:$GT$6,0))&gt;Assumptions!$E$37,IF(D$44="Plane (Economy)",Assumptions!$E$35,Assumptions!$E$36),IF(D$44="Plane (Economy)",Assumptions!$E$33,Assumptions!$E$34)),0)</f>
        <v>97.769928580655616</v>
      </c>
      <c r="E45" s="61">
        <f>IFERROR(INDEX('Travel Matrix'!$D$7:$GT$205,MATCH(INDEX('Inputs (detail)'!$E$17:$E$19,MATCH('Transport Calcs'!$B45,'Inputs (detail)'!$B$17:$B$19,0)),'Travel Matrix'!$C$7:$C$205,0),MATCH('Inputs (detail)'!$E$16,'Travel Matrix'!$D$6:$GT$6,0))*Assumptions!$E$38,0)</f>
        <v>7.1147178397027817</v>
      </c>
      <c r="F45" s="61">
        <f>IFERROR(INDEX('Travel Matrix'!$D$7:$GT$205,MATCH(INDEX('Inputs (detail)'!$E$17:$E$19,MATCH('Transport Calcs'!$B45,'Inputs (detail)'!$B$17:$B$19,0)),'Travel Matrix'!$C$7:$C$205,0),MATCH('Inputs (detail)'!$E$16,'Travel Matrix'!$D$6:$GT$6,0))*Assumptions!$E$31,0)</f>
        <v>53.786984000394625</v>
      </c>
      <c r="G45" s="61">
        <f>IFERROR(INDEX('Travel Matrix'!$D$7:$GT$205,MATCH(INDEX('Inputs (detail)'!$E$17:$E$19,MATCH('Transport Calcs'!$B45,'Inputs (detail)'!$B$17:$B$19,0)),'Travel Matrix'!$C$7:$C$205,0),MATCH('Inputs (detail)'!$E$16,'Travel Matrix'!$D$6:$GT$6,0))*Assumptions!$E$32,0)</f>
        <v>19.53112641289799</v>
      </c>
    </row>
    <row r="46" spans="2:7" x14ac:dyDescent="0.65">
      <c r="B46" s="59" t="s">
        <v>623</v>
      </c>
      <c r="C46" s="61">
        <f>IFERROR(INDEX('Travel Matrix'!$D$7:$GT$205,MATCH(INDEX('Inputs (detail)'!$E$17:$E$19,MATCH('Transport Calcs'!$B46,'Inputs (detail)'!$B$17:$B$19,0)),'Travel Matrix'!$C$7:$C$205,0),MATCH('Inputs (detail)'!$E$16,'Travel Matrix'!$D$6:$GT$6,0))*IF(INDEX('Travel Matrix'!$D$7:$GT$205,MATCH(INDEX('Inputs (detail)'!$E$17:$E$19,MATCH('Transport Calcs'!$B46,'Inputs (detail)'!$B$17:$B$19,0)),'Travel Matrix'!$C$7:$C$205,0),MATCH('Inputs (detail)'!$E$16,'Travel Matrix'!$D$6:$GT$6,0))&gt;Assumptions!$E$37,IF(C$44="Plane (Economy)",Assumptions!$E$35,Assumptions!$E$36),IF(C$44="Plane (Economy)",Assumptions!$E$33,Assumptions!$E$34)),0)</f>
        <v>0</v>
      </c>
      <c r="D46" s="61">
        <f>IFERROR(INDEX('Travel Matrix'!$D$7:$GT$205,MATCH(INDEX('Inputs (detail)'!$E$17:$E$19,MATCH('Transport Calcs'!$B46,'Inputs (detail)'!$B$17:$B$19,0)),'Travel Matrix'!$C$7:$C$205,0),MATCH('Inputs (detail)'!$E$16,'Travel Matrix'!$D$6:$GT$6,0))*IF(INDEX('Travel Matrix'!$D$7:$GT$205,MATCH(INDEX('Inputs (detail)'!$E$17:$E$19,MATCH('Transport Calcs'!$B46,'Inputs (detail)'!$B$17:$B$19,0)),'Travel Matrix'!$C$7:$C$205,0),MATCH('Inputs (detail)'!$E$16,'Travel Matrix'!$D$6:$GT$6,0))&gt;Assumptions!$E$37,IF(D$44="Plane (Economy)",Assumptions!$E$35,Assumptions!$E$36),IF(D$44="Plane (Economy)",Assumptions!$E$33,Assumptions!$E$34)),0)</f>
        <v>0</v>
      </c>
      <c r="E46" s="61">
        <f>IFERROR(INDEX('Travel Matrix'!$D$7:$GT$205,MATCH(INDEX('Inputs (detail)'!$E$17:$E$19,MATCH('Transport Calcs'!$B46,'Inputs (detail)'!$B$17:$B$19,0)),'Travel Matrix'!$C$7:$C$205,0),MATCH('Inputs (detail)'!$E$16,'Travel Matrix'!$D$6:$GT$6,0))*Assumptions!$E$38,0)</f>
        <v>0</v>
      </c>
      <c r="F46" s="61">
        <f>IFERROR(INDEX('Travel Matrix'!$D$7:$GT$205,MATCH(INDEX('Inputs (detail)'!$E$17:$E$19,MATCH('Transport Calcs'!$B46,'Inputs (detail)'!$B$17:$B$19,0)),'Travel Matrix'!$C$7:$C$205,0),MATCH('Inputs (detail)'!$E$16,'Travel Matrix'!$D$6:$GT$6,0))*Assumptions!$E$31,0)</f>
        <v>0</v>
      </c>
      <c r="G46" s="61">
        <f>IFERROR(INDEX('Travel Matrix'!$D$7:$GT$205,MATCH(INDEX('Inputs (detail)'!$E$17:$E$19,MATCH('Transport Calcs'!$B46,'Inputs (detail)'!$B$17:$B$19,0)),'Travel Matrix'!$C$7:$C$205,0),MATCH('Inputs (detail)'!$E$16,'Travel Matrix'!$D$6:$GT$6,0))*Assumptions!$E$32,0)</f>
        <v>0</v>
      </c>
    </row>
    <row r="47" spans="2:7" x14ac:dyDescent="0.65">
      <c r="B47" s="59" t="s">
        <v>624</v>
      </c>
      <c r="C47" s="61">
        <f>IFERROR(INDEX('Travel Matrix'!$D$7:$GT$205,MATCH(INDEX('Inputs (detail)'!$E$17:$E$19,MATCH('Transport Calcs'!$B47,'Inputs (detail)'!$B$17:$B$19,0)),'Travel Matrix'!$C$7:$C$205,0),MATCH('Inputs (detail)'!$E$16,'Travel Matrix'!$D$6:$GT$6,0))*IF(INDEX('Travel Matrix'!$D$7:$GT$205,MATCH(INDEX('Inputs (detail)'!$E$17:$E$19,MATCH('Transport Calcs'!$B47,'Inputs (detail)'!$B$17:$B$19,0)),'Travel Matrix'!$C$7:$C$205,0),MATCH('Inputs (detail)'!$E$16,'Travel Matrix'!$D$6:$GT$6,0))&gt;Assumptions!$E$37,IF(C$44="Plane (Economy)",Assumptions!$E$35,Assumptions!$E$36),IF(C$44="Plane (Economy)",Assumptions!$E$33,Assumptions!$E$34)),0)</f>
        <v>254.19535185661175</v>
      </c>
      <c r="D47" s="61">
        <f>IFERROR(INDEX('Travel Matrix'!$D$7:$GT$205,MATCH(INDEX('Inputs (detail)'!$E$17:$E$19,MATCH('Transport Calcs'!$B47,'Inputs (detail)'!$B$17:$B$19,0)),'Travel Matrix'!$C$7:$C$205,0),MATCH('Inputs (detail)'!$E$16,'Travel Matrix'!$D$6:$GT$6,0))*IF(INDEX('Travel Matrix'!$D$7:$GT$205,MATCH(INDEX('Inputs (detail)'!$E$17:$E$19,MATCH('Transport Calcs'!$B47,'Inputs (detail)'!$B$17:$B$19,0)),'Travel Matrix'!$C$7:$C$205,0),MATCH('Inputs (detail)'!$E$16,'Travel Matrix'!$D$6:$GT$6,0))&gt;Assumptions!$E$37,IF(D$44="Plane (Economy)",Assumptions!$E$35,Assumptions!$E$36),IF(D$44="Plane (Economy)",Assumptions!$E$33,Assumptions!$E$34)),0)</f>
        <v>381.29142411020331</v>
      </c>
      <c r="E47" s="61">
        <f>IFERROR(INDEX('Travel Matrix'!$D$7:$GT$205,MATCH(INDEX('Inputs (detail)'!$E$17:$E$19,MATCH('Transport Calcs'!$B47,'Inputs (detail)'!$B$17:$B$19,0)),'Travel Matrix'!$C$7:$C$205,0),MATCH('Inputs (detail)'!$E$16,'Travel Matrix'!$D$6:$GT$6,0))*Assumptions!$E$38,0)</f>
        <v>27.746577466348718</v>
      </c>
      <c r="F47" s="61">
        <f>IFERROR(INDEX('Travel Matrix'!$D$7:$GT$205,MATCH(INDEX('Inputs (detail)'!$E$17:$E$19,MATCH('Transport Calcs'!$B47,'Inputs (detail)'!$B$17:$B$19,0)),'Travel Matrix'!$C$7:$C$205,0),MATCH('Inputs (detail)'!$E$16,'Travel Matrix'!$D$6:$GT$6,0))*Assumptions!$E$31,0)</f>
        <v>209.76302249402403</v>
      </c>
      <c r="G47" s="61">
        <f>IFERROR(INDEX('Travel Matrix'!$D$7:$GT$205,MATCH(INDEX('Inputs (detail)'!$E$17:$E$19,MATCH('Transport Calcs'!$B47,'Inputs (detail)'!$B$17:$B$19,0)),'Travel Matrix'!$C$7:$C$205,0),MATCH('Inputs (detail)'!$E$16,'Travel Matrix'!$D$6:$GT$6,0))*Assumptions!$E$32,0)</f>
        <v>76.169136180833064</v>
      </c>
    </row>
  </sheetData>
  <pageMargins left="0.7" right="0.7" top="0.75" bottom="0.75" header="0.3" footer="0.3"/>
  <pageSetup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BF47-47B1-4906-9C3D-DCBBB59ABE1A}">
  <sheetPr>
    <pageSetUpPr autoPageBreaks="0"/>
  </sheetPr>
  <dimension ref="B2:D115"/>
  <sheetViews>
    <sheetView topLeftCell="A58" workbookViewId="0">
      <selection activeCell="A89" sqref="A89:XFD115"/>
    </sheetView>
  </sheetViews>
  <sheetFormatPr defaultColWidth="8.7265625" defaultRowHeight="14.25" x14ac:dyDescent="0.65"/>
  <cols>
    <col min="1" max="1" width="4.54296875" style="31" customWidth="1"/>
    <col min="2" max="2" width="79.36328125" style="31" customWidth="1"/>
    <col min="3" max="3" width="18.54296875" style="31" customWidth="1"/>
    <col min="4" max="16384" width="8.7265625" style="31"/>
  </cols>
  <sheetData>
    <row r="2" spans="2:3" ht="18" x14ac:dyDescent="0.8">
      <c r="B2" s="34" t="s">
        <v>211</v>
      </c>
    </row>
    <row r="3" spans="2:3" ht="18" x14ac:dyDescent="0.8">
      <c r="B3" s="34"/>
    </row>
    <row r="4" spans="2:3" ht="16.25" thickBot="1" x14ac:dyDescent="0.85">
      <c r="B4" s="52" t="s">
        <v>0</v>
      </c>
    </row>
    <row r="5" spans="2:3" ht="15.5" x14ac:dyDescent="0.7">
      <c r="B5" s="98"/>
    </row>
    <row r="6" spans="2:3" ht="14.5" x14ac:dyDescent="0.7">
      <c r="B6" s="62" t="s">
        <v>382</v>
      </c>
    </row>
    <row r="8" spans="2:3" ht="16.25" thickBot="1" x14ac:dyDescent="0.85">
      <c r="B8" s="52" t="s">
        <v>252</v>
      </c>
      <c r="C8" s="95" t="s">
        <v>253</v>
      </c>
    </row>
    <row r="9" spans="2:3" ht="15.5" x14ac:dyDescent="0.7">
      <c r="B9" s="98"/>
      <c r="C9" s="99"/>
    </row>
    <row r="10" spans="2:3" x14ac:dyDescent="0.65">
      <c r="B10" s="96" t="s">
        <v>219</v>
      </c>
      <c r="C10" s="64"/>
    </row>
    <row r="11" spans="2:3" x14ac:dyDescent="0.65">
      <c r="B11" s="59" t="s">
        <v>352</v>
      </c>
      <c r="C11" s="68">
        <f>'Inputs (detail)'!D$34*'Inputs (detail)'!D$33*'Inputs (detail)'!D35*Assumptions!$E$11*_xlfn.XLOOKUP('Inputs (detail)'!$D10,'Electricity Emissions'!$A:$A,'Electricity Emissions'!$B:$B)</f>
        <v>2.0648395200000007E-3</v>
      </c>
    </row>
    <row r="12" spans="2:3" x14ac:dyDescent="0.65">
      <c r="B12" s="59" t="s">
        <v>353</v>
      </c>
      <c r="C12" s="68">
        <f>'Inputs (detail)'!D$34*'Inputs (detail)'!D$33*'Inputs (detail)'!D36*Assumptions!$E$11*_xlfn.XLOOKUP('Inputs (detail)'!$D11,'Electricity Emissions'!$A:$A,'Electricity Emissions'!$B:$B)</f>
        <v>1.1692284799999998E-3</v>
      </c>
    </row>
    <row r="13" spans="2:3" x14ac:dyDescent="0.65">
      <c r="B13" s="59" t="s">
        <v>354</v>
      </c>
      <c r="C13" s="68">
        <f>'Inputs (detail)'!D$34*'Inputs (detail)'!D$33*'Inputs (detail)'!D37*Assumptions!$E$11*_xlfn.XLOOKUP('Inputs (detail)'!$D12,'Electricity Emissions'!$A:$A,'Electricity Emissions'!$B:$B)</f>
        <v>8.4356456000000003E-4</v>
      </c>
    </row>
    <row r="14" spans="2:3" s="93" customFormat="1" x14ac:dyDescent="0.65">
      <c r="B14" s="59" t="s">
        <v>355</v>
      </c>
      <c r="C14" s="94">
        <f>'Inputs (detail)'!D$34*'Inputs (detail)'!D$33*'Inputs (detail)'!D38*Assumptions!$E$11*_xlfn.XLOOKUP('Inputs (detail)'!$D13,'Electricity Emissions'!$A:$A,'Electricity Emissions'!$B:$B)</f>
        <v>0</v>
      </c>
    </row>
    <row r="15" spans="2:3" x14ac:dyDescent="0.65">
      <c r="B15" s="59" t="s">
        <v>356</v>
      </c>
      <c r="C15" s="94">
        <f>'Inputs (detail)'!D39*Assumptions!$E$21</f>
        <v>3.6</v>
      </c>
    </row>
    <row r="16" spans="2:3" s="138" customFormat="1" x14ac:dyDescent="0.65">
      <c r="B16" s="145" t="s">
        <v>662</v>
      </c>
      <c r="C16" s="147">
        <f>SUM('Inputs (detail)'!D29:D31)*Assumptions!E17*'User Inputs'!D22*Assumptions!E19</f>
        <v>208.79999999999998</v>
      </c>
    </row>
    <row r="17" spans="2:3" x14ac:dyDescent="0.65">
      <c r="B17" s="59"/>
      <c r="C17" s="137"/>
    </row>
    <row r="18" spans="2:3" x14ac:dyDescent="0.65">
      <c r="B18" s="96" t="s">
        <v>244</v>
      </c>
    </row>
    <row r="19" spans="2:3" x14ac:dyDescent="0.65">
      <c r="B19" s="59" t="s">
        <v>357</v>
      </c>
      <c r="C19" s="68">
        <f>'Inputs (detail)'!D$73*'Inputs (detail)'!D$72*SUM('Inputs (detail)'!D$68:D$70)*'Inputs (detail)'!D74*Assumptions!$E$11*_xlfn.XLOOKUP('Inputs (detail)'!$D13,'Electricity Emissions'!$A:$A,'Electricity Emissions'!$B:$B)</f>
        <v>1.1501340000000002E-2</v>
      </c>
    </row>
    <row r="20" spans="2:3" x14ac:dyDescent="0.65">
      <c r="B20" s="59" t="s">
        <v>353</v>
      </c>
      <c r="C20" s="68">
        <f>'Inputs (detail)'!D$73*'Inputs (detail)'!D$72*SUM('Inputs (detail)'!D$68:D$70)*'Inputs (detail)'!D75*Assumptions!$E$11*_xlfn.XLOOKUP('Inputs (detail)'!$D14,'Electricity Emissions'!$A:$A,'Electricity Emissions'!$B:$B)</f>
        <v>3.4413992000000004E-2</v>
      </c>
    </row>
    <row r="21" spans="2:3" x14ac:dyDescent="0.65">
      <c r="B21" s="59" t="s">
        <v>354</v>
      </c>
      <c r="C21" s="68">
        <f>'Inputs (detail)'!D$73*'Inputs (detail)'!D$72*SUM('Inputs (detail)'!D$68:D$70)*'Inputs (detail)'!D76*Assumptions!$E$11*_xlfn.XLOOKUP('Inputs (detail)'!$D15,'Electricity Emissions'!$A:$A,'Electricity Emissions'!$B:$B)</f>
        <v>1.2653468400000001E-2</v>
      </c>
    </row>
    <row r="22" spans="2:3" x14ac:dyDescent="0.65">
      <c r="B22" s="59" t="s">
        <v>355</v>
      </c>
      <c r="C22" s="68">
        <f>'Inputs (detail)'!D$73*'Inputs (detail)'!D$72*SUM('Inputs (detail)'!D$68:D$70)*'Inputs (detail)'!D77*Assumptions!$E$11*_xlfn.XLOOKUP('Inputs (detail)'!$D16,'Electricity Emissions'!$A:$A,'Electricity Emissions'!$B:$B)</f>
        <v>0</v>
      </c>
    </row>
    <row r="23" spans="2:3" x14ac:dyDescent="0.65">
      <c r="B23" s="59" t="s">
        <v>356</v>
      </c>
      <c r="C23" s="94">
        <f>'Inputs (detail)'!D78*Assumptions!$E$21</f>
        <v>4</v>
      </c>
    </row>
    <row r="24" spans="2:3" s="138" customFormat="1" x14ac:dyDescent="0.65">
      <c r="B24" s="145" t="s">
        <v>200</v>
      </c>
      <c r="C24" s="146">
        <f>SUM('Inputs (detail)'!D68:D70)*Assumptions!E17*'User Inputs'!D22*Assumptions!E19</f>
        <v>231.99999999999997</v>
      </c>
    </row>
    <row r="25" spans="2:3" x14ac:dyDescent="0.65">
      <c r="B25" s="59"/>
      <c r="C25" s="137"/>
    </row>
    <row r="26" spans="2:3" x14ac:dyDescent="0.65">
      <c r="B26" s="59"/>
    </row>
    <row r="27" spans="2:3" ht="16.25" thickBot="1" x14ac:dyDescent="0.85">
      <c r="B27" s="52" t="s">
        <v>375</v>
      </c>
      <c r="C27" s="95" t="s">
        <v>253</v>
      </c>
    </row>
    <row r="28" spans="2:3" ht="15.5" x14ac:dyDescent="0.7">
      <c r="B28" s="98"/>
      <c r="C28" s="99"/>
    </row>
    <row r="29" spans="2:3" x14ac:dyDescent="0.65">
      <c r="B29" s="96" t="s">
        <v>219</v>
      </c>
    </row>
    <row r="30" spans="2:3" x14ac:dyDescent="0.65">
      <c r="B30" s="59" t="s">
        <v>376</v>
      </c>
      <c r="C30" s="68">
        <f>'Inputs (detail)'!D$34*'Inputs (detail)'!D$33*SUM('Inputs (detail)'!D$29:'Inputs (detail)'!D$31)*'Inputs (detail)'!D35*Assumptions!$E$11*_xlfn.XLOOKUP('Inputs (detail)'!$D10,'Electricity Emissions'!$A:$A,'Electricity Emissions'!$B:$B)</f>
        <v>1.8583555680000006E-2</v>
      </c>
    </row>
    <row r="31" spans="2:3" x14ac:dyDescent="0.65">
      <c r="B31" s="59" t="s">
        <v>377</v>
      </c>
      <c r="C31" s="68">
        <f>'Inputs (detail)'!D$34*'Inputs (detail)'!D$33*SUM('Inputs (detail)'!D$29:'Inputs (detail)'!D$31)*'Inputs (detail)'!D36*Assumptions!$E$11*_xlfn.XLOOKUP('Inputs (detail)'!$D11,'Electricity Emissions'!$A:$A,'Electricity Emissions'!$B:$B)</f>
        <v>1.052305632E-2</v>
      </c>
    </row>
    <row r="32" spans="2:3" x14ac:dyDescent="0.65">
      <c r="B32" s="59" t="s">
        <v>378</v>
      </c>
      <c r="C32" s="68">
        <f>'Inputs (detail)'!D$34*'Inputs (detail)'!D$33*SUM('Inputs (detail)'!D$29:'Inputs (detail)'!D$31)*'Inputs (detail)'!D37*Assumptions!$E$11*_xlfn.XLOOKUP('Inputs (detail)'!$D12,'Electricity Emissions'!$A:$A,'Electricity Emissions'!$B:$B)</f>
        <v>7.5920810400000012E-3</v>
      </c>
    </row>
    <row r="33" spans="2:3" x14ac:dyDescent="0.65">
      <c r="B33" s="59" t="s">
        <v>379</v>
      </c>
      <c r="C33" s="68">
        <f>'Inputs (detail)'!D$34*'Inputs (detail)'!D$33*SUM('Inputs (detail)'!D$29:'Inputs (detail)'!D$31)*'Inputs (detail)'!D38*Assumptions!$E$11*_xlfn.XLOOKUP('Inputs (detail)'!$D13,'Electricity Emissions'!$A:$A,'Electricity Emissions'!$B:$B)</f>
        <v>0</v>
      </c>
    </row>
    <row r="34" spans="2:3" x14ac:dyDescent="0.65">
      <c r="B34" s="59" t="s">
        <v>380</v>
      </c>
      <c r="C34" s="68">
        <f>'Inputs (detail)'!D39*Assumptions!$E$21</f>
        <v>3.6</v>
      </c>
    </row>
    <row r="35" spans="2:3" s="138" customFormat="1" x14ac:dyDescent="0.65">
      <c r="B35" s="145" t="s">
        <v>666</v>
      </c>
      <c r="C35" s="147">
        <f>SUM('Inputs (detail)'!D29:D31)*Assumptions!E17*'User Inputs'!D22*Assumptions!E20</f>
        <v>1183.2</v>
      </c>
    </row>
    <row r="36" spans="2:3" x14ac:dyDescent="0.65">
      <c r="B36" s="59" t="s">
        <v>358</v>
      </c>
      <c r="C36" s="68">
        <f>'Inputs (detail)'!D$40*(Assumptions!$E$27/1000)*(0.454)</f>
        <v>3.7202135076491922</v>
      </c>
    </row>
    <row r="37" spans="2:3" x14ac:dyDescent="0.65">
      <c r="B37" s="59" t="s">
        <v>359</v>
      </c>
      <c r="C37" s="68">
        <f>'Inputs (detail)'!D$41*(10*Assumptions!$E$28/1000000)</f>
        <v>0.55844073097925284</v>
      </c>
    </row>
    <row r="38" spans="2:3" x14ac:dyDescent="0.65">
      <c r="B38" s="59" t="s">
        <v>360</v>
      </c>
      <c r="C38" s="68">
        <f>'Inputs (detail)'!D$42*Assumptions!$E$26</f>
        <v>0.18629999999999999</v>
      </c>
    </row>
    <row r="40" spans="2:3" x14ac:dyDescent="0.65">
      <c r="B40" s="59" t="s">
        <v>361</v>
      </c>
      <c r="C40" s="61">
        <f>IFERROR(INDEX('List Selections'!$E$5:$H$205,MATCH('Inputs (detail)'!$D$10,'List Selections'!$B$5:$B$205,0),MATCH('Inputs (detail)'!D$48,'List Selections'!$E$4:$H$4,0)),INDEX('List Selections'!$E$5:$E$205,MATCH('Inputs (detail)'!$D$10,'List Selections'!$B$5:$B$205,0)))*'Inputs (detail)'!D$47*SUM('Inputs (detail)'!D$30:D$31)</f>
        <v>318.95464174831915</v>
      </c>
    </row>
    <row r="41" spans="2:3" x14ac:dyDescent="0.65">
      <c r="B41" s="59" t="s">
        <v>363</v>
      </c>
      <c r="C41" s="61">
        <f>IFERROR(INDEX('Transport Calcs'!$C$16:$G$24,MATCH($B41,'Transport Calcs'!$B$16:$B$24,0),MATCH('Inputs (detail)'!D49,'Transport Calcs'!$C$15:$G$15,0))*'Inputs (detail)'!D$30*'Inputs (detail)'!D$46*2,0)</f>
        <v>472.88496469747366</v>
      </c>
    </row>
    <row r="42" spans="2:3" x14ac:dyDescent="0.65">
      <c r="B42" s="59" t="s">
        <v>364</v>
      </c>
      <c r="C42" s="61">
        <f>IFERROR(INDEX('Transport Calcs'!$C$16:$G$24,MATCH($B42,'Transport Calcs'!$B$16:$B$24,0),MATCH('Inputs (detail)'!D50,'Transport Calcs'!$C$15:$G$15,0))*'Inputs (detail)'!D$31*'Inputs (detail)'!D$46*2,0)</f>
        <v>1992.8392038730681</v>
      </c>
    </row>
    <row r="43" spans="2:3" x14ac:dyDescent="0.65">
      <c r="B43" s="59"/>
    </row>
    <row r="44" spans="2:3" x14ac:dyDescent="0.65">
      <c r="B44" s="59" t="s">
        <v>362</v>
      </c>
      <c r="C44" s="61">
        <f>IFERROR(INDEX('List Selections'!$E$5:$H$205,MATCH('Inputs (detail)'!$D$11,'List Selections'!$B$5:$B$205,0),MATCH('Inputs (detail)'!D$53,'List Selections'!$E$4:$H$4,0)),INDEX('List Selections'!$E$5:$E$205,MATCH('Inputs (detail)'!$D$11,'List Selections'!$B$5:$B$205,0)))*'Inputs (detail)'!D$52*SUM('Inputs (detail)'!D$29,'Inputs (detail)'!D$31)</f>
        <v>0</v>
      </c>
    </row>
    <row r="45" spans="2:3" x14ac:dyDescent="0.65">
      <c r="B45" s="59" t="s">
        <v>365</v>
      </c>
      <c r="C45" s="61">
        <f>IFERROR(INDEX('Transport Calcs'!$C$16:$G$24,MATCH($B45,'Transport Calcs'!$B$16:$B$24,0),MATCH('Inputs (detail)'!D54,'Transport Calcs'!$C$15:$G$15,0))*'Inputs (detail)'!D$29*'Inputs (detail)'!D$51*2,0)</f>
        <v>0</v>
      </c>
    </row>
    <row r="46" spans="2:3" x14ac:dyDescent="0.65">
      <c r="B46" s="59" t="s">
        <v>366</v>
      </c>
      <c r="C46" s="61">
        <f>IFERROR(INDEX('Transport Calcs'!$C$16:$G$24,MATCH($B46,'Transport Calcs'!$B$16:$B$24,0),MATCH('Inputs (detail)'!D55,'Transport Calcs'!$C$15:$G$15,0))*'Inputs (detail)'!D$31*'Inputs (detail)'!D$51*2,0)</f>
        <v>0</v>
      </c>
    </row>
    <row r="47" spans="2:3" x14ac:dyDescent="0.65">
      <c r="B47" s="59"/>
    </row>
    <row r="48" spans="2:3" x14ac:dyDescent="0.65">
      <c r="B48" s="59" t="s">
        <v>367</v>
      </c>
      <c r="C48" s="61">
        <f>IFERROR(INDEX('List Selections'!$E$5:$H$205,MATCH('Inputs (detail)'!$D$12,'List Selections'!$B$5:$B$205,0),MATCH('Inputs (detail)'!D$58,'List Selections'!$E$4:$H$4,0)),INDEX('List Selections'!$E$5:$E$205,MATCH('Inputs (detail)'!$D$12,'List Selections'!$B$5:$B$205,0)))*'Inputs (detail)'!D$57*SUM('Inputs (detail)'!D$29:D$30)</f>
        <v>408.38549836050765</v>
      </c>
    </row>
    <row r="49" spans="2:3" x14ac:dyDescent="0.65">
      <c r="B49" s="59" t="s">
        <v>368</v>
      </c>
      <c r="C49" s="61">
        <f>IFERROR(INDEX('Transport Calcs'!$C$16:$G$24,MATCH($B49,'Transport Calcs'!$B$16:$B$24,0),MATCH('Inputs (detail)'!D59,'Transport Calcs'!$C$15:$G$15,0))*'Inputs (detail)'!D$29*'Inputs (detail)'!D$56*2,0)</f>
        <v>1494.6294029048011</v>
      </c>
    </row>
    <row r="50" spans="2:3" x14ac:dyDescent="0.65">
      <c r="B50" s="59" t="s">
        <v>369</v>
      </c>
      <c r="C50" s="61">
        <f>IFERROR(INDEX('Transport Calcs'!$C$16:$G$24,MATCH($B50,'Transport Calcs'!$B$16:$B$24,0),MATCH('Inputs (detail)'!D60,'Transport Calcs'!$C$15:$G$15,0))*'Inputs (detail)'!D$30*'Inputs (detail)'!D$56*2,0)</f>
        <v>201.65585437143898</v>
      </c>
    </row>
    <row r="51" spans="2:3" x14ac:dyDescent="0.65">
      <c r="B51" s="59"/>
      <c r="C51" s="97"/>
    </row>
    <row r="52" spans="2:3" x14ac:dyDescent="0.65">
      <c r="B52" s="59" t="s">
        <v>387</v>
      </c>
      <c r="C52" s="61">
        <f>IF('Inputs (detail)'!D23="Yes",0,IFERROR(INDEX('List Selections'!$E$5:$H$205,MATCH('Inputs (detail)'!$D$16,'List Selections'!$B$5:$B$205,0),MATCH('Inputs (detail)'!D$62,'List Selections'!$E$4:$H$4,0)),INDEX('List Selections'!$E$5:$E$205,MATCH('Inputs (detail)'!$D$16,'List Selections'!$B$5:$B$205,0)))*'Inputs (detail)'!D$22*SUM('Inputs (detail)'!D29:D31))</f>
        <v>699.93979791107085</v>
      </c>
    </row>
    <row r="53" spans="2:3" x14ac:dyDescent="0.65">
      <c r="B53" s="59" t="s">
        <v>388</v>
      </c>
      <c r="C53" s="61">
        <f>IF('Inputs (detail)'!D23="Yes",0,IFERROR(INDEX('Transport Calcs'!$C$16:$G$24,MATCH($B53,'Transport Calcs'!$B$16:$B$24,0),MATCH('Inputs (detail)'!D63,'Transport Calcs'!$C$15:$G$15,0))*'Inputs (detail)'!D29*2,0))</f>
        <v>1143.0169772985021</v>
      </c>
    </row>
    <row r="54" spans="2:3" x14ac:dyDescent="0.65">
      <c r="B54" s="59" t="s">
        <v>389</v>
      </c>
      <c r="C54" s="61">
        <f>IF('Inputs (detail)'!D23="Yes",0,IFERROR(INDEX('Transport Calcs'!$C$16:$G$24,MATCH($B54,'Transport Calcs'!$B$16:$B$24,0),MATCH('Inputs (detail)'!D64,'Transport Calcs'!$C$15:$G$15,0))*'Inputs (detail)'!D30*2,0))</f>
        <v>162.98915815869103</v>
      </c>
    </row>
    <row r="55" spans="2:3" x14ac:dyDescent="0.65">
      <c r="B55" s="59" t="s">
        <v>390</v>
      </c>
      <c r="C55" s="61">
        <f>IF('Inputs (detail)'!D23="Yes",0,IFERROR(INDEX('Transport Calcs'!$C$16:$G$24,MATCH($B55,'Transport Calcs'!$B$16:$B$24,0),MATCH('Inputs (detail)'!D65,'Transport Calcs'!$C$15:$G$15,0))*'Inputs (detail)'!D31*2,0))</f>
        <v>391.07971432262246</v>
      </c>
    </row>
    <row r="56" spans="2:3" x14ac:dyDescent="0.65">
      <c r="B56" s="59"/>
      <c r="C56" s="97"/>
    </row>
    <row r="57" spans="2:3" x14ac:dyDescent="0.65">
      <c r="B57" s="59" t="s">
        <v>406</v>
      </c>
      <c r="C57" s="61">
        <f>'Inputs (detail)'!D44*(Assumptions!$E$22+Assumptions!$E$23)*(_xlfn.XLOOKUP('Inputs (detail)'!$D10,'Electricity Emissions'!$A:$A,'Electricity Emissions'!$B:$B)+_xlfn.XLOOKUP('Inputs (detail)'!$D11,'Electricity Emissions'!$A:$A,'Electricity Emissions'!$B:$B)+_xlfn.XLOOKUP('Inputs (detail)'!$D12,'Electricity Emissions'!$A:$A,'Electricity Emissions'!$B:$B))</f>
        <v>35.073254692399999</v>
      </c>
    </row>
    <row r="58" spans="2:3" x14ac:dyDescent="0.65">
      <c r="B58" s="59"/>
      <c r="C58" s="97"/>
    </row>
    <row r="59" spans="2:3" x14ac:dyDescent="0.65">
      <c r="B59" s="96" t="s">
        <v>244</v>
      </c>
    </row>
    <row r="60" spans="2:3" x14ac:dyDescent="0.65">
      <c r="B60" s="59" t="s">
        <v>381</v>
      </c>
      <c r="C60" s="68">
        <f>'Inputs (detail)'!D$73*'Inputs (detail)'!D$72*SUM('Inputs (detail)'!D$68:D$70)*'Inputs (detail)'!D74*Assumptions!$E$11*_xlfn.XLOOKUP('Inputs (detail)'!$D13,'Electricity Emissions'!$A:$A,'Electricity Emissions'!$B:$B)</f>
        <v>1.1501340000000002E-2</v>
      </c>
    </row>
    <row r="61" spans="2:3" x14ac:dyDescent="0.65">
      <c r="B61" s="59" t="s">
        <v>377</v>
      </c>
      <c r="C61" s="68">
        <f>'Inputs (detail)'!D$73*'Inputs (detail)'!D$72*SUM('Inputs (detail)'!D$68:D$70)*'Inputs (detail)'!D75*Assumptions!$E$11*_xlfn.XLOOKUP('Inputs (detail)'!$D14,'Electricity Emissions'!$A:$A,'Electricity Emissions'!$B:$B)</f>
        <v>3.4413992000000004E-2</v>
      </c>
    </row>
    <row r="62" spans="2:3" x14ac:dyDescent="0.65">
      <c r="B62" s="59" t="s">
        <v>378</v>
      </c>
      <c r="C62" s="68">
        <f>'Inputs (detail)'!D$73*'Inputs (detail)'!D$72*SUM('Inputs (detail)'!D$68:D$70)*'Inputs (detail)'!D76*Assumptions!$E$11*_xlfn.XLOOKUP('Inputs (detail)'!$D15,'Electricity Emissions'!$A:$A,'Electricity Emissions'!$B:$B)</f>
        <v>1.2653468400000001E-2</v>
      </c>
    </row>
    <row r="63" spans="2:3" x14ac:dyDescent="0.65">
      <c r="B63" s="59" t="s">
        <v>379</v>
      </c>
      <c r="C63" s="68">
        <f>'Inputs (detail)'!D$73*'Inputs (detail)'!D$72*SUM('Inputs (detail)'!D$68:D$70)*'Inputs (detail)'!D77*Assumptions!$E$11*_xlfn.XLOOKUP('Inputs (detail)'!$D16,'Electricity Emissions'!$A:$A,'Electricity Emissions'!$B:$B)</f>
        <v>0</v>
      </c>
    </row>
    <row r="64" spans="2:3" x14ac:dyDescent="0.65">
      <c r="B64" s="59" t="s">
        <v>380</v>
      </c>
      <c r="C64" s="68">
        <f>'Inputs (detail)'!D78*Assumptions!$E$21</f>
        <v>4</v>
      </c>
    </row>
    <row r="65" spans="2:3" s="138" customFormat="1" x14ac:dyDescent="0.65">
      <c r="B65" s="138" t="s">
        <v>666</v>
      </c>
      <c r="C65" s="68">
        <f>SUM('Inputs (detail)'!D68:D70)*'User Inputs'!D22*Assumptions!E17*Assumptions!E20</f>
        <v>1314.6666666666667</v>
      </c>
    </row>
    <row r="66" spans="2:3" x14ac:dyDescent="0.65">
      <c r="B66" s="59" t="s">
        <v>358</v>
      </c>
      <c r="C66" s="68">
        <f>'Inputs (detail)'!D$79*(Assumptions!$E$27/1000)*(0.454)</f>
        <v>4.1335705640546578</v>
      </c>
    </row>
    <row r="67" spans="2:3" x14ac:dyDescent="0.65">
      <c r="B67" s="59" t="s">
        <v>359</v>
      </c>
      <c r="C67" s="68">
        <f>'Inputs (detail)'!D$80*(10*Assumptions!$E$28/1000000)</f>
        <v>0.62048970108805879</v>
      </c>
    </row>
    <row r="68" spans="2:3" x14ac:dyDescent="0.65">
      <c r="B68" s="59" t="s">
        <v>360</v>
      </c>
      <c r="C68" s="68">
        <f>'Inputs (detail)'!D$81*Assumptions!$E$26</f>
        <v>1.8792</v>
      </c>
    </row>
    <row r="69" spans="2:3" x14ac:dyDescent="0.65">
      <c r="B69" s="65"/>
    </row>
    <row r="70" spans="2:3" x14ac:dyDescent="0.65">
      <c r="B70" s="59" t="s">
        <v>370</v>
      </c>
      <c r="C70" s="61">
        <f>IFERROR(INDEX('List Selections'!$E$5:$H$205,MATCH('Inputs (detail)'!$D$13,'List Selections'!$B$5:$B$205,0),MATCH('Inputs (detail)'!D$87,'List Selections'!$E$4:$H$4,0)),INDEX('List Selections'!$E$5:$E$205,MATCH('Inputs (detail)'!$D$13,'List Selections'!$B$5:$B$205,0)))*'Inputs (detail)'!D$86*SUM('Inputs (detail)'!D$69:D$70)</f>
        <v>3469.1097991061838</v>
      </c>
    </row>
    <row r="71" spans="2:3" x14ac:dyDescent="0.65">
      <c r="B71" s="59" t="s">
        <v>371</v>
      </c>
      <c r="C71" s="61">
        <f>IFERROR(INDEX('Transport Calcs'!$C$34:$G$42,MATCH($B71,'Transport Calcs'!$B$34:$B$42,0),MATCH('Inputs (detail)'!D88,'Transport Calcs'!$C$33:$G$33,0))*'Inputs (detail)'!D$69*'Inputs (detail)'!D$85*2,0)</f>
        <v>103.41353189452924</v>
      </c>
    </row>
    <row r="72" spans="2:3" x14ac:dyDescent="0.65">
      <c r="B72" s="59" t="s">
        <v>372</v>
      </c>
      <c r="C72" s="61">
        <f>IFERROR(INDEX('Transport Calcs'!$C$34:$G$42,MATCH($B72,'Transport Calcs'!$B$34:$B$42,0),MATCH('Inputs (detail)'!D89,'Transport Calcs'!$C$33:$G$33,0))*'Inputs (detail)'!D$69*'Inputs (detail)'!D$85*2,0)</f>
        <v>2591.1840652767123</v>
      </c>
    </row>
    <row r="73" spans="2:3" x14ac:dyDescent="0.65">
      <c r="B73" s="59"/>
    </row>
    <row r="74" spans="2:3" x14ac:dyDescent="0.65">
      <c r="B74" s="59" t="s">
        <v>362</v>
      </c>
      <c r="C74" s="61">
        <f>IFERROR(INDEX('List Selections'!$E$5:$H$205,MATCH('Inputs (detail)'!$D$14,'List Selections'!$B$5:$B$205,0),MATCH('Inputs (detail)'!D$92,'List Selections'!$E$4:$H$4,0)),INDEX('List Selections'!$E$5:$E$205,MATCH('Inputs (detail)'!$D$14,'List Selections'!$B$5:$B$205,0)))*'Inputs (detail)'!D$91*SUM('Inputs (detail)'!D$68,'Inputs (detail)'!D$70)</f>
        <v>1594.7732087415957</v>
      </c>
    </row>
    <row r="75" spans="2:3" x14ac:dyDescent="0.65">
      <c r="B75" s="59" t="s">
        <v>373</v>
      </c>
      <c r="C75" s="61">
        <f>IFERROR(INDEX('Transport Calcs'!$C$34:$G$42,MATCH($B75,'Transport Calcs'!$B$34:$B$42,0),MATCH('Inputs (detail)'!D93,'Transport Calcs'!$C$33:$G$33,0))*'Inputs (detail)'!D$68*'Inputs (detail)'!D$91*2,0)</f>
        <v>744.57742964061049</v>
      </c>
    </row>
    <row r="76" spans="2:3" x14ac:dyDescent="0.65">
      <c r="B76" s="59" t="s">
        <v>366</v>
      </c>
      <c r="C76" s="61">
        <f>IFERROR(INDEX('Transport Calcs'!$C$34:$G$42,MATCH($B76,'Transport Calcs'!$B$34:$B$42,0),MATCH('Inputs (detail)'!D94,'Transport Calcs'!$C$33:$G$33,0))*'Inputs (detail)'!D$70*'Inputs (detail)'!D$91*2,0)</f>
        <v>18652.112782024662</v>
      </c>
    </row>
    <row r="77" spans="2:3" x14ac:dyDescent="0.65">
      <c r="B77" s="59"/>
    </row>
    <row r="78" spans="2:3" x14ac:dyDescent="0.65">
      <c r="B78" s="59" t="s">
        <v>367</v>
      </c>
      <c r="C78" s="61">
        <f>IFERROR(INDEX('List Selections'!$E$5:$H$205,MATCH('Inputs (detail)'!$D$15,'List Selections'!$B$5:$B$205,0),MATCH('Inputs (detail)'!D$97,'List Selections'!$E$4:$H$4,0)),INDEX('List Selections'!$E$5:$E$205,MATCH('Inputs (detail)'!$D$15,'List Selections'!$B$5:$B$205,0)))*'Inputs (detail)'!D$96*SUM('Inputs (detail)'!D$68:D$69)</f>
        <v>2041.9274918025383</v>
      </c>
    </row>
    <row r="79" spans="2:3" x14ac:dyDescent="0.65">
      <c r="B79" s="59" t="s">
        <v>374</v>
      </c>
      <c r="C79" s="61">
        <f>IFERROR(INDEX('Transport Calcs'!$C$34:$G$42,MATCH($B79,'Transport Calcs'!$B$34:$B$42,0),MATCH('Inputs (detail)'!D98,'Transport Calcs'!$C$33:$G$33,0))*'Inputs (detail)'!D$68*'Inputs (detail)'!D$96*2,0)</f>
        <v>377.12093611624852</v>
      </c>
    </row>
    <row r="80" spans="2:3" x14ac:dyDescent="0.65">
      <c r="B80" s="59" t="s">
        <v>369</v>
      </c>
      <c r="C80" s="61">
        <f>IFERROR(INDEX('Transport Calcs'!$C$34:$G$42,MATCH($B80,'Transport Calcs'!$B$34:$B$42,0),MATCH('Inputs (detail)'!D99,'Transport Calcs'!$C$33:$G$33,0))*'Inputs (detail)'!D$69*'Inputs (detail)'!D$96*2,0)</f>
        <v>628.38623762171733</v>
      </c>
    </row>
    <row r="82" spans="2:3" x14ac:dyDescent="0.65">
      <c r="B82" s="59" t="s">
        <v>387</v>
      </c>
      <c r="C82" s="61">
        <f>IF('Inputs (detail)'!D23="Yes",0,IFERROR(INDEX('List Selections'!$E$5:$H$205,MATCH('Inputs (detail)'!$D$16,'List Selections'!$B$5:$B$205,0),MATCH('Inputs (detail)'!D$101,'List Selections'!$E$4:$H$4,0)),INDEX('List Selections'!$E$5:$E$205,MATCH('Inputs (detail)'!$D$16,'List Selections'!$B$5:$B$205,0)))*'Inputs (detail)'!D$22*SUM('Inputs (detail)'!D68:D70))</f>
        <v>777.71088656785651</v>
      </c>
    </row>
    <row r="83" spans="2:3" x14ac:dyDescent="0.65">
      <c r="B83" s="59" t="s">
        <v>391</v>
      </c>
      <c r="C83" s="61">
        <f>IF('Inputs (detail)'!D23="Yes",0,IFERROR(INDEX('Transport Calcs'!$C$34:$G$42,MATCH($B83,'Transport Calcs'!$B$34:$B$42,0),MATCH('Inputs (detail)'!D102,'Transport Calcs'!$C$33:$G$33,0))*'Inputs (detail)'!D68*2,0))</f>
        <v>50.158984804193295</v>
      </c>
    </row>
    <row r="84" spans="2:3" x14ac:dyDescent="0.65">
      <c r="B84" s="59" t="s">
        <v>389</v>
      </c>
      <c r="C84" s="61">
        <f>IF('Inputs (detail)'!D23="Yes",0,IFERROR(INDEX('Transport Calcs'!$C$34:$G$42,MATCH($B84,'Transport Calcs'!$B$34:$B$42,0),MATCH('Inputs (detail)'!D103,'Transport Calcs'!$C$33:$G$33,0))*'Inputs (detail)'!D69*2,0))</f>
        <v>100.35128946038542</v>
      </c>
    </row>
    <row r="85" spans="2:3" x14ac:dyDescent="0.65">
      <c r="B85" s="59" t="s">
        <v>390</v>
      </c>
      <c r="C85" s="61">
        <f>IF('Inputs (detail)'!D23="Yes",0,IFERROR(INDEX('Transport Calcs'!$C$34:$G$42,MATCH($B85,'Transport Calcs'!$B$34:$B$42,0),MATCH('Inputs (detail)'!D104,'Transport Calcs'!$C$33:$G$33,0))*'Inputs (detail)'!D70*2,0))</f>
        <v>586.61957148393367</v>
      </c>
    </row>
    <row r="87" spans="2:3" x14ac:dyDescent="0.65">
      <c r="B87" s="59" t="s">
        <v>406</v>
      </c>
      <c r="C87" s="61">
        <f>'Inputs (detail)'!D83*(Assumptions!$E$22+Assumptions!$E$23)*(_xlfn.XLOOKUP('Inputs (detail)'!$D13,'Electricity Emissions'!$A:$A,'Electricity Emissions'!$B:$B)+_xlfn.XLOOKUP('Inputs (detail)'!$D14,'Electricity Emissions'!$A:$A,'Electricity Emissions'!$B:$B)+_xlfn.XLOOKUP('Inputs (detail)'!$D15,'Electricity Emissions'!$A:$A,'Electricity Emissions'!$B:$B))</f>
        <v>42.145079291199998</v>
      </c>
    </row>
    <row r="89" spans="2:3" s="138" customFormat="1" x14ac:dyDescent="0.65">
      <c r="B89" s="155" t="s">
        <v>625</v>
      </c>
    </row>
    <row r="90" spans="2:3" s="138" customFormat="1" x14ac:dyDescent="0.65">
      <c r="B90" s="155" t="s">
        <v>209</v>
      </c>
    </row>
    <row r="91" spans="2:3" s="138" customFormat="1" x14ac:dyDescent="0.65">
      <c r="B91" s="145" t="s">
        <v>622</v>
      </c>
      <c r="C91" s="156">
        <f>IFERROR(IF('Inputs (detail)'!$D$23="Yes",0,INDEX('Transport Calcs'!$C$45:$G$47,MATCH(B91,'Transport Calcs'!$B$45:$B$47,0),MATCH('Inputs (detail)'!$F17,'Transport Calcs'!$C$44:$G$44,0))),0)</f>
        <v>65.180226527655861</v>
      </c>
    </row>
    <row r="92" spans="2:3" s="138" customFormat="1" x14ac:dyDescent="0.65">
      <c r="B92" s="145" t="s">
        <v>623</v>
      </c>
      <c r="C92" s="156">
        <f>IFERROR(IF('Inputs (detail)'!$D$23="Yes",0,INDEX('Transport Calcs'!$C$45:$G$47,MATCH(B92,'Transport Calcs'!$B$45:$B$47,0),MATCH('Inputs (detail)'!$F18,'Transport Calcs'!$C$44:$G$44,0))),0)</f>
        <v>0</v>
      </c>
    </row>
    <row r="93" spans="2:3" s="138" customFormat="1" x14ac:dyDescent="0.65">
      <c r="B93" s="145" t="s">
        <v>624</v>
      </c>
      <c r="C93" s="156">
        <f>IFERROR(IF('Inputs (detail)'!$D$23="Yes",0,INDEX('Transport Calcs'!$C$45:$G$47,MATCH(B93,'Transport Calcs'!$B$45:$B$47,0),MATCH('Inputs (detail)'!$F19,'Transport Calcs'!$C$44:$G$44,0))),0)</f>
        <v>381.29142411020331</v>
      </c>
    </row>
    <row r="94" spans="2:3" s="138" customFormat="1" x14ac:dyDescent="0.65">
      <c r="B94" s="157" t="s">
        <v>605</v>
      </c>
      <c r="C94" s="156"/>
    </row>
    <row r="95" spans="2:3" s="138" customFormat="1" x14ac:dyDescent="0.65">
      <c r="B95" s="145" t="s">
        <v>627</v>
      </c>
      <c r="C95" s="156">
        <f>IF('Inputs (detail)'!D23="Yes",0,IFERROR(INDEX('List Selections'!$E$5:$H$205,MATCH('Inputs (detail)'!$D$16,'List Selections'!$B$5:$B$205,0),MATCH('Inputs (detail)'!$G17,'List Selections'!$E$4:$H$4,0)),INDEX('List Selections'!$E$5:$E$205,MATCH('Inputs (detail)'!$D$16,'List Selections'!$B$5:$B$205,0)))*'Inputs (detail)'!$D$22)</f>
        <v>77.771088656785651</v>
      </c>
    </row>
    <row r="96" spans="2:3" s="138" customFormat="1" x14ac:dyDescent="0.65">
      <c r="B96" s="145" t="s">
        <v>628</v>
      </c>
      <c r="C96" s="156">
        <f>IF('Inputs (detail)'!D23="Yes",0,IFERROR(INDEX('List Selections'!$E$5:$H$205,MATCH('Inputs (detail)'!$D$16,'List Selections'!$B$5:$B$205,0),MATCH('Inputs (detail)'!$G18,'List Selections'!$E$4:$H$4,0)),INDEX('List Selections'!$E$5:$E$205,MATCH('Inputs (detail)'!$D$16,'List Selections'!$B$5:$B$205,0)))*'Inputs (detail)'!$D$22)</f>
        <v>77.771088656785651</v>
      </c>
    </row>
    <row r="97" spans="2:3" s="138" customFormat="1" x14ac:dyDescent="0.65">
      <c r="B97" s="145" t="s">
        <v>629</v>
      </c>
      <c r="C97" s="156">
        <f>IF('Inputs (detail)'!D23="Yes",0,IFERROR(INDEX('List Selections'!$E$5:$H$205,MATCH('Inputs (detail)'!$D$16,'List Selections'!$B$5:$B$205,0),MATCH('Inputs (detail)'!$G19,'List Selections'!$E$4:$H$4,0)),INDEX('List Selections'!$E$5:$E$205,MATCH('Inputs (detail)'!$D$16,'List Selections'!$B$5:$B$205,0)))*'Inputs (detail)'!$D$22)</f>
        <v>18.830135128201007</v>
      </c>
    </row>
    <row r="98" spans="2:3" s="138" customFormat="1" ht="14.5" x14ac:dyDescent="0.7">
      <c r="B98" s="152" t="s">
        <v>671</v>
      </c>
      <c r="C98" s="156"/>
    </row>
    <row r="99" spans="2:3" s="138" customFormat="1" x14ac:dyDescent="0.65">
      <c r="B99" s="145" t="s">
        <v>622</v>
      </c>
      <c r="C99" s="147">
        <f>'Inputs (detail)'!$D$34*'Inputs (detail)'!$D$33*Assumptions!$E$11*_xlfn.XLOOKUP('Inputs (detail)'!$D17,'Electricity Emissions'!$A:$A,'Electricity Emissions'!$B:$B)</f>
        <v>3.7960405200000006E-3</v>
      </c>
    </row>
    <row r="100" spans="2:3" s="138" customFormat="1" x14ac:dyDescent="0.65">
      <c r="B100" s="145" t="s">
        <v>623</v>
      </c>
      <c r="C100" s="147">
        <f>'Inputs (detail)'!$D$34*'Inputs (detail)'!$D$33*Assumptions!$E$11*_xlfn.XLOOKUP('Inputs (detail)'!$D18,'Electricity Emissions'!$A:$A,'Electricity Emissions'!$B:$B)</f>
        <v>7.9522353000000012E-4</v>
      </c>
    </row>
    <row r="101" spans="2:3" s="138" customFormat="1" x14ac:dyDescent="0.65">
      <c r="B101" s="145" t="s">
        <v>624</v>
      </c>
      <c r="C101" s="147">
        <f>'Inputs (detail)'!$D$34*'Inputs (detail)'!$D$33*Assumptions!$E$11*_xlfn.XLOOKUP('Inputs (detail)'!$D19,'Electricity Emissions'!$A:$A,'Electricity Emissions'!$B:$B)</f>
        <v>1.1069682480000001E-2</v>
      </c>
    </row>
    <row r="102" spans="2:3" s="138" customFormat="1" x14ac:dyDescent="0.65">
      <c r="B102" s="157" t="s">
        <v>675</v>
      </c>
      <c r="C102" s="156"/>
    </row>
    <row r="103" spans="2:3" s="138" customFormat="1" x14ac:dyDescent="0.65">
      <c r="B103" s="145" t="s">
        <v>622</v>
      </c>
      <c r="C103" s="147">
        <f>'Inputs (detail)'!$D$34*'Inputs (detail)'!$D$33*Assumptions!$E$11*Assumptions!$E$12*_xlfn.XLOOKUP('Inputs (detail)'!$D17,'Electricity Emissions'!$A:$A,'Electricity Emissions'!$B:$B)</f>
        <v>1.7423825986800005E-3</v>
      </c>
    </row>
    <row r="104" spans="2:3" s="138" customFormat="1" x14ac:dyDescent="0.65">
      <c r="B104" s="145" t="s">
        <v>623</v>
      </c>
      <c r="C104" s="147">
        <f>'Inputs (detail)'!$D$34*'Inputs (detail)'!$D$33*Assumptions!$E$11*Assumptions!$E$12*_xlfn.XLOOKUP('Inputs (detail)'!$D18,'Electricity Emissions'!$A:$A,'Electricity Emissions'!$B:$B)</f>
        <v>3.6500760027000008E-4</v>
      </c>
    </row>
    <row r="105" spans="2:3" s="138" customFormat="1" x14ac:dyDescent="0.65">
      <c r="B105" s="145" t="s">
        <v>624</v>
      </c>
      <c r="C105" s="147">
        <f>'Inputs (detail)'!$D$34*'Inputs (detail)'!$D$33*Assumptions!$E$11*Assumptions!$E$12*_xlfn.XLOOKUP('Inputs (detail)'!$D19,'Electricity Emissions'!$A:$A,'Electricity Emissions'!$B:$B)</f>
        <v>5.080984258320001E-3</v>
      </c>
    </row>
    <row r="106" spans="2:3" s="138" customFormat="1" ht="14.5" x14ac:dyDescent="0.7">
      <c r="B106" s="152" t="s">
        <v>672</v>
      </c>
      <c r="C106" s="156"/>
    </row>
    <row r="107" spans="2:3" s="138" customFormat="1" x14ac:dyDescent="0.65">
      <c r="B107" s="138" t="s">
        <v>673</v>
      </c>
      <c r="C107" s="156">
        <f>Assumptions!E17*'User Inputs'!D22*Assumptions!E19*3</f>
        <v>69.600000000000009</v>
      </c>
    </row>
    <row r="108" spans="2:3" s="138" customFormat="1" ht="14.5" x14ac:dyDescent="0.7">
      <c r="B108" s="152" t="s">
        <v>674</v>
      </c>
      <c r="C108" s="156"/>
    </row>
    <row r="109" spans="2:3" s="138" customFormat="1" x14ac:dyDescent="0.65">
      <c r="B109" s="138" t="s">
        <v>673</v>
      </c>
      <c r="C109" s="156">
        <f>Assumptions!E17*'User Inputs'!D22*Assumptions!E20*3</f>
        <v>394.4</v>
      </c>
    </row>
    <row r="110" spans="2:3" s="138" customFormat="1" ht="14.5" x14ac:dyDescent="0.7">
      <c r="B110" s="152" t="s">
        <v>676</v>
      </c>
      <c r="C110" s="156"/>
    </row>
    <row r="111" spans="2:3" s="138" customFormat="1" x14ac:dyDescent="0.65">
      <c r="B111" s="145" t="s">
        <v>622</v>
      </c>
      <c r="C111" s="156">
        <f>'Inputs (detail)'!D107*(Assumptions!$E$22+Assumptions!$E$23)*(_xlfn.XLOOKUP('Inputs (detail)'!$D17,'Electricity Emissions'!$A:$A,'Electricity Emissions'!$B:$B))</f>
        <v>10.548774822799999</v>
      </c>
    </row>
    <row r="112" spans="2:3" s="138" customFormat="1" x14ac:dyDescent="0.65">
      <c r="B112" s="145" t="s">
        <v>623</v>
      </c>
      <c r="C112" s="156">
        <f>'Inputs (detail)'!D108*(Assumptions!$E$22+Assumptions!$E$23)*(_xlfn.XLOOKUP('Inputs (detail)'!$D18,'Electricity Emissions'!$A:$A,'Electricity Emissions'!$B:$B))</f>
        <v>2.2098378316999998</v>
      </c>
    </row>
    <row r="113" spans="2:4" s="138" customFormat="1" x14ac:dyDescent="0.65">
      <c r="B113" s="145" t="s">
        <v>624</v>
      </c>
      <c r="C113" s="156">
        <f>'Inputs (detail)'!D109*(Assumptions!$E$22+Assumptions!$E$23)*(_xlfn.XLOOKUP('Inputs (detail)'!$D19,'Electricity Emissions'!$A:$A,'Electricity Emissions'!$B:$B))</f>
        <v>30.761417647199995</v>
      </c>
    </row>
    <row r="114" spans="2:4" s="138" customFormat="1" ht="14.5" x14ac:dyDescent="0.7">
      <c r="B114" s="152" t="s">
        <v>677</v>
      </c>
      <c r="C114" s="156"/>
    </row>
    <row r="115" spans="2:4" s="138" customFormat="1" x14ac:dyDescent="0.65">
      <c r="B115" s="138" t="s">
        <v>673</v>
      </c>
      <c r="C115" s="156">
        <f>(SUM(C66:C68,C36:C38)/SUM('Inputs (detail)'!D29:D31,'Inputs (detail)'!D68:D70))*3</f>
        <v>1.752349658490183</v>
      </c>
      <c r="D115" s="138" t="s">
        <v>681</v>
      </c>
    </row>
  </sheetData>
  <pageMargins left="0.7" right="0.7" top="0.75" bottom="0.75" header="0.3" footer="0.3"/>
  <pageSetup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E11D-3C55-4577-9B64-E87FDE75299A}">
  <dimension ref="A2:GI205"/>
  <sheetViews>
    <sheetView workbookViewId="0"/>
  </sheetViews>
  <sheetFormatPr defaultColWidth="8.7265625" defaultRowHeight="14.25" x14ac:dyDescent="0.65"/>
  <cols>
    <col min="1" max="1" width="4.54296875" style="31" customWidth="1"/>
    <col min="2" max="11" width="25.54296875" style="31" customWidth="1"/>
    <col min="12" max="12" width="14.90625" style="31" customWidth="1"/>
    <col min="13" max="13" width="10.36328125" style="31" customWidth="1"/>
    <col min="14" max="14" width="13.58984375" style="31" bestFit="1" customWidth="1"/>
    <col min="15" max="15" width="19.76953125" style="31" customWidth="1"/>
    <col min="16" max="16" width="14.26953125" style="31" customWidth="1"/>
    <col min="17" max="17" width="21.1328125" style="31" customWidth="1"/>
    <col min="18" max="18" width="16.26953125" style="31" customWidth="1"/>
    <col min="19" max="19" width="24.08984375" style="31" customWidth="1"/>
    <col min="20" max="20" width="12.90625" style="31" customWidth="1"/>
    <col min="21" max="21" width="11.26953125" style="31" customWidth="1"/>
    <col min="22" max="22" width="13.86328125" style="31" customWidth="1"/>
    <col min="23" max="23" width="11.953125" style="31" customWidth="1"/>
    <col min="24" max="24" width="10.76953125" style="31" customWidth="1"/>
    <col min="25" max="25" width="13.7265625" style="31" customWidth="1"/>
    <col min="26" max="26" width="13.31640625" style="31" customWidth="1"/>
    <col min="27" max="27" width="11.26953125" style="31" customWidth="1"/>
    <col min="28" max="28" width="15.1796875" style="31" customWidth="1"/>
    <col min="29" max="29" width="12.90625" style="31" customWidth="1"/>
    <col min="30" max="30" width="11.04296875" style="31" customWidth="1"/>
    <col min="31" max="31" width="11.40625" style="31" customWidth="1"/>
    <col min="32" max="32" width="15.31640625" style="31" customWidth="1"/>
    <col min="33" max="33" width="9.1328125" style="31" customWidth="1"/>
    <col min="34" max="34" width="17.5" style="31" customWidth="1"/>
    <col min="35" max="35" width="24.5" style="31" customWidth="1"/>
    <col min="36" max="36" width="11.40625" style="31" customWidth="1"/>
    <col min="37" max="37" width="28" style="31" customWidth="1"/>
    <col min="38" max="38" width="25.40625" style="31" customWidth="1"/>
    <col min="39" max="39" width="18.81640625" style="31" bestFit="1" customWidth="1"/>
    <col min="40" max="40" width="29.1796875" style="31" customWidth="1"/>
    <col min="41" max="41" width="14.40625" style="31" customWidth="1"/>
    <col min="42" max="42" width="11.54296875" style="31" customWidth="1"/>
    <col min="43" max="43" width="16.40625" style="31" customWidth="1"/>
    <col min="44" max="44" width="11.40625" style="31" bestFit="1" customWidth="1"/>
    <col min="45" max="45" width="14.90625" style="31" customWidth="1"/>
    <col min="46" max="46" width="13.1796875" style="31" customWidth="1"/>
    <col min="47" max="47" width="27.453125" style="31" customWidth="1"/>
    <col min="48" max="48" width="20.86328125" style="31" customWidth="1"/>
    <col min="49" max="49" width="31.453125" style="31" customWidth="1"/>
    <col min="50" max="50" width="23.81640625" style="31" customWidth="1"/>
    <col min="51" max="51" width="27.7265625" style="31" customWidth="1"/>
    <col min="52" max="52" width="8.453125" style="31" customWidth="1"/>
    <col min="53" max="53" width="11.04296875" style="31" customWidth="1"/>
    <col min="54" max="54" width="10.76953125" style="31" customWidth="1"/>
    <col min="55" max="55" width="12.5" style="31" customWidth="1"/>
    <col min="56" max="56" width="12.2265625" style="31" customWidth="1"/>
    <col min="57" max="57" width="14.26953125" style="31" customWidth="1"/>
    <col min="58" max="58" width="14" style="31" customWidth="1"/>
    <col min="59" max="59" width="16.26953125" style="31" customWidth="1"/>
    <col min="60" max="60" width="14.40625" style="31" customWidth="1"/>
    <col min="61" max="61" width="9" style="31" customWidth="1"/>
    <col min="62" max="62" width="16.40625" style="31" customWidth="1"/>
    <col min="63" max="63" width="11.26953125" style="31" bestFit="1" customWidth="1"/>
    <col min="64" max="64" width="9.54296875" style="31" customWidth="1"/>
    <col min="65" max="65" width="12.08984375" style="31" customWidth="1"/>
    <col min="66" max="66" width="20.453125" style="31" customWidth="1"/>
    <col min="67" max="67" width="12.36328125" style="31" customWidth="1"/>
    <col min="68" max="68" width="23.26953125" style="31" customWidth="1"/>
    <col min="69" max="69" width="13.58984375" style="31" customWidth="1"/>
    <col min="70" max="70" width="12.90625" style="31" customWidth="1"/>
    <col min="71" max="71" width="18.54296875" style="31" customWidth="1"/>
    <col min="72" max="72" width="14.6328125" style="31" customWidth="1"/>
    <col min="73" max="73" width="21.26953125" style="31" customWidth="1"/>
    <col min="74" max="74" width="10.08984375" style="31" customWidth="1"/>
    <col min="75" max="75" width="11.04296875" style="31" bestFit="1" customWidth="1"/>
    <col min="76" max="76" width="17.08984375" style="31" customWidth="1"/>
    <col min="77" max="77" width="21.36328125" style="31" customWidth="1"/>
    <col min="78" max="78" width="24.5" style="31" customWidth="1"/>
    <col min="79" max="79" width="16.6796875" style="31" customWidth="1"/>
    <col min="80" max="80" width="23.54296875" style="31" customWidth="1"/>
    <col min="81" max="81" width="10.6328125" style="31" customWidth="1"/>
    <col min="82" max="82" width="10.08984375" style="31" customWidth="1"/>
    <col min="83" max="83" width="27.04296875" style="31" customWidth="1"/>
    <col min="84" max="84" width="20.58984375" style="31" customWidth="1"/>
    <col min="85" max="85" width="9.81640625" style="31" customWidth="1"/>
    <col min="86" max="86" width="10.76953125" style="31" customWidth="1"/>
    <col min="87" max="87" width="21.6328125" style="31" customWidth="1"/>
    <col min="88" max="88" width="12.08984375" style="31" customWidth="1"/>
    <col min="89" max="89" width="21.36328125" style="31" customWidth="1"/>
    <col min="90" max="90" width="13.453125" style="31" bestFit="1" customWidth="1"/>
    <col min="91" max="91" width="24.86328125" style="31" customWidth="1"/>
    <col min="92" max="92" width="15.7265625" style="31" customWidth="1"/>
    <col min="93" max="93" width="24.6328125" style="31" customWidth="1"/>
    <col min="94" max="94" width="13.86328125" style="31" customWidth="1"/>
    <col min="95" max="95" width="13.04296875" style="31" customWidth="1"/>
    <col min="96" max="96" width="12.6328125" style="31" customWidth="1"/>
    <col min="97" max="97" width="18" style="31" customWidth="1"/>
    <col min="98" max="98" width="10.76953125" style="31" customWidth="1"/>
    <col min="99" max="99" width="9.1328125" style="31" bestFit="1" customWidth="1"/>
    <col min="100" max="100" width="13.04296875" style="31" customWidth="1"/>
    <col min="101" max="101" width="14.54296875" style="31" customWidth="1"/>
    <col min="102" max="102" width="11.54296875" style="31" customWidth="1"/>
    <col min="103" max="103" width="10.36328125" style="31" customWidth="1"/>
    <col min="104" max="104" width="9.40625" style="31" bestFit="1" customWidth="1"/>
    <col min="105" max="105" width="13.04296875" style="31" customWidth="1"/>
    <col min="106" max="106" width="9.6796875" style="31" customWidth="1"/>
    <col min="107" max="107" width="7.90625" style="31" customWidth="1"/>
    <col min="108" max="108" width="10.08984375" style="31" customWidth="1"/>
    <col min="109" max="109" width="13.04296875" style="31" customWidth="1"/>
    <col min="110" max="110" width="8.31640625" style="31" customWidth="1"/>
    <col min="111" max="111" width="11.1796875" style="31" customWidth="1"/>
    <col min="112" max="112" width="12.36328125" style="31" customWidth="1"/>
    <col min="113" max="113" width="10.08984375" style="31" customWidth="1"/>
    <col min="114" max="114" width="14.76953125" style="31" customWidth="1"/>
    <col min="115" max="116" width="10.36328125" style="31" customWidth="1"/>
    <col min="117" max="117" width="9.953125" style="31" customWidth="1"/>
    <col min="118" max="118" width="14.26953125" style="31" customWidth="1"/>
    <col min="119" max="119" width="14.76953125" style="31" customWidth="1"/>
    <col min="120" max="120" width="10.90625" style="31" customWidth="1"/>
    <col min="121" max="121" width="13.86328125" style="31" customWidth="1"/>
    <col min="122" max="122" width="11.40625" style="31" customWidth="1"/>
    <col min="123" max="123" width="13.453125" style="31" customWidth="1"/>
    <col min="124" max="124" width="8.7265625" style="31" customWidth="1"/>
    <col min="125" max="125" width="16.953125" style="31" customWidth="1"/>
    <col min="126" max="126" width="12.36328125" style="31" customWidth="1"/>
    <col min="127" max="127" width="15.86328125" style="31" customWidth="1"/>
    <col min="128" max="128" width="16.6796875" style="31" customWidth="1"/>
    <col min="129" max="129" width="20.1796875" style="31" customWidth="1"/>
    <col min="130" max="130" width="11.953125" style="31" customWidth="1"/>
    <col min="131" max="131" width="11.6796875" style="31" customWidth="1"/>
    <col min="132" max="132" width="12.2265625" style="31" customWidth="1"/>
    <col min="133" max="133" width="10.36328125" style="31" customWidth="1"/>
    <col min="134" max="134" width="9.6796875" style="31" customWidth="1"/>
    <col min="135" max="135" width="14" style="31" customWidth="1"/>
    <col min="136" max="136" width="23" style="31" customWidth="1"/>
    <col min="137" max="137" width="16.953125" style="31" customWidth="1"/>
    <col min="138" max="138" width="12.5" style="31" customWidth="1"/>
    <col min="139" max="139" width="14" style="31" customWidth="1"/>
    <col min="140" max="140" width="10.6328125" style="31" customWidth="1"/>
    <col min="141" max="141" width="36.31640625" style="31" customWidth="1"/>
    <col min="142" max="142" width="11.81640625" style="31" customWidth="1"/>
    <col min="143" max="143" width="13.58984375" style="31" customWidth="1"/>
    <col min="144" max="144" width="14" style="31" customWidth="1"/>
    <col min="145" max="145" width="15.58984375" style="31" customWidth="1"/>
    <col min="146" max="146" width="19.36328125" style="31" customWidth="1"/>
    <col min="147" max="147" width="11.953125" style="31" customWidth="1"/>
    <col min="148" max="148" width="16" style="31" customWidth="1"/>
    <col min="149" max="149" width="17.90625" style="31" customWidth="1"/>
    <col min="150" max="150" width="11.1796875" style="31" customWidth="1"/>
    <col min="151" max="151" width="9" style="31" customWidth="1"/>
    <col min="152" max="152" width="15.58984375" style="31" customWidth="1"/>
    <col min="153" max="153" width="23.54296875" style="31" customWidth="1"/>
    <col min="154" max="154" width="18.26953125" style="31" customWidth="1"/>
    <col min="155" max="155" width="16" style="31" customWidth="1"/>
    <col min="156" max="156" width="13.31640625" style="31" customWidth="1"/>
    <col min="157" max="157" width="8.86328125" style="31" customWidth="1"/>
    <col min="158" max="158" width="10.36328125" style="31" customWidth="1"/>
    <col min="159" max="159" width="17.6328125" style="31" customWidth="1"/>
    <col min="160" max="160" width="20.453125" style="31" customWidth="1"/>
    <col min="161" max="161" width="28.5" style="31" customWidth="1"/>
    <col min="162" max="162" width="10.6328125" style="31" customWidth="1"/>
    <col min="163" max="163" width="9.6796875" style="31" customWidth="1"/>
    <col min="164" max="164" width="25.54296875" style="31" customWidth="1"/>
    <col min="165" max="165" width="21.26953125" style="31" customWidth="1"/>
    <col min="166" max="166" width="12.36328125" style="31" customWidth="1"/>
    <col min="167" max="167" width="22.31640625" style="31" customWidth="1"/>
    <col min="168" max="168" width="33.6328125" style="31" customWidth="1"/>
    <col min="169" max="169" width="32.40625" style="31" customWidth="1"/>
    <col min="170" max="170" width="14.40625" style="31" customWidth="1"/>
    <col min="171" max="171" width="21.36328125" style="31" customWidth="1"/>
    <col min="172" max="172" width="13.7265625" style="31" customWidth="1"/>
    <col min="173" max="173" width="20.1796875" style="31" customWidth="1"/>
    <col min="174" max="174" width="8.7265625" style="31" customWidth="1"/>
    <col min="175" max="175" width="12.36328125" style="31" customWidth="1"/>
    <col min="176" max="176" width="14.26953125" style="31" customWidth="1"/>
    <col min="177" max="177" width="11.81640625" style="31" customWidth="1"/>
    <col min="178" max="178" width="29.31640625" style="31" customWidth="1"/>
    <col min="179" max="179" width="24.36328125" style="31" customWidth="1"/>
    <col min="180" max="180" width="14.26953125" style="31" customWidth="1"/>
    <col min="181" max="181" width="24.36328125" style="31" customWidth="1"/>
    <col min="182" max="182" width="29.453125" style="31" customWidth="1"/>
    <col min="183" max="183" width="38.453125" style="31" customWidth="1"/>
    <col min="184" max="184" width="37" style="31" customWidth="1"/>
    <col min="185" max="185" width="9.81640625" style="31" customWidth="1"/>
    <col min="186" max="186" width="23.1328125" style="31" bestFit="1" customWidth="1"/>
    <col min="187" max="187" width="24.5" style="31" customWidth="1"/>
    <col min="188" max="188" width="15.7265625" style="31" customWidth="1"/>
    <col min="189" max="189" width="11.40625" style="31" customWidth="1"/>
    <col min="190" max="190" width="9.81640625" style="31" customWidth="1"/>
    <col min="191" max="191" width="16.26953125" style="31" customWidth="1"/>
    <col min="192" max="16384" width="8.7265625" style="31"/>
  </cols>
  <sheetData>
    <row r="2" spans="1:191" ht="20.5" x14ac:dyDescent="0.9">
      <c r="B2" s="53" t="s">
        <v>1</v>
      </c>
      <c r="C2" s="53"/>
      <c r="D2" s="53"/>
      <c r="E2" s="53"/>
      <c r="F2" s="53"/>
      <c r="G2" s="53"/>
      <c r="H2" s="53"/>
    </row>
    <row r="4" spans="1:191" s="50" customFormat="1" x14ac:dyDescent="0.75">
      <c r="B4" s="70" t="s">
        <v>570</v>
      </c>
      <c r="C4" s="70" t="s">
        <v>416</v>
      </c>
      <c r="D4" s="70" t="s">
        <v>571</v>
      </c>
      <c r="E4" s="70">
        <f>J9</f>
        <v>5</v>
      </c>
      <c r="F4" s="70">
        <f>J6</f>
        <v>2</v>
      </c>
      <c r="G4" s="70">
        <f>J7</f>
        <v>3</v>
      </c>
      <c r="H4" s="70">
        <f>J8</f>
        <v>4</v>
      </c>
      <c r="I4" s="71" t="s">
        <v>2</v>
      </c>
      <c r="J4" s="71" t="s">
        <v>605</v>
      </c>
    </row>
    <row r="5" spans="1:191" x14ac:dyDescent="0.65">
      <c r="A5" s="32"/>
      <c r="B5" s="32" t="s">
        <v>3</v>
      </c>
      <c r="C5" s="32" t="s">
        <v>417</v>
      </c>
      <c r="D5" s="32" t="str">
        <f>_xlfn.IFNA(INDEX($M$19:$M$149,MATCH(B5,$L$19:$L$149,0)),B5)</f>
        <v>Kazakhstan</v>
      </c>
      <c r="E5" s="64">
        <f>INDEX('Hotel Emissions'!$G:$G,MATCH(D5,'Hotel Emissions'!$C:$C,0))</f>
        <v>75.344261830219864</v>
      </c>
      <c r="F5" s="64">
        <f>IF(INDEX('Hotel Emissions'!$O:$O,MATCH(D5,'Hotel Emissions'!$C:$C,0))="",INDEX('Hotel Emissions'!$T:$T,MATCH(D5,'Hotel Emissions'!$C:$C,0)),INDEX('Hotel Emissions'!$O:$O,MATCH(D5,'Hotel Emissions'!$C:$C,0)))</f>
        <v>16.910410780975194</v>
      </c>
      <c r="G5" s="64">
        <f>IF(INDEX('Hotel Emissions'!$X:$X,MATCH(D5,'Hotel Emissions'!$C:$C,0))="",INDEX('Hotel Emissions'!$AC:$AC,MATCH(D5,'Hotel Emissions'!$C:$C,0)),INDEX('Hotel Emissions'!$X:$X,MATCH(D5,'Hotel Emissions'!$C:$C,0)))</f>
        <v>41.238180878421765</v>
      </c>
      <c r="H5" s="64">
        <f>IF(INDEX('Hotel Emissions'!AG:$AG,MATCH(D5,'Hotel Emissions'!$C:$C,0))="",INDEX('Hotel Emissions'!$AL:$AL,MATCH(D5,'Hotel Emissions'!$C:$C,0)),INDEX('Hotel Emissions'!$AG:$AG,MATCH(D5,'Hotel Emissions'!$C:$C,0)))</f>
        <v>94.792983435676007</v>
      </c>
      <c r="I5" s="55" t="str">
        <f>"-"</f>
        <v>-</v>
      </c>
      <c r="J5" s="55" t="str">
        <f>"-"</f>
        <v>-</v>
      </c>
      <c r="L5" s="31" t="str" cm="1">
        <f t="array" ref="L5:GI5">TRANSPOSE(_xlfn._xlws.SORT(_xlfn.UNIQUE($B$5:$B$205)))</f>
        <v>Afghanistan</v>
      </c>
      <c r="M5" s="31" t="str">
        <v>Algeria</v>
      </c>
      <c r="N5" s="31" t="str">
        <v>Andorra</v>
      </c>
      <c r="O5" s="31" t="str">
        <v>Angola</v>
      </c>
      <c r="P5" s="31" t="str">
        <v>Antigua and Barbuda</v>
      </c>
      <c r="Q5" s="31" t="str">
        <v>Argentina</v>
      </c>
      <c r="R5" s="31" t="str">
        <v>Armenia</v>
      </c>
      <c r="S5" s="31" t="str">
        <v>Australia</v>
      </c>
      <c r="T5" s="31" t="str">
        <v>Austria</v>
      </c>
      <c r="U5" s="31" t="str">
        <v>Azerbaijan</v>
      </c>
      <c r="V5" s="31" t="str">
        <v>Bahamas</v>
      </c>
      <c r="W5" s="31" t="str">
        <v>Bahrain</v>
      </c>
      <c r="X5" s="31" t="str">
        <v>Bangladesh</v>
      </c>
      <c r="Y5" s="31" t="str">
        <v>Barbados</v>
      </c>
      <c r="Z5" s="31" t="str">
        <v>Belarus</v>
      </c>
      <c r="AA5" s="31" t="str">
        <v>Belgium</v>
      </c>
      <c r="AB5" s="31" t="str">
        <v>Belize</v>
      </c>
      <c r="AC5" s="31" t="str">
        <v>Benin</v>
      </c>
      <c r="AD5" s="31" t="str">
        <v>Bhutan</v>
      </c>
      <c r="AE5" s="31" t="str">
        <v>Bolivia</v>
      </c>
      <c r="AF5" s="31" t="str">
        <v>Bosnia and Herzegovina</v>
      </c>
      <c r="AG5" s="31" t="str">
        <v>Botswana</v>
      </c>
      <c r="AH5" s="31" t="str">
        <v>Brazil</v>
      </c>
      <c r="AI5" s="31" t="str">
        <v>Brunei</v>
      </c>
      <c r="AJ5" s="31" t="str">
        <v>Bulgaria</v>
      </c>
      <c r="AK5" s="31" t="str">
        <v>Burkina Faso</v>
      </c>
      <c r="AL5" s="31" t="str">
        <v>Burundi</v>
      </c>
      <c r="AM5" s="31" t="str">
        <v>Cabo Verde</v>
      </c>
      <c r="AN5" s="31" t="str">
        <v>Cambodia</v>
      </c>
      <c r="AO5" s="31" t="str">
        <v>Cameroon</v>
      </c>
      <c r="AP5" s="31" t="str">
        <v>Canada</v>
      </c>
      <c r="AQ5" s="31" t="str">
        <v>Central African Republic</v>
      </c>
      <c r="AR5" s="31" t="str">
        <v>Chad</v>
      </c>
      <c r="AS5" s="31" t="str">
        <v>Chile</v>
      </c>
      <c r="AT5" s="31" t="str">
        <v>China</v>
      </c>
      <c r="AU5" s="31" t="str">
        <v>Colombia</v>
      </c>
      <c r="AV5" s="31" t="str">
        <v>Comoros</v>
      </c>
      <c r="AW5" s="31" t="str">
        <v>Congo</v>
      </c>
      <c r="AX5" s="31" t="str">
        <v>Costa Rica</v>
      </c>
      <c r="AY5" s="31" t="str">
        <v>Côte d'Ivoire</v>
      </c>
      <c r="AZ5" s="31" t="str">
        <v>Croatia</v>
      </c>
      <c r="BA5" s="31" t="str">
        <v>Cuba</v>
      </c>
      <c r="BB5" s="31" t="str">
        <v>Cyprus</v>
      </c>
      <c r="BC5" s="31" t="str">
        <v>Czechia</v>
      </c>
      <c r="BD5" s="31" t="str">
        <v>Denmark</v>
      </c>
      <c r="BE5" s="31" t="str">
        <v>Djibouti</v>
      </c>
      <c r="BF5" s="31" t="str">
        <v>Dominica</v>
      </c>
      <c r="BG5" s="31" t="str">
        <v>Dominican Republic</v>
      </c>
      <c r="BH5" s="31" t="str">
        <v>DR Congo</v>
      </c>
      <c r="BI5" s="31" t="str">
        <v>Ecuador</v>
      </c>
      <c r="BJ5" s="31" t="str">
        <v>Egypt</v>
      </c>
      <c r="BK5" s="31" t="str">
        <v>El Salvador</v>
      </c>
      <c r="BL5" s="31" t="str">
        <v>Equatorial Guinea</v>
      </c>
      <c r="BM5" s="31" t="str">
        <v>Eritrea</v>
      </c>
      <c r="BN5" s="31" t="str">
        <v>Estonia</v>
      </c>
      <c r="BO5" s="31" t="str">
        <v>Eswatini</v>
      </c>
      <c r="BP5" s="31" t="str">
        <v>Ethiopia</v>
      </c>
      <c r="BQ5" s="31" t="str">
        <v>Finland</v>
      </c>
      <c r="BR5" s="31" t="str">
        <v>France</v>
      </c>
      <c r="BS5" s="31" t="str">
        <v>Gabon</v>
      </c>
      <c r="BT5" s="31" t="str">
        <v>Gambia</v>
      </c>
      <c r="BU5" s="31" t="str">
        <v>Georgia</v>
      </c>
      <c r="BV5" s="31" t="str">
        <v>Germany</v>
      </c>
      <c r="BW5" s="31" t="str">
        <v>Ghana</v>
      </c>
      <c r="BX5" s="31" t="str">
        <v>Greece</v>
      </c>
      <c r="BY5" s="31" t="str">
        <v>Grenada</v>
      </c>
      <c r="BZ5" s="31" t="str">
        <v>Guatemala</v>
      </c>
      <c r="CA5" s="31" t="str">
        <v>Guinea</v>
      </c>
      <c r="CB5" s="31" t="str">
        <v>Guinea-Bissau</v>
      </c>
      <c r="CC5" s="31" t="str">
        <v>Guyana</v>
      </c>
      <c r="CD5" s="31" t="str">
        <v>Haiti</v>
      </c>
      <c r="CE5" s="31" t="str">
        <v>Honduras</v>
      </c>
      <c r="CF5" s="31" t="str">
        <v>Hungary</v>
      </c>
      <c r="CG5" s="31" t="str">
        <v>Iceland</v>
      </c>
      <c r="CH5" s="31" t="str">
        <v>India</v>
      </c>
      <c r="CI5" s="31" t="str">
        <v>Indonesia</v>
      </c>
      <c r="CJ5" s="31" t="str">
        <v>Iran</v>
      </c>
      <c r="CK5" s="31" t="str">
        <v>Iraq</v>
      </c>
      <c r="CL5" s="31" t="str">
        <v>Ireland</v>
      </c>
      <c r="CM5" s="31" t="str">
        <v>Israel</v>
      </c>
      <c r="CN5" s="31" t="str">
        <v>Italy</v>
      </c>
      <c r="CO5" s="31" t="str">
        <v>Jamaica</v>
      </c>
      <c r="CP5" s="31" t="str">
        <v>Japan</v>
      </c>
      <c r="CQ5" s="31" t="str">
        <v>Jordan</v>
      </c>
      <c r="CR5" s="31" t="str">
        <v>Kazakhstan</v>
      </c>
      <c r="CS5" s="31" t="str">
        <v>Kenya</v>
      </c>
      <c r="CT5" s="31" t="str">
        <v>Kuwait</v>
      </c>
      <c r="CU5" s="31" t="str">
        <v>Kyrgyzstan</v>
      </c>
      <c r="CV5" s="31" t="str">
        <v>Laos</v>
      </c>
      <c r="CW5" s="31" t="str">
        <v>Latvia</v>
      </c>
      <c r="CX5" s="31" t="str">
        <v>Lebanon</v>
      </c>
      <c r="CY5" s="31" t="str">
        <v>Lesotho</v>
      </c>
      <c r="CZ5" s="31" t="str">
        <v>Liberia</v>
      </c>
      <c r="DA5" s="31" t="str">
        <v>Libya</v>
      </c>
      <c r="DB5" s="31" t="str">
        <v>Liechtenstein</v>
      </c>
      <c r="DC5" s="31" t="str">
        <v>Lithuania</v>
      </c>
      <c r="DD5" s="31" t="str">
        <v>Luxembourg</v>
      </c>
      <c r="DE5" s="31" t="str">
        <v>Madagascar</v>
      </c>
      <c r="DF5" s="31" t="str">
        <v>Malawi</v>
      </c>
      <c r="DG5" s="31" t="str">
        <v>Malaysia</v>
      </c>
      <c r="DH5" s="31" t="str">
        <v>Maldives</v>
      </c>
      <c r="DI5" s="31" t="str">
        <v>Mali</v>
      </c>
      <c r="DJ5" s="31" t="str">
        <v>Malta</v>
      </c>
      <c r="DK5" s="31" t="str">
        <v>Mauritania</v>
      </c>
      <c r="DL5" s="31" t="str">
        <v>Mauritius</v>
      </c>
      <c r="DM5" s="31" t="str">
        <v>Mexico</v>
      </c>
      <c r="DN5" s="31" t="str">
        <v>Moldova</v>
      </c>
      <c r="DO5" s="31" t="str">
        <v>Monaco</v>
      </c>
      <c r="DP5" s="31" t="str">
        <v>Mongolia</v>
      </c>
      <c r="DQ5" s="31" t="str">
        <v>Montenegro</v>
      </c>
      <c r="DR5" s="31" t="str">
        <v>Morocco</v>
      </c>
      <c r="DS5" s="31" t="str">
        <v>Mozambique</v>
      </c>
      <c r="DT5" s="31" t="str">
        <v>Myanmar</v>
      </c>
      <c r="DU5" s="31" t="str">
        <v>Namibia</v>
      </c>
      <c r="DV5" s="31" t="str">
        <v>Nepal</v>
      </c>
      <c r="DW5" s="31" t="str">
        <v>Netherlands</v>
      </c>
      <c r="DX5" s="31" t="str">
        <v>New Zealand</v>
      </c>
      <c r="DY5" s="31" t="str">
        <v>Nicaragua</v>
      </c>
      <c r="DZ5" s="31" t="str">
        <v>Niger</v>
      </c>
      <c r="EA5" s="31" t="str">
        <v>Nigeria</v>
      </c>
      <c r="EB5" s="31" t="str">
        <v>North Korea</v>
      </c>
      <c r="EC5" s="31" t="str">
        <v>North Macedonia</v>
      </c>
      <c r="ED5" s="31" t="str">
        <v>Norway</v>
      </c>
      <c r="EE5" s="31" t="str">
        <v>Oman</v>
      </c>
      <c r="EF5" s="31" t="str">
        <v>Pakistan</v>
      </c>
      <c r="EG5" s="31" t="str">
        <v>Panama</v>
      </c>
      <c r="EH5" s="31" t="str">
        <v>Paraguay</v>
      </c>
      <c r="EI5" s="31" t="str">
        <v>Peru</v>
      </c>
      <c r="EJ5" s="31" t="str">
        <v>Philippines</v>
      </c>
      <c r="EK5" s="31" t="str">
        <v>Poland</v>
      </c>
      <c r="EL5" s="31" t="str">
        <v>Portugal</v>
      </c>
      <c r="EM5" s="31" t="str">
        <v>Qatar</v>
      </c>
      <c r="EN5" s="31" t="str">
        <v>Romania</v>
      </c>
      <c r="EO5" s="31" t="str">
        <v>Russia</v>
      </c>
      <c r="EP5" s="31" t="str">
        <v>Rwanda</v>
      </c>
      <c r="EQ5" s="31" t="str">
        <v>Saint Kitts and Nevis</v>
      </c>
      <c r="ER5" s="31" t="str">
        <v>Saint Lucia</v>
      </c>
      <c r="ES5" s="31" t="str">
        <v>Saint Vincent and the Grenadines</v>
      </c>
      <c r="ET5" s="31" t="str">
        <v>San Marino</v>
      </c>
      <c r="EU5" s="31" t="str">
        <v>Sao Tome &amp; Principe</v>
      </c>
      <c r="EV5" s="31" t="str">
        <v>Saudi Arabia</v>
      </c>
      <c r="EW5" s="31" t="str">
        <v>Senegal</v>
      </c>
      <c r="EX5" s="31" t="str">
        <v>Serbia</v>
      </c>
      <c r="EY5" s="31" t="str">
        <v>Sierra Leone</v>
      </c>
      <c r="EZ5" s="31" t="str">
        <v>Singapore</v>
      </c>
      <c r="FA5" s="31" t="str">
        <v>Slovakia</v>
      </c>
      <c r="FB5" s="31" t="str">
        <v>Slovenia</v>
      </c>
      <c r="FC5" s="31" t="str">
        <v>Somalia</v>
      </c>
      <c r="FD5" s="31" t="str">
        <v>South Africa</v>
      </c>
      <c r="FE5" s="31" t="str">
        <v>South Korea</v>
      </c>
      <c r="FF5" s="31" t="str">
        <v>South Sudan</v>
      </c>
      <c r="FG5" s="31" t="str">
        <v>Spain</v>
      </c>
      <c r="FH5" s="31" t="str">
        <v>Sri Lanka</v>
      </c>
      <c r="FI5" s="31" t="str">
        <v>Sudan</v>
      </c>
      <c r="FJ5" s="31" t="str">
        <v>Suriname</v>
      </c>
      <c r="FK5" s="31" t="str">
        <v>Sweden</v>
      </c>
      <c r="FL5" s="31" t="str">
        <v>Switzerland</v>
      </c>
      <c r="FM5" s="31" t="str">
        <v>Syria</v>
      </c>
      <c r="FN5" s="31" t="str">
        <v>Taiwan</v>
      </c>
      <c r="FO5" s="31" t="str">
        <v>Tajikistan</v>
      </c>
      <c r="FP5" s="31" t="str">
        <v>Tanzania</v>
      </c>
      <c r="FQ5" s="31" t="str">
        <v>Thailand</v>
      </c>
      <c r="FR5" s="31" t="str">
        <v>Timor-Leste</v>
      </c>
      <c r="FS5" s="31" t="str">
        <v>Togo</v>
      </c>
      <c r="FT5" s="31" t="str">
        <v>Trinidad and Tobago</v>
      </c>
      <c r="FU5" s="31" t="str">
        <v>Tunisia</v>
      </c>
      <c r="FV5" s="31" t="str">
        <v>Turkey</v>
      </c>
      <c r="FW5" s="31" t="str">
        <v>Turkmenistan</v>
      </c>
      <c r="FX5" s="31" t="str">
        <v>Uganda</v>
      </c>
      <c r="FY5" s="31" t="str">
        <v>Ukraine</v>
      </c>
      <c r="FZ5" s="31" t="str">
        <v>United Arab Emirates</v>
      </c>
      <c r="GA5" s="31" t="str">
        <v>United Kingdom</v>
      </c>
      <c r="GB5" s="31" t="str">
        <v>United States</v>
      </c>
      <c r="GC5" s="31" t="str">
        <v>Uruguay</v>
      </c>
      <c r="GD5" s="31" t="str">
        <v>Uzbekistan</v>
      </c>
      <c r="GE5" s="31" t="str">
        <v>Venezuela</v>
      </c>
      <c r="GF5" s="31" t="str">
        <v>Vietnam</v>
      </c>
      <c r="GG5" s="31" t="str">
        <v>Yemen</v>
      </c>
      <c r="GH5" s="31" t="str">
        <v>Zambia</v>
      </c>
      <c r="GI5" s="31" t="str">
        <v>Zimbabwe</v>
      </c>
    </row>
    <row r="6" spans="1:191" x14ac:dyDescent="0.65">
      <c r="A6" s="32"/>
      <c r="B6" s="32" t="s">
        <v>4</v>
      </c>
      <c r="C6" s="32" t="s">
        <v>418</v>
      </c>
      <c r="D6" s="32" t="str">
        <f t="shared" ref="D6:D69" si="0">_xlfn.IFNA(INDEX($M$19:$M$149,MATCH(B6,$L$19:$L$149,0)),B6)</f>
        <v>Algeria</v>
      </c>
      <c r="E6" s="64">
        <f>INDEX('Hotel Emissions'!$G:$G,MATCH(D6,'Hotel Emissions'!$C:$C,0))</f>
        <v>62.812597973270691</v>
      </c>
      <c r="F6" s="64">
        <f>IF(INDEX('Hotel Emissions'!$O:$O,MATCH(D6,'Hotel Emissions'!$C:$C,0))="",INDEX('Hotel Emissions'!$T:$T,MATCH(D6,'Hotel Emissions'!$C:$C,0)),INDEX('Hotel Emissions'!$O:$O,MATCH(D6,'Hotel Emissions'!$C:$C,0)))</f>
        <v>16.910410780975194</v>
      </c>
      <c r="G6" s="64">
        <f>IF(INDEX('Hotel Emissions'!$X:$X,MATCH(D6,'Hotel Emissions'!$C:$C,0))="",INDEX('Hotel Emissions'!$AC:$AC,MATCH(D6,'Hotel Emissions'!$C:$C,0)),INDEX('Hotel Emissions'!$X:$X,MATCH(D6,'Hotel Emissions'!$C:$C,0)))</f>
        <v>41.238180878421765</v>
      </c>
      <c r="H6" s="64">
        <f>IF(INDEX('Hotel Emissions'!AG:$AG,MATCH(D6,'Hotel Emissions'!$C:$C,0))="",INDEX('Hotel Emissions'!$AL:$AL,MATCH(D6,'Hotel Emissions'!$C:$C,0)),INDEX('Hotel Emissions'!$AG:$AG,MATCH(D6,'Hotel Emissions'!$C:$C,0)))</f>
        <v>94.792983435676007</v>
      </c>
      <c r="I6" s="32" t="s">
        <v>393</v>
      </c>
      <c r="J6" s="55">
        <v>2</v>
      </c>
      <c r="L6" s="31" t="str" cm="1">
        <f t="array" ref="L6">_xlfn._xlws.SORT(_xlfn._xlws.FILTER($C$5:$C$205,$B$5:$B$205=L$5))</f>
        <v>Kabul</v>
      </c>
      <c r="M6" s="31" t="str" cm="1">
        <f t="array" ref="M6">_xlfn._xlws.SORT(_xlfn._xlws.FILTER($C$5:$C$205,$B$5:$B$205=M$5))</f>
        <v>Algiers</v>
      </c>
      <c r="N6" s="31" t="str" cm="1">
        <f t="array" ref="N6">_xlfn._xlws.SORT(_xlfn._xlws.FILTER($C$5:$C$205,$B$5:$B$205=N$5))</f>
        <v>Andorra la Vella</v>
      </c>
      <c r="O6" s="31" t="str" cm="1">
        <f t="array" ref="O6">_xlfn._xlws.SORT(_xlfn._xlws.FILTER($C$5:$C$205,$B$5:$B$205=O$5))</f>
        <v>Luanda</v>
      </c>
      <c r="P6" s="31" t="str" cm="1">
        <f t="array" ref="P6">_xlfn._xlws.SORT(_xlfn._xlws.FILTER($C$5:$C$205,$B$5:$B$205=P$5))</f>
        <v>Saint John's</v>
      </c>
      <c r="Q6" s="31" t="str" cm="1">
        <f t="array" ref="Q6">_xlfn._xlws.SORT(_xlfn._xlws.FILTER($C$5:$C$205,$B$5:$B$205=Q$5))</f>
        <v>Buenos Aires</v>
      </c>
      <c r="R6" s="31" t="str" cm="1">
        <f t="array" ref="R6">_xlfn._xlws.SORT(_xlfn._xlws.FILTER($C$5:$C$205,$B$5:$B$205=R$5))</f>
        <v>Yerevan</v>
      </c>
      <c r="S6" s="31" t="str" cm="1">
        <f t="array" ref="S6:S7">_xlfn._xlws.SORT(_xlfn._xlws.FILTER($C$5:$C$205,$B$5:$B$205=S$5))</f>
        <v>Canberra</v>
      </c>
      <c r="T6" s="31" t="str" cm="1">
        <f t="array" ref="T6">_xlfn._xlws.SORT(_xlfn._xlws.FILTER($C$5:$C$205,$B$5:$B$205=T$5))</f>
        <v>Vienna</v>
      </c>
      <c r="U6" s="31" t="str" cm="1">
        <f t="array" ref="U6">_xlfn._xlws.SORT(_xlfn._xlws.FILTER($C$5:$C$205,$B$5:$B$205=U$5))</f>
        <v>Baku</v>
      </c>
      <c r="V6" s="31" t="str" cm="1">
        <f t="array" ref="V6">_xlfn._xlws.SORT(_xlfn._xlws.FILTER($C$5:$C$205,$B$5:$B$205=V$5))</f>
        <v>Nassau</v>
      </c>
      <c r="W6" s="31" t="str" cm="1">
        <f t="array" ref="W6">_xlfn._xlws.SORT(_xlfn._xlws.FILTER($C$5:$C$205,$B$5:$B$205=W$5))</f>
        <v>Manama</v>
      </c>
      <c r="X6" s="31" t="str" cm="1">
        <f t="array" ref="X6">_xlfn._xlws.SORT(_xlfn._xlws.FILTER($C$5:$C$205,$B$5:$B$205=X$5))</f>
        <v>Dhaka</v>
      </c>
      <c r="Y6" s="31" t="str" cm="1">
        <f t="array" ref="Y6">_xlfn._xlws.SORT(_xlfn._xlws.FILTER($C$5:$C$205,$B$5:$B$205=Y$5))</f>
        <v>Bridgetown</v>
      </c>
      <c r="Z6" s="31" t="str" cm="1">
        <f t="array" ref="Z6">_xlfn._xlws.SORT(_xlfn._xlws.FILTER($C$5:$C$205,$B$5:$B$205=Z$5))</f>
        <v>Minsk</v>
      </c>
      <c r="AA6" s="31" t="str" cm="1">
        <f t="array" ref="AA6">_xlfn._xlws.SORT(_xlfn._xlws.FILTER($C$5:$C$205,$B$5:$B$205=AA$5))</f>
        <v>Brussels</v>
      </c>
      <c r="AB6" s="31" t="str" cm="1">
        <f t="array" ref="AB6">_xlfn._xlws.SORT(_xlfn._xlws.FILTER($C$5:$C$205,$B$5:$B$205=AB$5))</f>
        <v>Belmopan</v>
      </c>
      <c r="AC6" s="31" t="str" cm="1">
        <f t="array" ref="AC6">_xlfn._xlws.SORT(_xlfn._xlws.FILTER($C$5:$C$205,$B$5:$B$205=AC$5))</f>
        <v>Porto Novo</v>
      </c>
      <c r="AD6" s="31" t="str" cm="1">
        <f t="array" ref="AD6">_xlfn._xlws.SORT(_xlfn._xlws.FILTER($C$5:$C$205,$B$5:$B$205=AD$5))</f>
        <v>Thimphu</v>
      </c>
      <c r="AE6" s="31" t="str" cm="1">
        <f t="array" ref="AE6">_xlfn._xlws.SORT(_xlfn._xlws.FILTER($C$5:$C$205,$B$5:$B$205=AE$5))</f>
        <v>La Paz</v>
      </c>
      <c r="AF6" s="31" t="str" cm="1">
        <f t="array" ref="AF6">_xlfn._xlws.SORT(_xlfn._xlws.FILTER($C$5:$C$205,$B$5:$B$205=AF$5))</f>
        <v>Sarajevo</v>
      </c>
      <c r="AG6" s="31" t="str" cm="1">
        <f t="array" ref="AG6">_xlfn._xlws.SORT(_xlfn._xlws.FILTER($C$5:$C$205,$B$5:$B$205=AG$5))</f>
        <v>Gaborone</v>
      </c>
      <c r="AH6" s="31" t="str" cm="1">
        <f t="array" ref="AH6:AH7">_xlfn._xlws.SORT(_xlfn._xlws.FILTER($C$5:$C$205,$B$5:$B$205=AH$5))</f>
        <v>Rio de Janerio</v>
      </c>
      <c r="AI6" s="31" t="str" cm="1">
        <f t="array" ref="AI6">_xlfn._xlws.SORT(_xlfn._xlws.FILTER($C$5:$C$205,$B$5:$B$205=AI$5))</f>
        <v>Bandar Seri Begawan</v>
      </c>
      <c r="AJ6" s="31" t="str" cm="1">
        <f t="array" ref="AJ6">_xlfn._xlws.SORT(_xlfn._xlws.FILTER($C$5:$C$205,$B$5:$B$205=AJ$5))</f>
        <v>Sofia</v>
      </c>
      <c r="AK6" s="31" t="str" cm="1">
        <f t="array" ref="AK6">_xlfn._xlws.SORT(_xlfn._xlws.FILTER($C$5:$C$205,$B$5:$B$205=AK$5))</f>
        <v>Ouagadougou</v>
      </c>
      <c r="AL6" s="31" t="str" cm="1">
        <f t="array" ref="AL6">_xlfn._xlws.SORT(_xlfn._xlws.FILTER($C$5:$C$205,$B$5:$B$205=AL$5))</f>
        <v>Bujumbura</v>
      </c>
      <c r="AM6" s="31" t="str" cm="1">
        <f t="array" ref="AM6">_xlfn._xlws.SORT(_xlfn._xlws.FILTER($C$5:$C$205,$B$5:$B$205=AM$5))</f>
        <v>Praia</v>
      </c>
      <c r="AN6" s="31" t="str" cm="1">
        <f t="array" ref="AN6">_xlfn._xlws.SORT(_xlfn._xlws.FILTER($C$5:$C$205,$B$5:$B$205=AN$5))</f>
        <v>Phnom Penh</v>
      </c>
      <c r="AO6" s="31" t="str" cm="1">
        <f t="array" ref="AO6:AO7">_xlfn._xlws.SORT(_xlfn._xlws.FILTER($C$5:$C$205,$B$5:$B$205=AO$5))</f>
        <v>Doula</v>
      </c>
      <c r="AP6" s="31" t="str" cm="1">
        <f t="array" ref="AP6:AP7">_xlfn._xlws.SORT(_xlfn._xlws.FILTER($C$5:$C$205,$B$5:$B$205=AP$5))</f>
        <v>Ottawa</v>
      </c>
      <c r="AQ6" s="31" t="str" cm="1">
        <f t="array" ref="AQ6">_xlfn._xlws.SORT(_xlfn._xlws.FILTER($C$5:$C$205,$B$5:$B$205=AQ$5))</f>
        <v>Bangui</v>
      </c>
      <c r="AR6" s="31" t="str" cm="1">
        <f t="array" ref="AR6">_xlfn._xlws.SORT(_xlfn._xlws.FILTER($C$5:$C$205,$B$5:$B$205=AR$5))</f>
        <v>N'Djamena</v>
      </c>
      <c r="AS6" s="31" t="str" cm="1">
        <f t="array" ref="AS6">_xlfn._xlws.SORT(_xlfn._xlws.FILTER($C$5:$C$205,$B$5:$B$205=AS$5))</f>
        <v>Santiago</v>
      </c>
      <c r="AT6" s="31" t="str" cm="1">
        <f t="array" ref="AT6:AT9">_xlfn._xlws.SORT(_xlfn._xlws.FILTER($C$5:$C$205,$B$5:$B$205=AT$5))</f>
        <v>Beijing</v>
      </c>
      <c r="AU6" s="31" t="str" cm="1">
        <f t="array" ref="AU6">_xlfn._xlws.SORT(_xlfn._xlws.FILTER($C$5:$C$205,$B$5:$B$205=AU$5))</f>
        <v>Bogota</v>
      </c>
      <c r="AV6" s="31" t="str" cm="1">
        <f t="array" ref="AV6">_xlfn._xlws.SORT(_xlfn._xlws.FILTER($C$5:$C$205,$B$5:$B$205=AV$5))</f>
        <v>Moroni</v>
      </c>
      <c r="AW6" s="31" t="str" cm="1">
        <f t="array" ref="AW6:AW7">_xlfn._xlws.SORT(_xlfn._xlws.FILTER($C$5:$C$205,$B$5:$B$205=AW$5))</f>
        <v>Brazzaville</v>
      </c>
      <c r="AX6" s="31" t="str" cm="1">
        <f t="array" ref="AX6">_xlfn._xlws.SORT(_xlfn._xlws.FILTER($C$5:$C$205,$B$5:$B$205=AX$5))</f>
        <v>San Jose</v>
      </c>
      <c r="AY6" s="31" t="str" cm="1">
        <f t="array" ref="AY6">_xlfn._xlws.SORT(_xlfn._xlws.FILTER($C$5:$C$205,$B$5:$B$205=AY$5))</f>
        <v>Abidjan</v>
      </c>
      <c r="AZ6" s="31" t="str" cm="1">
        <f t="array" ref="AZ6">_xlfn._xlws.SORT(_xlfn._xlws.FILTER($C$5:$C$205,$B$5:$B$205=AZ$5))</f>
        <v>Zagreb</v>
      </c>
      <c r="BA6" s="31" t="str" cm="1">
        <f t="array" ref="BA6">_xlfn._xlws.SORT(_xlfn._xlws.FILTER($C$5:$C$205,$B$5:$B$205=BA$5))</f>
        <v>Havana</v>
      </c>
      <c r="BB6" s="31" t="str" cm="1">
        <f t="array" ref="BB6">_xlfn._xlws.SORT(_xlfn._xlws.FILTER($C$5:$C$205,$B$5:$B$205=BB$5))</f>
        <v>Nicosia</v>
      </c>
      <c r="BC6" s="31" t="str" cm="1">
        <f t="array" ref="BC6">_xlfn._xlws.SORT(_xlfn._xlws.FILTER($C$5:$C$205,$B$5:$B$205=BC$5))</f>
        <v>Prague</v>
      </c>
      <c r="BD6" s="31" t="str" cm="1">
        <f t="array" ref="BD6">_xlfn._xlws.SORT(_xlfn._xlws.FILTER($C$5:$C$205,$B$5:$B$205=BD$5))</f>
        <v>Copenhagen</v>
      </c>
      <c r="BE6" s="31" t="str" cm="1">
        <f t="array" ref="BE6">_xlfn._xlws.SORT(_xlfn._xlws.FILTER($C$5:$C$205,$B$5:$B$205=BE$5))</f>
        <v>Djibouti</v>
      </c>
      <c r="BF6" s="31" t="str" cm="1">
        <f t="array" ref="BF6">_xlfn._xlws.SORT(_xlfn._xlws.FILTER($C$5:$C$205,$B$5:$B$205=BF$5))</f>
        <v>Roseau</v>
      </c>
      <c r="BG6" s="31" t="str" cm="1">
        <f t="array" ref="BG6">_xlfn._xlws.SORT(_xlfn._xlws.FILTER($C$5:$C$205,$B$5:$B$205=BG$5))</f>
        <v>Santo Domingo</v>
      </c>
      <c r="BH6" s="31" t="str" cm="1">
        <f t="array" ref="BH6">_xlfn._xlws.SORT(_xlfn._xlws.FILTER($C$5:$C$205,$B$5:$B$205=BH$5))</f>
        <v>Kinshasa</v>
      </c>
      <c r="BI6" s="31" t="str" cm="1">
        <f t="array" ref="BI6">_xlfn._xlws.SORT(_xlfn._xlws.FILTER($C$5:$C$205,$B$5:$B$205=BI$5))</f>
        <v>Quito</v>
      </c>
      <c r="BJ6" s="31" t="str" cm="1">
        <f t="array" ref="BJ6">_xlfn._xlws.SORT(_xlfn._xlws.FILTER($C$5:$C$205,$B$5:$B$205=BJ$5))</f>
        <v>Cairo</v>
      </c>
      <c r="BK6" s="31" t="str" cm="1">
        <f t="array" ref="BK6">_xlfn._xlws.SORT(_xlfn._xlws.FILTER($C$5:$C$205,$B$5:$B$205=BK$5))</f>
        <v>San Salvador</v>
      </c>
      <c r="BL6" s="31" t="str" cm="1">
        <f t="array" ref="BL6">_xlfn._xlws.SORT(_xlfn._xlws.FILTER($C$5:$C$205,$B$5:$B$205=BL$5))</f>
        <v>Malabo</v>
      </c>
      <c r="BM6" s="31" t="str" cm="1">
        <f t="array" ref="BM6">_xlfn._xlws.SORT(_xlfn._xlws.FILTER($C$5:$C$205,$B$5:$B$205=BM$5))</f>
        <v>Asmara</v>
      </c>
      <c r="BN6" s="31" t="str" cm="1">
        <f t="array" ref="BN6">_xlfn._xlws.SORT(_xlfn._xlws.FILTER($C$5:$C$205,$B$5:$B$205=BN$5))</f>
        <v>Tallinn</v>
      </c>
      <c r="BO6" s="31" t="str" cm="1">
        <f t="array" ref="BO6">_xlfn._xlws.SORT(_xlfn._xlws.FILTER($C$5:$C$205,$B$5:$B$205=BO$5))</f>
        <v>Mbabane</v>
      </c>
      <c r="BP6" s="31" t="str" cm="1">
        <f t="array" ref="BP6">_xlfn._xlws.SORT(_xlfn._xlws.FILTER($C$5:$C$205,$B$5:$B$205=BP$5))</f>
        <v>Addis Ababa</v>
      </c>
      <c r="BQ6" s="31" t="str" cm="1">
        <f t="array" ref="BQ6">_xlfn._xlws.SORT(_xlfn._xlws.FILTER($C$5:$C$205,$B$5:$B$205=BQ$5))</f>
        <v>Helsinki</v>
      </c>
      <c r="BR6" s="31" t="str" cm="1">
        <f t="array" ref="BR6">_xlfn._xlws.SORT(_xlfn._xlws.FILTER($C$5:$C$205,$B$5:$B$205=BR$5))</f>
        <v>Paris</v>
      </c>
      <c r="BS6" s="31" t="str" cm="1">
        <f t="array" ref="BS6">_xlfn._xlws.SORT(_xlfn._xlws.FILTER($C$5:$C$205,$B$5:$B$205=BS$5))</f>
        <v>Libreville</v>
      </c>
      <c r="BT6" s="31" t="str" cm="1">
        <f t="array" ref="BT6">_xlfn._xlws.SORT(_xlfn._xlws.FILTER($C$5:$C$205,$B$5:$B$205=BT$5))</f>
        <v>Banjul</v>
      </c>
      <c r="BU6" s="31" t="str" cm="1">
        <f t="array" ref="BU6">_xlfn._xlws.SORT(_xlfn._xlws.FILTER($C$5:$C$205,$B$5:$B$205=BU$5))</f>
        <v>T'bilisi</v>
      </c>
      <c r="BV6" s="31" t="str" cm="1">
        <f t="array" ref="BV6:BV8">_xlfn._xlws.SORT(_xlfn._xlws.FILTER($C$5:$C$205,$B$5:$B$205=BV$5))</f>
        <v>Berlin</v>
      </c>
      <c r="BW6" s="31" t="str" cm="1">
        <f t="array" ref="BW6">_xlfn._xlws.SORT(_xlfn._xlws.FILTER($C$5:$C$205,$B$5:$B$205=BW$5))</f>
        <v>Accra</v>
      </c>
      <c r="BX6" s="31" t="str" cm="1">
        <f t="array" ref="BX6">_xlfn._xlws.SORT(_xlfn._xlws.FILTER($C$5:$C$205,$B$5:$B$205=BX$5))</f>
        <v>Athens</v>
      </c>
      <c r="BY6" s="31" t="str" cm="1">
        <f t="array" ref="BY6">_xlfn._xlws.SORT(_xlfn._xlws.FILTER($C$5:$C$205,$B$5:$B$205=BY$5))</f>
        <v>Saint George's</v>
      </c>
      <c r="BZ6" s="31" t="str" cm="1">
        <f t="array" ref="BZ6">_xlfn._xlws.SORT(_xlfn._xlws.FILTER($C$5:$C$205,$B$5:$B$205=BZ$5))</f>
        <v>Guatemala</v>
      </c>
      <c r="CA6" s="31" t="str" cm="1">
        <f t="array" ref="CA6">_xlfn._xlws.SORT(_xlfn._xlws.FILTER($C$5:$C$205,$B$5:$B$205=CA$5))</f>
        <v>Conakry</v>
      </c>
      <c r="CB6" s="31" t="str" cm="1">
        <f t="array" ref="CB6">_xlfn._xlws.SORT(_xlfn._xlws.FILTER($C$5:$C$205,$B$5:$B$205=CB$5))</f>
        <v>Bissau</v>
      </c>
      <c r="CC6" s="31" t="str" cm="1">
        <f t="array" ref="CC6">_xlfn._xlws.SORT(_xlfn._xlws.FILTER($C$5:$C$205,$B$5:$B$205=CC$5))</f>
        <v>Georgetown</v>
      </c>
      <c r="CD6" s="31" t="str" cm="1">
        <f t="array" ref="CD6">_xlfn._xlws.SORT(_xlfn._xlws.FILTER($C$5:$C$205,$B$5:$B$205=CD$5))</f>
        <v>Port-au-Prince</v>
      </c>
      <c r="CE6" s="31" t="str" cm="1">
        <f t="array" ref="CE6">_xlfn._xlws.SORT(_xlfn._xlws.FILTER($C$5:$C$205,$B$5:$B$205=CE$5))</f>
        <v>Tegucigalpa</v>
      </c>
      <c r="CF6" s="31" t="str" cm="1">
        <f t="array" ref="CF6">_xlfn._xlws.SORT(_xlfn._xlws.FILTER($C$5:$C$205,$B$5:$B$205=CF$5))</f>
        <v>Budapest</v>
      </c>
      <c r="CG6" s="31" t="str" cm="1">
        <f t="array" ref="CG6">_xlfn._xlws.SORT(_xlfn._xlws.FILTER($C$5:$C$205,$B$5:$B$205=CG$5))</f>
        <v>Reykjavik</v>
      </c>
      <c r="CH6" s="31" t="str" cm="1">
        <f t="array" ref="CH6:CH7">_xlfn._xlws.SORT(_xlfn._xlws.FILTER($C$5:$C$205,$B$5:$B$205=CH$5))</f>
        <v>Mumbai</v>
      </c>
      <c r="CI6" s="31" t="str" cm="1">
        <f t="array" ref="CI6">_xlfn._xlws.SORT(_xlfn._xlws.FILTER($C$5:$C$205,$B$5:$B$205=CI$5))</f>
        <v>Jakarta</v>
      </c>
      <c r="CJ6" s="31" t="str" cm="1">
        <f t="array" ref="CJ6">_xlfn._xlws.SORT(_xlfn._xlws.FILTER($C$5:$C$205,$B$5:$B$205=CJ$5))</f>
        <v>Tehran</v>
      </c>
      <c r="CK6" s="31" t="str" cm="1">
        <f t="array" ref="CK6">_xlfn._xlws.SORT(_xlfn._xlws.FILTER($C$5:$C$205,$B$5:$B$205=CK$5))</f>
        <v>Baghdad</v>
      </c>
      <c r="CL6" s="31" t="str" cm="1">
        <f t="array" ref="CL6">_xlfn._xlws.SORT(_xlfn._xlws.FILTER($C$5:$C$205,$B$5:$B$205=CL$5))</f>
        <v>Dublin</v>
      </c>
      <c r="CM6" s="31" t="str" cm="1">
        <f t="array" ref="CM6">_xlfn._xlws.SORT(_xlfn._xlws.FILTER($C$5:$C$205,$B$5:$B$205=CM$5))</f>
        <v>Jerusalem</v>
      </c>
      <c r="CN6" s="31" t="str" cm="1">
        <f t="array" ref="CN6:CN7">_xlfn._xlws.SORT(_xlfn._xlws.FILTER($C$5:$C$205,$B$5:$B$205=CN$5))</f>
        <v>Milan</v>
      </c>
      <c r="CO6" s="31" t="str" cm="1">
        <f t="array" ref="CO6">_xlfn._xlws.SORT(_xlfn._xlws.FILTER($C$5:$C$205,$B$5:$B$205=CO$5))</f>
        <v>Kingston</v>
      </c>
      <c r="CP6" s="31" t="str" cm="1">
        <f t="array" ref="CP6">_xlfn._xlws.SORT(_xlfn._xlws.FILTER($C$5:$C$205,$B$5:$B$205=CP$5))</f>
        <v>Tokyo</v>
      </c>
      <c r="CQ6" s="31" t="str" cm="1">
        <f t="array" ref="CQ6">_xlfn._xlws.SORT(_xlfn._xlws.FILTER($C$5:$C$205,$B$5:$B$205=CQ$5))</f>
        <v>Amman</v>
      </c>
      <c r="CR6" s="31" t="str" cm="1">
        <f t="array" ref="CR6">_xlfn._xlws.SORT(_xlfn._xlws.FILTER($C$5:$C$205,$B$5:$B$205=CR$5))</f>
        <v>Astana</v>
      </c>
      <c r="CS6" s="31" t="str" cm="1">
        <f t="array" ref="CS6">_xlfn._xlws.SORT(_xlfn._xlws.FILTER($C$5:$C$205,$B$5:$B$205=CS$5))</f>
        <v>Nairobi</v>
      </c>
      <c r="CT6" s="31" t="str" cm="1">
        <f t="array" ref="CT6">_xlfn._xlws.SORT(_xlfn._xlws.FILTER($C$5:$C$205,$B$5:$B$205=CT$5))</f>
        <v>Kuwait</v>
      </c>
      <c r="CU6" s="31" t="str" cm="1">
        <f t="array" ref="CU6">_xlfn._xlws.SORT(_xlfn._xlws.FILTER($C$5:$C$205,$B$5:$B$205=CU$5))</f>
        <v>Bishkek</v>
      </c>
      <c r="CV6" s="31" t="str" cm="1">
        <f t="array" ref="CV6">_xlfn._xlws.SORT(_xlfn._xlws.FILTER($C$5:$C$205,$B$5:$B$205=CV$5))</f>
        <v>Vientiane</v>
      </c>
      <c r="CW6" s="31" t="str" cm="1">
        <f t="array" ref="CW6">_xlfn._xlws.SORT(_xlfn._xlws.FILTER($C$5:$C$205,$B$5:$B$205=CW$5))</f>
        <v>Riga</v>
      </c>
      <c r="CX6" s="31" t="str" cm="1">
        <f t="array" ref="CX6">_xlfn._xlws.SORT(_xlfn._xlws.FILTER($C$5:$C$205,$B$5:$B$205=CX$5))</f>
        <v>Beirut</v>
      </c>
      <c r="CY6" s="31" t="str" cm="1">
        <f t="array" ref="CY6">_xlfn._xlws.SORT(_xlfn._xlws.FILTER($C$5:$C$205,$B$5:$B$205=CY$5))</f>
        <v>Maseru</v>
      </c>
      <c r="CZ6" s="31" t="str" cm="1">
        <f t="array" ref="CZ6">_xlfn._xlws.SORT(_xlfn._xlws.FILTER($C$5:$C$205,$B$5:$B$205=CZ$5))</f>
        <v>Monrovia</v>
      </c>
      <c r="DA6" s="31" t="str" cm="1">
        <f t="array" ref="DA6">_xlfn._xlws.SORT(_xlfn._xlws.FILTER($C$5:$C$205,$B$5:$B$205=DA$5))</f>
        <v>Tripoli</v>
      </c>
      <c r="DB6" s="31" t="str" cm="1">
        <f t="array" ref="DB6">_xlfn._xlws.SORT(_xlfn._xlws.FILTER($C$5:$C$205,$B$5:$B$205=DB$5))</f>
        <v>Vaduz</v>
      </c>
      <c r="DC6" s="31" t="str" cm="1">
        <f t="array" ref="DC6">_xlfn._xlws.SORT(_xlfn._xlws.FILTER($C$5:$C$205,$B$5:$B$205=DC$5))</f>
        <v>Vilnius</v>
      </c>
      <c r="DD6" s="31" t="str" cm="1">
        <f t="array" ref="DD6">_xlfn._xlws.SORT(_xlfn._xlws.FILTER($C$5:$C$205,$B$5:$B$205=DD$5))</f>
        <v>Luxembourg</v>
      </c>
      <c r="DE6" s="31" t="str" cm="1">
        <f t="array" ref="DE6">_xlfn._xlws.SORT(_xlfn._xlws.FILTER($C$5:$C$205,$B$5:$B$205=DE$5))</f>
        <v>Antananarivo</v>
      </c>
      <c r="DF6" s="31" t="str" cm="1">
        <f t="array" ref="DF6">_xlfn._xlws.SORT(_xlfn._xlws.FILTER($C$5:$C$205,$B$5:$B$205=DF$5))</f>
        <v>Lilongwe</v>
      </c>
      <c r="DG6" s="31" t="str" cm="1">
        <f t="array" ref="DG6">_xlfn._xlws.SORT(_xlfn._xlws.FILTER($C$5:$C$205,$B$5:$B$205=DG$5))</f>
        <v>Kuala Lumpur</v>
      </c>
      <c r="DH6" s="31" t="str" cm="1">
        <f t="array" ref="DH6">_xlfn._xlws.SORT(_xlfn._xlws.FILTER($C$5:$C$205,$B$5:$B$205=DH$5))</f>
        <v>Male</v>
      </c>
      <c r="DI6" s="31" t="str" cm="1">
        <f t="array" ref="DI6">_xlfn._xlws.SORT(_xlfn._xlws.FILTER($C$5:$C$205,$B$5:$B$205=DI$5))</f>
        <v>Bamako</v>
      </c>
      <c r="DJ6" s="31" t="str" cm="1">
        <f t="array" ref="DJ6">_xlfn._xlws.SORT(_xlfn._xlws.FILTER($C$5:$C$205,$B$5:$B$205=DJ$5))</f>
        <v>Valletta</v>
      </c>
      <c r="DK6" s="31" t="str" cm="1">
        <f t="array" ref="DK6">_xlfn._xlws.SORT(_xlfn._xlws.FILTER($C$5:$C$205,$B$5:$B$205=DK$5))</f>
        <v>Nouakchott</v>
      </c>
      <c r="DL6" s="31" t="str" cm="1">
        <f t="array" ref="DL6">_xlfn._xlws.SORT(_xlfn._xlws.FILTER($C$5:$C$205,$B$5:$B$205=DL$5))</f>
        <v>Port Louis</v>
      </c>
      <c r="DM6" s="31" t="str" cm="1">
        <f t="array" ref="DM6">_xlfn._xlws.SORT(_xlfn._xlws.FILTER($C$5:$C$205,$B$5:$B$205=DM$5))</f>
        <v>Mexico</v>
      </c>
      <c r="DN6" s="31" t="str" cm="1">
        <f t="array" ref="DN6">_xlfn._xlws.SORT(_xlfn._xlws.FILTER($C$5:$C$205,$B$5:$B$205=DN$5))</f>
        <v xml:space="preserve">Chisinau </v>
      </c>
      <c r="DO6" s="31" t="str" cm="1">
        <f t="array" ref="DO6">_xlfn._xlws.SORT(_xlfn._xlws.FILTER($C$5:$C$205,$B$5:$B$205=DO$5))</f>
        <v>Monaco</v>
      </c>
      <c r="DP6" s="31" t="str" cm="1">
        <f t="array" ref="DP6">_xlfn._xlws.SORT(_xlfn._xlws.FILTER($C$5:$C$205,$B$5:$B$205=DP$5))</f>
        <v xml:space="preserve">Ulaanbaatar </v>
      </c>
      <c r="DQ6" s="31" t="str" cm="1">
        <f t="array" ref="DQ6">_xlfn._xlws.SORT(_xlfn._xlws.FILTER($C$5:$C$205,$B$5:$B$205=DQ$5))</f>
        <v>Podgorica</v>
      </c>
      <c r="DR6" s="31" t="str" cm="1">
        <f t="array" ref="DR6">_xlfn._xlws.SORT(_xlfn._xlws.FILTER($C$5:$C$205,$B$5:$B$205=DR$5))</f>
        <v>Rabat</v>
      </c>
      <c r="DS6" s="31" t="str" cm="1">
        <f t="array" ref="DS6">_xlfn._xlws.SORT(_xlfn._xlws.FILTER($C$5:$C$205,$B$5:$B$205=DS$5))</f>
        <v>Maputo</v>
      </c>
      <c r="DT6" s="31" t="str" cm="1">
        <f t="array" ref="DT6">_xlfn._xlws.SORT(_xlfn._xlws.FILTER($C$5:$C$205,$B$5:$B$205=DT$5))</f>
        <v>Yangon</v>
      </c>
      <c r="DU6" s="31" t="str" cm="1">
        <f t="array" ref="DU6">_xlfn._xlws.SORT(_xlfn._xlws.FILTER($C$5:$C$205,$B$5:$B$205=DU$5))</f>
        <v>Windhoek</v>
      </c>
      <c r="DV6" s="31" t="str" cm="1">
        <f t="array" ref="DV6">_xlfn._xlws.SORT(_xlfn._xlws.FILTER($C$5:$C$205,$B$5:$B$205=DV$5))</f>
        <v>Kathmandu</v>
      </c>
      <c r="DW6" s="31" t="str" cm="1">
        <f t="array" ref="DW6">_xlfn._xlws.SORT(_xlfn._xlws.FILTER($C$5:$C$205,$B$5:$B$205=DW$5))</f>
        <v>Amsterdam</v>
      </c>
      <c r="DX6" s="31" t="str" cm="1">
        <f t="array" ref="DX6:DX7">_xlfn._xlws.SORT(_xlfn._xlws.FILTER($C$5:$C$205,$B$5:$B$205=DX$5))</f>
        <v>Auckland</v>
      </c>
      <c r="DY6" s="31" t="str" cm="1">
        <f t="array" ref="DY6">_xlfn._xlws.SORT(_xlfn._xlws.FILTER($C$5:$C$205,$B$5:$B$205=DY$5))</f>
        <v>Managua</v>
      </c>
      <c r="DZ6" s="31" t="str" cm="1">
        <f t="array" ref="DZ6">_xlfn._xlws.SORT(_xlfn._xlws.FILTER($C$5:$C$205,$B$5:$B$205=DZ$5))</f>
        <v>Niamey</v>
      </c>
      <c r="EA6" s="31" t="str" cm="1">
        <f t="array" ref="EA6">_xlfn._xlws.SORT(_xlfn._xlws.FILTER($C$5:$C$205,$B$5:$B$205=EA$5))</f>
        <v>Abuja</v>
      </c>
      <c r="EB6" s="31" t="str" cm="1">
        <f t="array" ref="EB6">_xlfn._xlws.SORT(_xlfn._xlws.FILTER($C$5:$C$205,$B$5:$B$205=EB$5))</f>
        <v>Pyongyang</v>
      </c>
      <c r="EC6" s="31" t="str" cm="1">
        <f t="array" ref="EC6">_xlfn._xlws.SORT(_xlfn._xlws.FILTER($C$5:$C$205,$B$5:$B$205=EC$5))</f>
        <v>Skopje</v>
      </c>
      <c r="ED6" s="31" t="str" cm="1">
        <f t="array" ref="ED6">_xlfn._xlws.SORT(_xlfn._xlws.FILTER($C$5:$C$205,$B$5:$B$205=ED$5))</f>
        <v>Oslo</v>
      </c>
      <c r="EE6" s="31" t="str" cm="1">
        <f t="array" ref="EE6">_xlfn._xlws.SORT(_xlfn._xlws.FILTER($C$5:$C$205,$B$5:$B$205=EE$5))</f>
        <v>Masqat</v>
      </c>
      <c r="EF6" s="31" t="str" cm="1">
        <f t="array" ref="EF6:EF7">_xlfn._xlws.SORT(_xlfn._xlws.FILTER($C$5:$C$205,$B$5:$B$205=EF$5))</f>
        <v>Islamabad</v>
      </c>
      <c r="EG6" s="31" t="str" cm="1">
        <f t="array" ref="EG6">_xlfn._xlws.SORT(_xlfn._xlws.FILTER($C$5:$C$205,$B$5:$B$205=EG$5))</f>
        <v>Panama</v>
      </c>
      <c r="EH6" s="31" t="str" cm="1">
        <f t="array" ref="EH6">_xlfn._xlws.SORT(_xlfn._xlws.FILTER($C$5:$C$205,$B$5:$B$205=EH$5))</f>
        <v>Asuncion</v>
      </c>
      <c r="EI6" s="31" t="str" cm="1">
        <f t="array" ref="EI6">_xlfn._xlws.SORT(_xlfn._xlws.FILTER($C$5:$C$205,$B$5:$B$205=EI$5))</f>
        <v>Lima</v>
      </c>
      <c r="EJ6" s="31" t="str" cm="1">
        <f t="array" ref="EJ6">_xlfn._xlws.SORT(_xlfn._xlws.FILTER($C$5:$C$205,$B$5:$B$205=EJ$5))</f>
        <v>Manila</v>
      </c>
      <c r="EK6" s="31" t="str" cm="1">
        <f t="array" ref="EK6">_xlfn._xlws.SORT(_xlfn._xlws.FILTER($C$5:$C$205,$B$5:$B$205=EK$5))</f>
        <v>Warsaw</v>
      </c>
      <c r="EL6" s="31" t="str" cm="1">
        <f t="array" ref="EL6">_xlfn._xlws.SORT(_xlfn._xlws.FILTER($C$5:$C$205,$B$5:$B$205=EL$5))</f>
        <v>Lisbon</v>
      </c>
      <c r="EM6" s="31" t="str" cm="1">
        <f t="array" ref="EM6">_xlfn._xlws.SORT(_xlfn._xlws.FILTER($C$5:$C$205,$B$5:$B$205=EM$5))</f>
        <v>Doha</v>
      </c>
      <c r="EN6" s="31" t="str" cm="1">
        <f t="array" ref="EN6">_xlfn._xlws.SORT(_xlfn._xlws.FILTER($C$5:$C$205,$B$5:$B$205=EN$5))</f>
        <v>Bucharest</v>
      </c>
      <c r="EO6" s="31" t="str" cm="1">
        <f t="array" ref="EO6">_xlfn._xlws.SORT(_xlfn._xlws.FILTER($C$5:$C$205,$B$5:$B$205=EO$5))</f>
        <v>Moscow</v>
      </c>
      <c r="EP6" s="31" t="str" cm="1">
        <f t="array" ref="EP6">_xlfn._xlws.SORT(_xlfn._xlws.FILTER($C$5:$C$205,$B$5:$B$205=EP$5))</f>
        <v>Kigali</v>
      </c>
      <c r="EQ6" s="31" t="str" cm="1">
        <f t="array" ref="EQ6">_xlfn._xlws.SORT(_xlfn._xlws.FILTER($C$5:$C$205,$B$5:$B$205=EQ$5))</f>
        <v>Basseterre</v>
      </c>
      <c r="ER6" s="31" t="str" cm="1">
        <f t="array" ref="ER6">_xlfn._xlws.SORT(_xlfn._xlws.FILTER($C$5:$C$205,$B$5:$B$205=ER$5))</f>
        <v>Castries</v>
      </c>
      <c r="ES6" s="31" t="str" cm="1">
        <f t="array" ref="ES6">_xlfn._xlws.SORT(_xlfn._xlws.FILTER($C$5:$C$205,$B$5:$B$205=ES$5))</f>
        <v>Kingstown</v>
      </c>
      <c r="ET6" s="31" t="str" cm="1">
        <f t="array" ref="ET6">_xlfn._xlws.SORT(_xlfn._xlws.FILTER($C$5:$C$205,$B$5:$B$205=ET$5))</f>
        <v>San Marino</v>
      </c>
      <c r="EU6" s="31" t="str" cm="1">
        <f t="array" ref="EU6">_xlfn._xlws.SORT(_xlfn._xlws.FILTER($C$5:$C$205,$B$5:$B$205=EU$5))</f>
        <v>Sao Tome</v>
      </c>
      <c r="EV6" s="31" t="str" cm="1">
        <f t="array" ref="EV6">_xlfn._xlws.SORT(_xlfn._xlws.FILTER($C$5:$C$205,$B$5:$B$205=EV$5))</f>
        <v>Riyadh</v>
      </c>
      <c r="EW6" s="31" t="str" cm="1">
        <f t="array" ref="EW6">_xlfn._xlws.SORT(_xlfn._xlws.FILTER($C$5:$C$205,$B$5:$B$205=EW$5))</f>
        <v>Dakar</v>
      </c>
      <c r="EX6" s="31" t="str" cm="1">
        <f t="array" ref="EX6">_xlfn._xlws.SORT(_xlfn._xlws.FILTER($C$5:$C$205,$B$5:$B$205=EX$5))</f>
        <v>Belgrade</v>
      </c>
      <c r="EY6" s="31" t="str" cm="1">
        <f t="array" ref="EY6">_xlfn._xlws.SORT(_xlfn._xlws.FILTER($C$5:$C$205,$B$5:$B$205=EY$5))</f>
        <v>Freetown</v>
      </c>
      <c r="EZ6" s="31" t="str" cm="1">
        <f t="array" ref="EZ6">_xlfn._xlws.SORT(_xlfn._xlws.FILTER($C$5:$C$205,$B$5:$B$205=EZ$5))</f>
        <v>Singapore</v>
      </c>
      <c r="FA6" s="31" t="str" cm="1">
        <f t="array" ref="FA6">_xlfn._xlws.SORT(_xlfn._xlws.FILTER($C$5:$C$205,$B$5:$B$205=FA$5))</f>
        <v>Bratislava</v>
      </c>
      <c r="FB6" s="31" t="str" cm="1">
        <f t="array" ref="FB6">_xlfn._xlws.SORT(_xlfn._xlws.FILTER($C$5:$C$205,$B$5:$B$205=FB$5))</f>
        <v>Ljubljana</v>
      </c>
      <c r="FC6" s="31" t="str" cm="1">
        <f t="array" ref="FC6">_xlfn._xlws.SORT(_xlfn._xlws.FILTER($C$5:$C$205,$B$5:$B$205=FC$5))</f>
        <v>Mogadishu</v>
      </c>
      <c r="FD6" s="31" t="str" cm="1">
        <f t="array" ref="FD6:FD7">_xlfn._xlws.SORT(_xlfn._xlws.FILTER($C$5:$C$205,$B$5:$B$205=FD$5))</f>
        <v>Johannesburg</v>
      </c>
      <c r="FE6" s="31" t="str" cm="1">
        <f t="array" ref="FE6">_xlfn._xlws.SORT(_xlfn._xlws.FILTER($C$5:$C$205,$B$5:$B$205=FE$5))</f>
        <v>Seoul</v>
      </c>
      <c r="FF6" s="31" t="str" cm="1">
        <f t="array" ref="FF6">_xlfn._xlws.SORT(_xlfn._xlws.FILTER($C$5:$C$205,$B$5:$B$205=FF$5))</f>
        <v>Juba</v>
      </c>
      <c r="FG6" s="31" t="str" cm="1">
        <f t="array" ref="FG6:FG7">_xlfn._xlws.SORT(_xlfn._xlws.FILTER($C$5:$C$205,$B$5:$B$205=FG$5))</f>
        <v>Barcelona</v>
      </c>
      <c r="FH6" s="31" t="str" cm="1">
        <f t="array" ref="FH6">_xlfn._xlws.SORT(_xlfn._xlws.FILTER($C$5:$C$205,$B$5:$B$205=FH$5))</f>
        <v>Colombo</v>
      </c>
      <c r="FI6" s="31" t="str" cm="1">
        <f t="array" ref="FI6">_xlfn._xlws.SORT(_xlfn._xlws.FILTER($C$5:$C$205,$B$5:$B$205=FI$5))</f>
        <v>Khartoum</v>
      </c>
      <c r="FJ6" s="31" t="str" cm="1">
        <f t="array" ref="FJ6">_xlfn._xlws.SORT(_xlfn._xlws.FILTER($C$5:$C$205,$B$5:$B$205=FJ$5))</f>
        <v>Paramaribo</v>
      </c>
      <c r="FK6" s="31" t="str" cm="1">
        <f t="array" ref="FK6">_xlfn._xlws.SORT(_xlfn._xlws.FILTER($C$5:$C$205,$B$5:$B$205=FK$5))</f>
        <v>Stockholm</v>
      </c>
      <c r="FL6" s="31" t="str" cm="1">
        <f t="array" ref="FL6:FL7">_xlfn._xlws.SORT(_xlfn._xlws.FILTER($C$5:$C$205,$B$5:$B$205=FL$5))</f>
        <v>Bern</v>
      </c>
      <c r="FM6" s="31" t="str" cm="1">
        <f t="array" ref="FM6">_xlfn._xlws.SORT(_xlfn._xlws.FILTER($C$5:$C$205,$B$5:$B$205=FM$5))</f>
        <v>Damascus</v>
      </c>
      <c r="FN6" s="31" t="str" cm="1">
        <f t="array" ref="FN6">_xlfn._xlws.SORT(_xlfn._xlws.FILTER($C$5:$C$205,$B$5:$B$205=FN$5))</f>
        <v>Taipei City</v>
      </c>
      <c r="FO6" s="31" t="str" cm="1">
        <f t="array" ref="FO6">_xlfn._xlws.SORT(_xlfn._xlws.FILTER($C$5:$C$205,$B$5:$B$205=FO$5))</f>
        <v>Dushanbe</v>
      </c>
      <c r="FP6" s="31" t="str" cm="1">
        <f t="array" ref="FP6">_xlfn._xlws.SORT(_xlfn._xlws.FILTER($C$5:$C$205,$B$5:$B$205=FP$5))</f>
        <v>Dar es Salaam</v>
      </c>
      <c r="FQ6" s="31" t="str" cm="1">
        <f t="array" ref="FQ6">_xlfn._xlws.SORT(_xlfn._xlws.FILTER($C$5:$C$205,$B$5:$B$205=FQ$5))</f>
        <v>Bangkok</v>
      </c>
      <c r="FR6" s="31" t="str" cm="1">
        <f t="array" ref="FR6">_xlfn._xlws.SORT(_xlfn._xlws.FILTER($C$5:$C$205,$B$5:$B$205=FR$5))</f>
        <v>Dili</v>
      </c>
      <c r="FS6" s="31" t="str" cm="1">
        <f t="array" ref="FS6">_xlfn._xlws.SORT(_xlfn._xlws.FILTER($C$5:$C$205,$B$5:$B$205=FS$5))</f>
        <v>Lome</v>
      </c>
      <c r="FT6" s="31" t="str" cm="1">
        <f t="array" ref="FT6">_xlfn._xlws.SORT(_xlfn._xlws.FILTER($C$5:$C$205,$B$5:$B$205=FT$5))</f>
        <v>Port of Spain</v>
      </c>
      <c r="FU6" s="31" t="str" cm="1">
        <f t="array" ref="FU6">_xlfn._xlws.SORT(_xlfn._xlws.FILTER($C$5:$C$205,$B$5:$B$205=FU$5))</f>
        <v>Tunis</v>
      </c>
      <c r="FV6" s="31" t="str" cm="1">
        <f t="array" ref="FV6">_xlfn._xlws.SORT(_xlfn._xlws.FILTER($C$5:$C$205,$B$5:$B$205=FV$5))</f>
        <v>Ankara</v>
      </c>
      <c r="FW6" s="31" t="str" cm="1">
        <f t="array" ref="FW6">_xlfn._xlws.SORT(_xlfn._xlws.FILTER($C$5:$C$205,$B$5:$B$205=FW$5))</f>
        <v>Ashgabat</v>
      </c>
      <c r="FX6" s="31" t="str" cm="1">
        <f t="array" ref="FX6">_xlfn._xlws.SORT(_xlfn._xlws.FILTER($C$5:$C$205,$B$5:$B$205=FX$5))</f>
        <v>Kampala</v>
      </c>
      <c r="FY6" s="31" t="str" cm="1">
        <f t="array" ref="FY6">_xlfn._xlws.SORT(_xlfn._xlws.FILTER($C$5:$C$205,$B$5:$B$205=FY$5))</f>
        <v>Kiev</v>
      </c>
      <c r="FZ6" s="31" t="str" cm="1">
        <f t="array" ref="FZ6">_xlfn._xlws.SORT(_xlfn._xlws.FILTER($C$5:$C$205,$B$5:$B$205=FZ$5))</f>
        <v>Abu Dhabi</v>
      </c>
      <c r="GA6" s="31" t="str" cm="1">
        <f t="array" ref="GA6">_xlfn._xlws.SORT(_xlfn._xlws.FILTER($C$5:$C$205,$B$5:$B$205=GA$5))</f>
        <v>London</v>
      </c>
      <c r="GB6" s="31" t="str" cm="1">
        <f t="array" ref="GB6:GB9">_xlfn._xlws.SORT(_xlfn._xlws.FILTER($C$5:$C$205,$B$5:$B$205=GB$5))</f>
        <v>Boston</v>
      </c>
      <c r="GC6" s="31" t="str" cm="1">
        <f t="array" ref="GC6">_xlfn._xlws.SORT(_xlfn._xlws.FILTER($C$5:$C$205,$B$5:$B$205=GC$5))</f>
        <v>Montevideo</v>
      </c>
      <c r="GD6" s="31" t="str" cm="1">
        <f t="array" ref="GD6">_xlfn._xlws.SORT(_xlfn._xlws.FILTER($C$5:$C$205,$B$5:$B$205=GD$5))</f>
        <v>Tashkent</v>
      </c>
      <c r="GE6" s="31" t="str" cm="1">
        <f t="array" ref="GE6">_xlfn._xlws.SORT(_xlfn._xlws.FILTER($C$5:$C$205,$B$5:$B$205=GE$5))</f>
        <v>Caracas</v>
      </c>
      <c r="GF6" s="31" t="str" cm="1">
        <f t="array" ref="GF6:GF7">_xlfn._xlws.SORT(_xlfn._xlws.FILTER($C$5:$C$205,$B$5:$B$205=GF$5))</f>
        <v>Hanoi</v>
      </c>
      <c r="GG6" s="31" t="str" cm="1">
        <f t="array" ref="GG6">_xlfn._xlws.SORT(_xlfn._xlws.FILTER($C$5:$C$205,$B$5:$B$205=GG$5))</f>
        <v>Sanaa</v>
      </c>
      <c r="GH6" s="31" t="str" cm="1">
        <f t="array" ref="GH6">_xlfn._xlws.SORT(_xlfn._xlws.FILTER($C$5:$C$205,$B$5:$B$205=GH$5))</f>
        <v>Lusaka</v>
      </c>
      <c r="GI6" s="31" t="str" cm="1">
        <f t="array" ref="GI6">_xlfn._xlws.SORT(_xlfn._xlws.FILTER($C$5:$C$205,$B$5:$B$205=GI$5))</f>
        <v>Harare</v>
      </c>
    </row>
    <row r="7" spans="1:191" x14ac:dyDescent="0.65">
      <c r="A7" s="32"/>
      <c r="B7" s="32" t="s">
        <v>5</v>
      </c>
      <c r="C7" s="32" t="s">
        <v>419</v>
      </c>
      <c r="D7" s="32" t="str">
        <f t="shared" si="0"/>
        <v>Switzerland</v>
      </c>
      <c r="E7" s="64">
        <f>INDEX('Hotel Emissions'!$G:$G,MATCH(D7,'Hotel Emissions'!$C:$C,0))</f>
        <v>6.4944922861504804</v>
      </c>
      <c r="F7" s="64">
        <f>IF(INDEX('Hotel Emissions'!$O:$O,MATCH(D7,'Hotel Emissions'!$C:$C,0))="",INDEX('Hotel Emissions'!$T:$T,MATCH(D7,'Hotel Emissions'!$C:$C,0)),INDEX('Hotel Emissions'!$O:$O,MATCH(D7,'Hotel Emissions'!$C:$C,0)))</f>
        <v>3.9154587277794062</v>
      </c>
      <c r="G7" s="64">
        <f>IF(INDEX('Hotel Emissions'!$X:$X,MATCH(D7,'Hotel Emissions'!$C:$C,0))="",INDEX('Hotel Emissions'!$AC:$AC,MATCH(D7,'Hotel Emissions'!$C:$C,0)),INDEX('Hotel Emissions'!$X:$X,MATCH(D7,'Hotel Emissions'!$C:$C,0)))</f>
        <v>6.9640031228488679</v>
      </c>
      <c r="H7" s="64">
        <f>IF(INDEX('Hotel Emissions'!AG:$AG,MATCH(D7,'Hotel Emissions'!$C:$C,0))="",INDEX('Hotel Emissions'!$AL:$AL,MATCH(D7,'Hotel Emissions'!$C:$C,0)),INDEX('Hotel Emissions'!$AG:$AG,MATCH(D7,'Hotel Emissions'!$C:$C,0)))</f>
        <v>16.819133631902631</v>
      </c>
      <c r="I7" s="32" t="s">
        <v>392</v>
      </c>
      <c r="J7" s="32">
        <v>3</v>
      </c>
      <c r="S7" s="31" t="str">
        <v>Sydney</v>
      </c>
      <c r="AH7" s="31" t="str">
        <v>Sao Paulo</v>
      </c>
      <c r="AO7" s="31" t="str">
        <v>Yaounde</v>
      </c>
      <c r="AP7" s="31" t="str">
        <v>Toronto</v>
      </c>
      <c r="AT7" s="31" t="str">
        <v>Hong Kong</v>
      </c>
      <c r="AW7" s="31" t="str">
        <v>Kinshasa</v>
      </c>
      <c r="BV7" s="31" t="str">
        <v>Frankfurt</v>
      </c>
      <c r="CH7" s="31" t="str">
        <v>New Delhi</v>
      </c>
      <c r="CN7" s="31" t="str">
        <v>Rome</v>
      </c>
      <c r="DX7" s="31" t="str">
        <v>Wellington</v>
      </c>
      <c r="EF7" s="31" t="str">
        <v>Karachi</v>
      </c>
      <c r="FD7" s="31" t="str">
        <v>Pretoria</v>
      </c>
      <c r="FG7" s="31" t="str">
        <v>Madrid</v>
      </c>
      <c r="FL7" s="31" t="str">
        <v>Zurich</v>
      </c>
      <c r="GB7" s="31" t="str">
        <v>Los Angeles</v>
      </c>
      <c r="GF7" s="31" t="str">
        <v>Ho Chi Minh City</v>
      </c>
    </row>
    <row r="8" spans="1:191" x14ac:dyDescent="0.65">
      <c r="A8" s="32"/>
      <c r="B8" s="32" t="s">
        <v>6</v>
      </c>
      <c r="C8" s="32" t="s">
        <v>420</v>
      </c>
      <c r="D8" s="32" t="str">
        <f t="shared" si="0"/>
        <v>South Africa</v>
      </c>
      <c r="E8" s="64">
        <f>INDEX('Hotel Emissions'!$G:$G,MATCH(D8,'Hotel Emissions'!$C:$C,0))</f>
        <v>103.55037750960224</v>
      </c>
      <c r="F8" s="64">
        <f>IF(INDEX('Hotel Emissions'!$O:$O,MATCH(D8,'Hotel Emissions'!$C:$C,0))="",INDEX('Hotel Emissions'!$T:$T,MATCH(D8,'Hotel Emissions'!$C:$C,0)),INDEX('Hotel Emissions'!$O:$O,MATCH(D8,'Hotel Emissions'!$C:$C,0)))</f>
        <v>16.910410780975194</v>
      </c>
      <c r="G8" s="64">
        <f>IF(INDEX('Hotel Emissions'!$X:$X,MATCH(D8,'Hotel Emissions'!$C:$C,0))="",INDEX('Hotel Emissions'!$AC:$AC,MATCH(D8,'Hotel Emissions'!$C:$C,0)),INDEX('Hotel Emissions'!$X:$X,MATCH(D8,'Hotel Emissions'!$C:$C,0)))</f>
        <v>66.543957384996915</v>
      </c>
      <c r="H8" s="64">
        <f>IF(INDEX('Hotel Emissions'!AG:$AG,MATCH(D8,'Hotel Emissions'!$C:$C,0))="",INDEX('Hotel Emissions'!$AL:$AL,MATCH(D8,'Hotel Emissions'!$C:$C,0)),INDEX('Hotel Emissions'!$AG:$AG,MATCH(D8,'Hotel Emissions'!$C:$C,0)))</f>
        <v>94.792983435676007</v>
      </c>
      <c r="I8" s="32" t="s">
        <v>344</v>
      </c>
      <c r="J8" s="32">
        <v>4</v>
      </c>
      <c r="AT8" s="31" t="str">
        <v>Macau</v>
      </c>
      <c r="BV8" s="31" t="str">
        <v xml:space="preserve">Munich </v>
      </c>
      <c r="GB8" s="31" t="str">
        <v>New York</v>
      </c>
    </row>
    <row r="9" spans="1:191" x14ac:dyDescent="0.65">
      <c r="A9" s="32"/>
      <c r="B9" s="32" t="s">
        <v>8</v>
      </c>
      <c r="C9" s="32" t="s">
        <v>531</v>
      </c>
      <c r="D9" s="32" t="str">
        <f t="shared" si="0"/>
        <v>Dominican Republic</v>
      </c>
      <c r="E9" s="64">
        <f>INDEX('Hotel Emissions'!$G:$G,MATCH(D9,'Hotel Emissions'!$C:$C,0))</f>
        <v>49.703220941619364</v>
      </c>
      <c r="F9" s="64">
        <f>IF(INDEX('Hotel Emissions'!$O:$O,MATCH(D9,'Hotel Emissions'!$C:$C,0))="",INDEX('Hotel Emissions'!$T:$T,MATCH(D9,'Hotel Emissions'!$C:$C,0)),INDEX('Hotel Emissions'!$O:$O,MATCH(D9,'Hotel Emissions'!$C:$C,0)))</f>
        <v>16.910410780975194</v>
      </c>
      <c r="G9" s="64">
        <f>IF(INDEX('Hotel Emissions'!$X:$X,MATCH(D9,'Hotel Emissions'!$C:$C,0))="",INDEX('Hotel Emissions'!$AC:$AC,MATCH(D9,'Hotel Emissions'!$C:$C,0)),INDEX('Hotel Emissions'!$X:$X,MATCH(D9,'Hotel Emissions'!$C:$C,0)))</f>
        <v>41.238180878421765</v>
      </c>
      <c r="H9" s="64">
        <f>IF(INDEX('Hotel Emissions'!AG:$AG,MATCH(D9,'Hotel Emissions'!$C:$C,0))="",INDEX('Hotel Emissions'!$AL:$AL,MATCH(D9,'Hotel Emissions'!$C:$C,0)),INDEX('Hotel Emissions'!$AG:$AG,MATCH(D9,'Hotel Emissions'!$C:$C,0)))</f>
        <v>94.792983435676007</v>
      </c>
      <c r="I9" s="32" t="s">
        <v>567</v>
      </c>
      <c r="J9" s="32">
        <v>5</v>
      </c>
      <c r="AT9" s="31" t="str">
        <v>Shanghai</v>
      </c>
      <c r="GB9" s="31" t="str">
        <v>Washington</v>
      </c>
    </row>
    <row r="10" spans="1:191" x14ac:dyDescent="0.65">
      <c r="A10" s="32"/>
      <c r="B10" s="32" t="s">
        <v>9</v>
      </c>
      <c r="C10" s="32" t="s">
        <v>421</v>
      </c>
      <c r="D10" s="32" t="str">
        <f t="shared" si="0"/>
        <v>Argentina</v>
      </c>
      <c r="E10" s="64">
        <f>INDEX('Hotel Emissions'!$G:$G,MATCH(D10,'Hotel Emissions'!$C:$C,0))</f>
        <v>47.241980003419165</v>
      </c>
      <c r="F10" s="64">
        <f>IF(INDEX('Hotel Emissions'!$O:$O,MATCH(D10,'Hotel Emissions'!$C:$C,0))="",INDEX('Hotel Emissions'!$T:$T,MATCH(D10,'Hotel Emissions'!$C:$C,0)),INDEX('Hotel Emissions'!$O:$O,MATCH(D10,'Hotel Emissions'!$C:$C,0)))</f>
        <v>18.034723158578732</v>
      </c>
      <c r="G10" s="64">
        <f>IF(INDEX('Hotel Emissions'!$X:$X,MATCH(D10,'Hotel Emissions'!$C:$C,0))="",INDEX('Hotel Emissions'!$AC:$AC,MATCH(D10,'Hotel Emissions'!$C:$C,0)),INDEX('Hotel Emissions'!$X:$X,MATCH(D10,'Hotel Emissions'!$C:$C,0)))</f>
        <v>45.499477255356972</v>
      </c>
      <c r="H10" s="64">
        <f>IF(INDEX('Hotel Emissions'!AG:$AG,MATCH(D10,'Hotel Emissions'!$C:$C,0))="",INDEX('Hotel Emissions'!$AL:$AL,MATCH(D10,'Hotel Emissions'!$C:$C,0)),INDEX('Hotel Emissions'!$AG:$AG,MATCH(D10,'Hotel Emissions'!$C:$C,0)))</f>
        <v>94.792983435676007</v>
      </c>
      <c r="J10" s="31" t="s">
        <v>657</v>
      </c>
    </row>
    <row r="11" spans="1:191" x14ac:dyDescent="0.65">
      <c r="A11" s="32"/>
      <c r="B11" s="32" t="s">
        <v>10</v>
      </c>
      <c r="C11" s="32" t="s">
        <v>422</v>
      </c>
      <c r="D11" s="32" t="str">
        <f t="shared" si="0"/>
        <v>Georgia</v>
      </c>
      <c r="E11" s="64">
        <f>INDEX('Hotel Emissions'!$G:$G,MATCH(D11,'Hotel Emissions'!$C:$C,0))</f>
        <v>28.639820724591097</v>
      </c>
      <c r="F11" s="64">
        <f>IF(INDEX('Hotel Emissions'!$O:$O,MATCH(D11,'Hotel Emissions'!$C:$C,0))="",INDEX('Hotel Emissions'!$T:$T,MATCH(D11,'Hotel Emissions'!$C:$C,0)),INDEX('Hotel Emissions'!$O:$O,MATCH(D11,'Hotel Emissions'!$C:$C,0)))</f>
        <v>16.910410780975194</v>
      </c>
      <c r="G11" s="64">
        <f>IF(INDEX('Hotel Emissions'!$X:$X,MATCH(D11,'Hotel Emissions'!$C:$C,0))="",INDEX('Hotel Emissions'!$AC:$AC,MATCH(D11,'Hotel Emissions'!$C:$C,0)),INDEX('Hotel Emissions'!$X:$X,MATCH(D11,'Hotel Emissions'!$C:$C,0)))</f>
        <v>41.238180878421765</v>
      </c>
      <c r="H11" s="64">
        <f>IF(INDEX('Hotel Emissions'!AG:$AG,MATCH(D11,'Hotel Emissions'!$C:$C,0))="",INDEX('Hotel Emissions'!$AL:$AL,MATCH(D11,'Hotel Emissions'!$C:$C,0)),INDEX('Hotel Emissions'!$AG:$AG,MATCH(D11,'Hotel Emissions'!$C:$C,0)))</f>
        <v>94.792983435676007</v>
      </c>
      <c r="L11" s="31" t="s">
        <v>3</v>
      </c>
      <c r="M11" s="31" t="s">
        <v>4</v>
      </c>
      <c r="N11" s="31" t="s">
        <v>5</v>
      </c>
      <c r="O11" s="31" t="s">
        <v>6</v>
      </c>
      <c r="P11" s="31" t="s">
        <v>8</v>
      </c>
      <c r="Q11" s="31" t="s">
        <v>9</v>
      </c>
      <c r="R11" s="31" t="s">
        <v>10</v>
      </c>
      <c r="S11" s="31" t="s">
        <v>11</v>
      </c>
      <c r="T11" s="31" t="s">
        <v>12</v>
      </c>
      <c r="U11" s="31" t="s">
        <v>13</v>
      </c>
      <c r="V11" s="31" t="s">
        <v>14</v>
      </c>
      <c r="W11" s="31" t="s">
        <v>15</v>
      </c>
      <c r="X11" s="31" t="s">
        <v>16</v>
      </c>
      <c r="Y11" s="31" t="s">
        <v>17</v>
      </c>
      <c r="Z11" s="31" t="s">
        <v>18</v>
      </c>
      <c r="AA11" s="31" t="s">
        <v>19</v>
      </c>
      <c r="AB11" s="31" t="s">
        <v>20</v>
      </c>
      <c r="AC11" s="31" t="s">
        <v>21</v>
      </c>
      <c r="AD11" s="31" t="s">
        <v>22</v>
      </c>
      <c r="AE11" s="31" t="s">
        <v>23</v>
      </c>
      <c r="AF11" s="31" t="s">
        <v>24</v>
      </c>
      <c r="AG11" s="31" t="s">
        <v>25</v>
      </c>
      <c r="AH11" s="31" t="s">
        <v>26</v>
      </c>
      <c r="AI11" s="31" t="s">
        <v>27</v>
      </c>
      <c r="AJ11" s="31" t="s">
        <v>28</v>
      </c>
      <c r="AK11" s="31" t="s">
        <v>29</v>
      </c>
      <c r="AL11" s="31" t="s">
        <v>30</v>
      </c>
      <c r="AM11" s="31" t="s">
        <v>31</v>
      </c>
      <c r="AN11" s="31" t="s">
        <v>32</v>
      </c>
      <c r="AO11" s="31" t="s">
        <v>33</v>
      </c>
      <c r="AP11" s="31" t="s">
        <v>34</v>
      </c>
      <c r="AQ11" s="31" t="s">
        <v>35</v>
      </c>
      <c r="AR11" s="31" t="s">
        <v>36</v>
      </c>
      <c r="AS11" s="31" t="s">
        <v>37</v>
      </c>
      <c r="AT11" s="31" t="s">
        <v>38</v>
      </c>
      <c r="AU11" s="31" t="s">
        <v>39</v>
      </c>
      <c r="AV11" s="31" t="s">
        <v>40</v>
      </c>
      <c r="AW11" s="31" t="s">
        <v>41</v>
      </c>
      <c r="AX11" s="31" t="s">
        <v>42</v>
      </c>
      <c r="AY11" s="31" t="s">
        <v>43</v>
      </c>
      <c r="AZ11" s="31" t="s">
        <v>44</v>
      </c>
      <c r="BA11" s="31" t="s">
        <v>45</v>
      </c>
      <c r="BB11" s="31" t="s">
        <v>46</v>
      </c>
      <c r="BC11" s="31" t="s">
        <v>610</v>
      </c>
      <c r="BD11" s="31" t="s">
        <v>47</v>
      </c>
      <c r="BE11" s="31" t="s">
        <v>48</v>
      </c>
      <c r="BF11" s="31" t="s">
        <v>49</v>
      </c>
      <c r="BG11" s="31" t="s">
        <v>50</v>
      </c>
      <c r="BH11" s="31" t="s">
        <v>51</v>
      </c>
      <c r="BI11" s="31" t="s">
        <v>52</v>
      </c>
      <c r="BJ11" s="31" t="s">
        <v>53</v>
      </c>
      <c r="BK11" s="31" t="s">
        <v>54</v>
      </c>
      <c r="BL11" s="31" t="s">
        <v>55</v>
      </c>
      <c r="BM11" s="31" t="s">
        <v>56</v>
      </c>
      <c r="BN11" s="31" t="s">
        <v>57</v>
      </c>
      <c r="BO11" s="31" t="s">
        <v>58</v>
      </c>
      <c r="BP11" s="31" t="s">
        <v>59</v>
      </c>
      <c r="BQ11" s="31" t="s">
        <v>60</v>
      </c>
      <c r="BR11" s="31" t="s">
        <v>61</v>
      </c>
      <c r="BS11" s="31" t="s">
        <v>62</v>
      </c>
      <c r="BT11" s="31" t="s">
        <v>63</v>
      </c>
      <c r="BU11" s="31" t="s">
        <v>64</v>
      </c>
      <c r="BV11" s="31" t="s">
        <v>65</v>
      </c>
      <c r="BW11" s="31" t="s">
        <v>66</v>
      </c>
      <c r="BX11" s="31" t="s">
        <v>67</v>
      </c>
      <c r="BY11" s="31" t="s">
        <v>68</v>
      </c>
      <c r="BZ11" s="31" t="s">
        <v>69</v>
      </c>
      <c r="CA11" s="31" t="s">
        <v>70</v>
      </c>
      <c r="CB11" s="31" t="s">
        <v>71</v>
      </c>
      <c r="CC11" s="31" t="s">
        <v>72</v>
      </c>
      <c r="CD11" s="31" t="s">
        <v>73</v>
      </c>
      <c r="CE11" s="31" t="s">
        <v>74</v>
      </c>
      <c r="CF11" s="31" t="s">
        <v>76</v>
      </c>
      <c r="CG11" s="31" t="s">
        <v>77</v>
      </c>
      <c r="CH11" s="31" t="s">
        <v>78</v>
      </c>
      <c r="CI11" s="31" t="s">
        <v>79</v>
      </c>
      <c r="CJ11" s="31" t="s">
        <v>80</v>
      </c>
      <c r="CK11" s="31" t="s">
        <v>81</v>
      </c>
      <c r="CL11" s="31" t="s">
        <v>82</v>
      </c>
      <c r="CM11" s="31" t="s">
        <v>83</v>
      </c>
      <c r="CN11" s="31" t="s">
        <v>84</v>
      </c>
      <c r="CO11" s="31" t="s">
        <v>85</v>
      </c>
      <c r="CP11" s="31" t="s">
        <v>86</v>
      </c>
      <c r="CQ11" s="31" t="s">
        <v>87</v>
      </c>
      <c r="CR11" s="31" t="s">
        <v>88</v>
      </c>
      <c r="CS11" s="31" t="s">
        <v>89</v>
      </c>
      <c r="CT11" s="31" t="s">
        <v>90</v>
      </c>
      <c r="CU11" s="31" t="s">
        <v>91</v>
      </c>
      <c r="CV11" s="31" t="s">
        <v>92</v>
      </c>
      <c r="CW11" s="31" t="s">
        <v>93</v>
      </c>
      <c r="CX11" s="31" t="s">
        <v>94</v>
      </c>
      <c r="CY11" s="31" t="s">
        <v>95</v>
      </c>
      <c r="CZ11" s="31" t="s">
        <v>96</v>
      </c>
      <c r="DA11" s="31" t="s">
        <v>97</v>
      </c>
      <c r="DB11" s="31" t="s">
        <v>98</v>
      </c>
      <c r="DC11" s="31" t="s">
        <v>99</v>
      </c>
      <c r="DD11" s="31" t="s">
        <v>100</v>
      </c>
      <c r="DE11" s="31" t="s">
        <v>101</v>
      </c>
      <c r="DF11" s="31" t="s">
        <v>102</v>
      </c>
      <c r="DG11" s="31" t="s">
        <v>103</v>
      </c>
      <c r="DH11" s="31" t="s">
        <v>104</v>
      </c>
      <c r="DI11" s="31" t="s">
        <v>105</v>
      </c>
      <c r="DJ11" s="31" t="s">
        <v>106</v>
      </c>
      <c r="DK11" s="31" t="s">
        <v>107</v>
      </c>
      <c r="DL11" s="31" t="s">
        <v>108</v>
      </c>
      <c r="DM11" s="31" t="s">
        <v>109</v>
      </c>
      <c r="DN11" s="31" t="s">
        <v>110</v>
      </c>
      <c r="DO11" s="31" t="s">
        <v>111</v>
      </c>
      <c r="DP11" s="31" t="s">
        <v>112</v>
      </c>
      <c r="DQ11" s="31" t="s">
        <v>113</v>
      </c>
      <c r="DR11" s="31" t="s">
        <v>114</v>
      </c>
      <c r="DS11" s="31" t="s">
        <v>115</v>
      </c>
      <c r="DT11" s="31" t="s">
        <v>116</v>
      </c>
      <c r="DU11" s="31" t="s">
        <v>117</v>
      </c>
      <c r="DV11" s="31" t="s">
        <v>118</v>
      </c>
      <c r="DW11" s="31" t="s">
        <v>119</v>
      </c>
      <c r="DX11" s="31" t="s">
        <v>120</v>
      </c>
      <c r="DY11" s="31" t="s">
        <v>121</v>
      </c>
      <c r="DZ11" s="31" t="s">
        <v>122</v>
      </c>
      <c r="EA11" s="31" t="s">
        <v>123</v>
      </c>
      <c r="EB11" s="31" t="s">
        <v>124</v>
      </c>
      <c r="EC11" s="31" t="s">
        <v>125</v>
      </c>
      <c r="ED11" s="31" t="s">
        <v>126</v>
      </c>
      <c r="EE11" s="31" t="s">
        <v>127</v>
      </c>
      <c r="EF11" s="31" t="s">
        <v>128</v>
      </c>
      <c r="EG11" s="31" t="s">
        <v>129</v>
      </c>
      <c r="EH11" s="31" t="s">
        <v>130</v>
      </c>
      <c r="EI11" s="31" t="s">
        <v>131</v>
      </c>
      <c r="EJ11" s="31" t="s">
        <v>132</v>
      </c>
      <c r="EK11" s="31" t="s">
        <v>133</v>
      </c>
      <c r="EL11" s="31" t="s">
        <v>134</v>
      </c>
      <c r="EM11" s="31" t="s">
        <v>135</v>
      </c>
      <c r="EN11" s="31" t="s">
        <v>136</v>
      </c>
      <c r="EO11" s="31" t="s">
        <v>137</v>
      </c>
      <c r="EP11" s="31" t="s">
        <v>138</v>
      </c>
      <c r="EQ11" s="31" t="s">
        <v>139</v>
      </c>
      <c r="ER11" s="31" t="s">
        <v>140</v>
      </c>
      <c r="ES11" s="31" t="s">
        <v>141</v>
      </c>
      <c r="ET11" s="31" t="s">
        <v>142</v>
      </c>
      <c r="EU11" s="31" t="s">
        <v>143</v>
      </c>
      <c r="EV11" s="31" t="s">
        <v>144</v>
      </c>
      <c r="EW11" s="31" t="s">
        <v>145</v>
      </c>
      <c r="EX11" s="31" t="s">
        <v>146</v>
      </c>
      <c r="EY11" s="31" t="s">
        <v>147</v>
      </c>
      <c r="EZ11" s="31" t="s">
        <v>148</v>
      </c>
      <c r="FA11" s="31" t="s">
        <v>149</v>
      </c>
      <c r="FB11" s="31" t="s">
        <v>150</v>
      </c>
      <c r="FC11" s="31" t="s">
        <v>151</v>
      </c>
      <c r="FD11" s="31" t="s">
        <v>152</v>
      </c>
      <c r="FE11" s="31" t="s">
        <v>153</v>
      </c>
      <c r="FF11" s="31" t="s">
        <v>154</v>
      </c>
      <c r="FG11" s="31" t="s">
        <v>155</v>
      </c>
      <c r="FH11" s="31" t="s">
        <v>156</v>
      </c>
      <c r="FI11" s="31" t="s">
        <v>157</v>
      </c>
      <c r="FJ11" s="31" t="s">
        <v>158</v>
      </c>
      <c r="FK11" s="31" t="s">
        <v>159</v>
      </c>
      <c r="FL11" s="31" t="s">
        <v>160</v>
      </c>
      <c r="FM11" s="31" t="s">
        <v>161</v>
      </c>
      <c r="FN11" s="31" t="s">
        <v>162</v>
      </c>
      <c r="FO11" s="31" t="s">
        <v>163</v>
      </c>
      <c r="FP11" s="31" t="s">
        <v>164</v>
      </c>
      <c r="FQ11" s="31" t="s">
        <v>165</v>
      </c>
      <c r="FR11" s="31" t="s">
        <v>166</v>
      </c>
      <c r="FS11" s="31" t="s">
        <v>167</v>
      </c>
      <c r="FT11" s="31" t="s">
        <v>168</v>
      </c>
      <c r="FU11" s="31" t="s">
        <v>169</v>
      </c>
      <c r="FV11" s="31" t="s">
        <v>170</v>
      </c>
      <c r="FW11" s="31" t="s">
        <v>171</v>
      </c>
      <c r="FX11" s="31" t="s">
        <v>172</v>
      </c>
      <c r="FY11" s="31" t="s">
        <v>173</v>
      </c>
      <c r="FZ11" s="31" t="s">
        <v>174</v>
      </c>
      <c r="GA11" s="31" t="s">
        <v>175</v>
      </c>
      <c r="GB11" s="31" t="s">
        <v>176</v>
      </c>
      <c r="GC11" s="31" t="s">
        <v>177</v>
      </c>
      <c r="GD11" s="31" t="s">
        <v>178</v>
      </c>
      <c r="GE11" s="31" t="s">
        <v>179</v>
      </c>
      <c r="GF11" s="31" t="s">
        <v>180</v>
      </c>
      <c r="GG11" s="31" t="s">
        <v>181</v>
      </c>
      <c r="GH11" s="31" t="s">
        <v>182</v>
      </c>
      <c r="GI11" s="31" t="s">
        <v>183</v>
      </c>
    </row>
    <row r="12" spans="1:191" x14ac:dyDescent="0.65">
      <c r="A12" s="32"/>
      <c r="B12" s="32" t="s">
        <v>11</v>
      </c>
      <c r="C12" s="32" t="s">
        <v>331</v>
      </c>
      <c r="D12" s="32" t="str">
        <f t="shared" si="0"/>
        <v>Australia</v>
      </c>
      <c r="E12" s="64">
        <f>INDEX('Hotel Emissions'!$G:$G,MATCH(D12,'Hotel Emissions'!$C:$C,0))</f>
        <v>48.758349380213609</v>
      </c>
      <c r="F12" s="64">
        <f>IF(INDEX('Hotel Emissions'!$O:$O,MATCH(D12,'Hotel Emissions'!$C:$C,0))="",INDEX('Hotel Emissions'!$T:$T,MATCH(D12,'Hotel Emissions'!$C:$C,0)),INDEX('Hotel Emissions'!$O:$O,MATCH(D12,'Hotel Emissions'!$C:$C,0)))</f>
        <v>29.652034813746539</v>
      </c>
      <c r="G12" s="64">
        <f>IF(INDEX('Hotel Emissions'!$X:$X,MATCH(D12,'Hotel Emissions'!$C:$C,0))="",INDEX('Hotel Emissions'!$AC:$AC,MATCH(D12,'Hotel Emissions'!$C:$C,0)),INDEX('Hotel Emissions'!$X:$X,MATCH(D12,'Hotel Emissions'!$C:$C,0)))</f>
        <v>44.474918047139411</v>
      </c>
      <c r="H12" s="64">
        <f>IF(INDEX('Hotel Emissions'!AG:$AG,MATCH(D12,'Hotel Emissions'!$C:$C,0))="",INDEX('Hotel Emissions'!$AL:$AL,MATCH(D12,'Hotel Emissions'!$C:$C,0)),INDEX('Hotel Emissions'!$AG:$AG,MATCH(D12,'Hotel Emissions'!$C:$C,0)))</f>
        <v>75.786918960267982</v>
      </c>
      <c r="L12" s="31" t="s">
        <v>417</v>
      </c>
      <c r="M12" s="31" t="s">
        <v>418</v>
      </c>
      <c r="N12" s="31" t="s">
        <v>419</v>
      </c>
      <c r="O12" s="31" t="s">
        <v>420</v>
      </c>
      <c r="P12" s="31" t="s">
        <v>531</v>
      </c>
      <c r="Q12" s="31" t="s">
        <v>421</v>
      </c>
      <c r="R12" s="31" t="s">
        <v>422</v>
      </c>
      <c r="S12" s="31" t="s">
        <v>423</v>
      </c>
      <c r="T12" s="31" t="s">
        <v>335</v>
      </c>
      <c r="U12" s="31" t="s">
        <v>424</v>
      </c>
      <c r="V12" s="31" t="s">
        <v>425</v>
      </c>
      <c r="W12" s="31" t="s">
        <v>317</v>
      </c>
      <c r="X12" s="31" t="s">
        <v>426</v>
      </c>
      <c r="Y12" s="31" t="s">
        <v>427</v>
      </c>
      <c r="Z12" s="31" t="s">
        <v>428</v>
      </c>
      <c r="AA12" s="31" t="s">
        <v>301</v>
      </c>
      <c r="AB12" s="31" t="s">
        <v>429</v>
      </c>
      <c r="AC12" s="31" t="s">
        <v>532</v>
      </c>
      <c r="AD12" s="31" t="s">
        <v>430</v>
      </c>
      <c r="AE12" s="31" t="s">
        <v>554</v>
      </c>
      <c r="AF12" s="31" t="s">
        <v>431</v>
      </c>
      <c r="AG12" s="31" t="s">
        <v>432</v>
      </c>
      <c r="AH12" s="31" t="s">
        <v>555</v>
      </c>
      <c r="AI12" s="31" t="s">
        <v>433</v>
      </c>
      <c r="AJ12" s="31" t="s">
        <v>434</v>
      </c>
      <c r="AK12" s="31" t="s">
        <v>435</v>
      </c>
      <c r="AL12" s="31" t="s">
        <v>533</v>
      </c>
      <c r="AM12" s="31" t="s">
        <v>436</v>
      </c>
      <c r="AN12" s="31" t="s">
        <v>437</v>
      </c>
      <c r="AO12" s="31" t="s">
        <v>556</v>
      </c>
      <c r="AP12" s="31" t="s">
        <v>438</v>
      </c>
      <c r="AQ12" s="31" t="s">
        <v>439</v>
      </c>
      <c r="AR12" s="31" t="s">
        <v>440</v>
      </c>
      <c r="AS12" s="31" t="s">
        <v>327</v>
      </c>
      <c r="AT12" s="31" t="s">
        <v>299</v>
      </c>
      <c r="AU12" s="31" t="s">
        <v>535</v>
      </c>
      <c r="AV12" s="31" t="s">
        <v>441</v>
      </c>
      <c r="AW12" s="31" t="s">
        <v>443</v>
      </c>
      <c r="AX12" s="31" t="s">
        <v>326</v>
      </c>
      <c r="AY12" s="31" t="s">
        <v>546</v>
      </c>
      <c r="AZ12" s="31" t="s">
        <v>444</v>
      </c>
      <c r="BA12" s="31" t="s">
        <v>445</v>
      </c>
      <c r="BB12" s="31" t="s">
        <v>446</v>
      </c>
      <c r="BC12" s="31" t="s">
        <v>323</v>
      </c>
      <c r="BD12" s="31" t="s">
        <v>447</v>
      </c>
      <c r="BE12" s="31" t="s">
        <v>48</v>
      </c>
      <c r="BF12" s="31" t="s">
        <v>448</v>
      </c>
      <c r="BG12" s="31" t="s">
        <v>449</v>
      </c>
      <c r="BH12" s="31" t="s">
        <v>442</v>
      </c>
      <c r="BI12" s="31" t="s">
        <v>450</v>
      </c>
      <c r="BJ12" s="31" t="s">
        <v>304</v>
      </c>
      <c r="BK12" s="31" t="s">
        <v>451</v>
      </c>
      <c r="BL12" s="31" t="s">
        <v>452</v>
      </c>
      <c r="BM12" s="31" t="s">
        <v>453</v>
      </c>
      <c r="BN12" s="31" t="s">
        <v>454</v>
      </c>
      <c r="BO12" s="31" t="s">
        <v>455</v>
      </c>
      <c r="BP12" s="31" t="s">
        <v>456</v>
      </c>
      <c r="BQ12" s="31" t="s">
        <v>457</v>
      </c>
      <c r="BR12" s="31" t="s">
        <v>265</v>
      </c>
      <c r="BS12" s="31" t="s">
        <v>458</v>
      </c>
      <c r="BT12" s="31" t="s">
        <v>459</v>
      </c>
      <c r="BU12" s="31" t="s">
        <v>536</v>
      </c>
      <c r="BV12" s="31" t="s">
        <v>300</v>
      </c>
      <c r="BW12" s="31" t="s">
        <v>460</v>
      </c>
      <c r="BX12" s="31" t="s">
        <v>295</v>
      </c>
      <c r="BY12" s="31" t="s">
        <v>547</v>
      </c>
      <c r="BZ12" s="31" t="s">
        <v>69</v>
      </c>
      <c r="CA12" s="31" t="s">
        <v>461</v>
      </c>
      <c r="CB12" s="31" t="s">
        <v>462</v>
      </c>
      <c r="CC12" s="31" t="s">
        <v>463</v>
      </c>
      <c r="CD12" s="31" t="s">
        <v>464</v>
      </c>
      <c r="CE12" s="31" t="s">
        <v>465</v>
      </c>
      <c r="CF12" s="31" t="s">
        <v>303</v>
      </c>
      <c r="CG12" s="31" t="s">
        <v>466</v>
      </c>
      <c r="CH12" s="31" t="s">
        <v>322</v>
      </c>
      <c r="CI12" s="31" t="s">
        <v>310</v>
      </c>
      <c r="CJ12" s="31" t="s">
        <v>468</v>
      </c>
      <c r="CK12" s="31" t="s">
        <v>469</v>
      </c>
      <c r="CL12" s="31" t="s">
        <v>306</v>
      </c>
      <c r="CM12" s="31" t="s">
        <v>470</v>
      </c>
      <c r="CN12" s="31" t="s">
        <v>319</v>
      </c>
      <c r="CO12" s="31" t="s">
        <v>311</v>
      </c>
      <c r="CP12" s="31" t="s">
        <v>333</v>
      </c>
      <c r="CQ12" s="31" t="s">
        <v>293</v>
      </c>
      <c r="CR12" s="31" t="s">
        <v>537</v>
      </c>
      <c r="CS12" s="31" t="s">
        <v>471</v>
      </c>
      <c r="CT12" s="31" t="s">
        <v>90</v>
      </c>
      <c r="CU12" s="31" t="s">
        <v>472</v>
      </c>
      <c r="CV12" s="31" t="s">
        <v>473</v>
      </c>
      <c r="CW12" s="31" t="s">
        <v>474</v>
      </c>
      <c r="CX12" s="31" t="s">
        <v>475</v>
      </c>
      <c r="CY12" s="31" t="s">
        <v>476</v>
      </c>
      <c r="CZ12" s="31" t="s">
        <v>477</v>
      </c>
      <c r="DA12" s="31" t="s">
        <v>478</v>
      </c>
      <c r="DB12" s="31" t="s">
        <v>479</v>
      </c>
      <c r="DC12" s="31" t="s">
        <v>480</v>
      </c>
      <c r="DD12" s="31" t="s">
        <v>100</v>
      </c>
      <c r="DE12" s="31" t="s">
        <v>481</v>
      </c>
      <c r="DF12" s="31" t="s">
        <v>482</v>
      </c>
      <c r="DG12" s="31" t="s">
        <v>312</v>
      </c>
      <c r="DH12" s="31" t="s">
        <v>538</v>
      </c>
      <c r="DI12" s="31" t="s">
        <v>483</v>
      </c>
      <c r="DJ12" s="31" t="s">
        <v>484</v>
      </c>
      <c r="DK12" s="31" t="s">
        <v>485</v>
      </c>
      <c r="DL12" s="31" t="s">
        <v>486</v>
      </c>
      <c r="DM12" s="31" t="s">
        <v>109</v>
      </c>
      <c r="DN12" s="31" t="s">
        <v>548</v>
      </c>
      <c r="DO12" s="31" t="s">
        <v>111</v>
      </c>
      <c r="DP12" s="31" t="s">
        <v>549</v>
      </c>
      <c r="DQ12" s="31" t="s">
        <v>487</v>
      </c>
      <c r="DR12" s="31" t="s">
        <v>488</v>
      </c>
      <c r="DS12" s="31" t="s">
        <v>489</v>
      </c>
      <c r="DT12" s="31" t="s">
        <v>539</v>
      </c>
      <c r="DU12" s="31" t="s">
        <v>490</v>
      </c>
      <c r="DV12" s="31" t="s">
        <v>491</v>
      </c>
      <c r="DW12" s="31" t="s">
        <v>294</v>
      </c>
      <c r="DX12" s="31" t="s">
        <v>296</v>
      </c>
      <c r="DY12" s="31" t="s">
        <v>493</v>
      </c>
      <c r="DZ12" s="31" t="s">
        <v>494</v>
      </c>
      <c r="EA12" s="31" t="s">
        <v>495</v>
      </c>
      <c r="EB12" s="31" t="s">
        <v>496</v>
      </c>
      <c r="EC12" s="31" t="s">
        <v>497</v>
      </c>
      <c r="ED12" s="31" t="s">
        <v>498</v>
      </c>
      <c r="EE12" s="31" t="s">
        <v>540</v>
      </c>
      <c r="EF12" s="31" t="s">
        <v>499</v>
      </c>
      <c r="EG12" s="31" t="s">
        <v>129</v>
      </c>
      <c r="EH12" s="31" t="s">
        <v>541</v>
      </c>
      <c r="EI12" s="31" t="s">
        <v>313</v>
      </c>
      <c r="EJ12" s="31" t="s">
        <v>318</v>
      </c>
      <c r="EK12" s="31" t="s">
        <v>336</v>
      </c>
      <c r="EL12" s="31" t="s">
        <v>314</v>
      </c>
      <c r="EM12" s="31" t="s">
        <v>305</v>
      </c>
      <c r="EN12" s="31" t="s">
        <v>302</v>
      </c>
      <c r="EO12" s="31" t="s">
        <v>321</v>
      </c>
      <c r="EP12" s="31" t="s">
        <v>500</v>
      </c>
      <c r="EQ12" s="31" t="s">
        <v>501</v>
      </c>
      <c r="ER12" s="31" t="s">
        <v>502</v>
      </c>
      <c r="ES12" s="31" t="s">
        <v>503</v>
      </c>
      <c r="ET12" s="31" t="s">
        <v>142</v>
      </c>
      <c r="EU12" s="31" t="s">
        <v>542</v>
      </c>
      <c r="EV12" s="31" t="s">
        <v>324</v>
      </c>
      <c r="EW12" s="31" t="s">
        <v>504</v>
      </c>
      <c r="EX12" s="31" t="s">
        <v>505</v>
      </c>
      <c r="EY12" s="31" t="s">
        <v>506</v>
      </c>
      <c r="EZ12" s="31" t="s">
        <v>148</v>
      </c>
      <c r="FA12" s="31" t="s">
        <v>507</v>
      </c>
      <c r="FB12" s="31" t="s">
        <v>508</v>
      </c>
      <c r="FC12" s="31" t="s">
        <v>509</v>
      </c>
      <c r="FD12" s="31" t="s">
        <v>560</v>
      </c>
      <c r="FE12" s="31" t="s">
        <v>329</v>
      </c>
      <c r="FF12" s="31" t="s">
        <v>510</v>
      </c>
      <c r="FG12" s="31" t="s">
        <v>298</v>
      </c>
      <c r="FH12" s="31" t="s">
        <v>550</v>
      </c>
      <c r="FI12" s="31" t="s">
        <v>511</v>
      </c>
      <c r="FJ12" s="31" t="s">
        <v>512</v>
      </c>
      <c r="FK12" s="31" t="s">
        <v>513</v>
      </c>
      <c r="FL12" s="31" t="s">
        <v>514</v>
      </c>
      <c r="FM12" s="31" t="s">
        <v>515</v>
      </c>
      <c r="FN12" s="31" t="s">
        <v>551</v>
      </c>
      <c r="FO12" s="31" t="s">
        <v>516</v>
      </c>
      <c r="FP12" s="31" t="s">
        <v>559</v>
      </c>
      <c r="FQ12" s="31" t="s">
        <v>297</v>
      </c>
      <c r="FR12" s="31" t="s">
        <v>517</v>
      </c>
      <c r="FS12" s="31" t="s">
        <v>543</v>
      </c>
      <c r="FT12" s="31" t="s">
        <v>518</v>
      </c>
      <c r="FU12" s="31" t="s">
        <v>519</v>
      </c>
      <c r="FV12" s="31" t="s">
        <v>520</v>
      </c>
      <c r="FW12" s="31" t="s">
        <v>521</v>
      </c>
      <c r="FX12" s="31" t="s">
        <v>522</v>
      </c>
      <c r="FY12" s="31" t="s">
        <v>544</v>
      </c>
      <c r="FZ12" s="31" t="s">
        <v>292</v>
      </c>
      <c r="GA12" s="31" t="s">
        <v>263</v>
      </c>
      <c r="GB12" s="31" t="s">
        <v>530</v>
      </c>
      <c r="GC12" s="31" t="s">
        <v>320</v>
      </c>
      <c r="GD12" s="31" t="s">
        <v>523</v>
      </c>
      <c r="GE12" s="31" t="s">
        <v>524</v>
      </c>
      <c r="GF12" s="31" t="s">
        <v>308</v>
      </c>
      <c r="GG12" s="31" t="s">
        <v>553</v>
      </c>
      <c r="GH12" s="31" t="s">
        <v>525</v>
      </c>
      <c r="GI12" s="31" t="s">
        <v>526</v>
      </c>
    </row>
    <row r="13" spans="1:191" x14ac:dyDescent="0.65">
      <c r="A13" s="32"/>
      <c r="B13" s="32" t="s">
        <v>12</v>
      </c>
      <c r="C13" s="32" t="s">
        <v>335</v>
      </c>
      <c r="D13" s="32" t="str">
        <f t="shared" si="0"/>
        <v>Austria</v>
      </c>
      <c r="E13" s="64">
        <f>INDEX('Hotel Emissions'!$G:$G,MATCH(D13,'Hotel Emissions'!$C:$C,0))</f>
        <v>11.841173534383454</v>
      </c>
      <c r="F13" s="64">
        <f>IF(INDEX('Hotel Emissions'!$O:$O,MATCH(D13,'Hotel Emissions'!$C:$C,0))="",INDEX('Hotel Emissions'!$T:$T,MATCH(D13,'Hotel Emissions'!$C:$C,0)),INDEX('Hotel Emissions'!$O:$O,MATCH(D13,'Hotel Emissions'!$C:$C,0)))</f>
        <v>7.6990803304492887</v>
      </c>
      <c r="G13" s="64">
        <f>IF(INDEX('Hotel Emissions'!$X:$X,MATCH(D13,'Hotel Emissions'!$C:$C,0))="",INDEX('Hotel Emissions'!$AC:$AC,MATCH(D13,'Hotel Emissions'!$C:$C,0)),INDEX('Hotel Emissions'!$X:$X,MATCH(D13,'Hotel Emissions'!$C:$C,0)))</f>
        <v>10.008290670757516</v>
      </c>
      <c r="H13" s="64">
        <f>IF(INDEX('Hotel Emissions'!AG:$AG,MATCH(D13,'Hotel Emissions'!$C:$C,0))="",INDEX('Hotel Emissions'!$AL:$AL,MATCH(D13,'Hotel Emissions'!$C:$C,0)),INDEX('Hotel Emissions'!$AG:$AG,MATCH(D13,'Hotel Emissions'!$C:$C,0)))</f>
        <v>94.792983435676007</v>
      </c>
      <c r="S13" s="31" t="s">
        <v>331</v>
      </c>
      <c r="AH13" s="31" t="s">
        <v>328</v>
      </c>
      <c r="AO13" s="31" t="s">
        <v>534</v>
      </c>
      <c r="AP13" s="31" t="s">
        <v>334</v>
      </c>
      <c r="AT13" s="31" t="s">
        <v>75</v>
      </c>
      <c r="AW13" s="31" t="s">
        <v>442</v>
      </c>
      <c r="BV13" s="31" t="s">
        <v>307</v>
      </c>
      <c r="CH13" s="31" t="s">
        <v>467</v>
      </c>
      <c r="CN13" s="31" t="s">
        <v>325</v>
      </c>
      <c r="DX13" s="31" t="s">
        <v>492</v>
      </c>
      <c r="EF13" s="31" t="s">
        <v>557</v>
      </c>
      <c r="FD13" s="31" t="s">
        <v>558</v>
      </c>
      <c r="FG13" s="31" t="s">
        <v>264</v>
      </c>
      <c r="FL13" s="31" t="s">
        <v>337</v>
      </c>
      <c r="GB13" s="31" t="s">
        <v>528</v>
      </c>
      <c r="GF13" s="31" t="s">
        <v>309</v>
      </c>
    </row>
    <row r="14" spans="1:191" x14ac:dyDescent="0.65">
      <c r="A14" s="32"/>
      <c r="B14" s="32" t="s">
        <v>13</v>
      </c>
      <c r="C14" s="32" t="s">
        <v>424</v>
      </c>
      <c r="D14" s="32" t="str">
        <f t="shared" si="0"/>
        <v>Georgia</v>
      </c>
      <c r="E14" s="64">
        <f>INDEX('Hotel Emissions'!$G:$G,MATCH(D14,'Hotel Emissions'!$C:$C,0))</f>
        <v>28.639820724591097</v>
      </c>
      <c r="F14" s="64">
        <f>IF(INDEX('Hotel Emissions'!$O:$O,MATCH(D14,'Hotel Emissions'!$C:$C,0))="",INDEX('Hotel Emissions'!$T:$T,MATCH(D14,'Hotel Emissions'!$C:$C,0)),INDEX('Hotel Emissions'!$O:$O,MATCH(D14,'Hotel Emissions'!$C:$C,0)))</f>
        <v>16.910410780975194</v>
      </c>
      <c r="G14" s="64">
        <f>IF(INDEX('Hotel Emissions'!$X:$X,MATCH(D14,'Hotel Emissions'!$C:$C,0))="",INDEX('Hotel Emissions'!$AC:$AC,MATCH(D14,'Hotel Emissions'!$C:$C,0)),INDEX('Hotel Emissions'!$X:$X,MATCH(D14,'Hotel Emissions'!$C:$C,0)))</f>
        <v>41.238180878421765</v>
      </c>
      <c r="H14" s="64">
        <f>IF(INDEX('Hotel Emissions'!AG:$AG,MATCH(D14,'Hotel Emissions'!$C:$C,0))="",INDEX('Hotel Emissions'!$AL:$AL,MATCH(D14,'Hotel Emissions'!$C:$C,0)),INDEX('Hotel Emissions'!$AG:$AG,MATCH(D14,'Hotel Emissions'!$C:$C,0)))</f>
        <v>94.792983435676007</v>
      </c>
      <c r="AT14" s="31" t="s">
        <v>315</v>
      </c>
      <c r="BV14" s="31" t="s">
        <v>545</v>
      </c>
      <c r="GB14" s="31" t="s">
        <v>529</v>
      </c>
    </row>
    <row r="15" spans="1:191" x14ac:dyDescent="0.65">
      <c r="A15" s="32"/>
      <c r="B15" s="32" t="s">
        <v>14</v>
      </c>
      <c r="C15" s="32" t="s">
        <v>425</v>
      </c>
      <c r="D15" s="32" t="str">
        <f t="shared" si="0"/>
        <v>Dominican Republic</v>
      </c>
      <c r="E15" s="64">
        <f>INDEX('Hotel Emissions'!$G:$G,MATCH(D15,'Hotel Emissions'!$C:$C,0))</f>
        <v>49.703220941619364</v>
      </c>
      <c r="F15" s="64">
        <f>IF(INDEX('Hotel Emissions'!$O:$O,MATCH(D15,'Hotel Emissions'!$C:$C,0))="",INDEX('Hotel Emissions'!$T:$T,MATCH(D15,'Hotel Emissions'!$C:$C,0)),INDEX('Hotel Emissions'!$O:$O,MATCH(D15,'Hotel Emissions'!$C:$C,0)))</f>
        <v>16.910410780975194</v>
      </c>
      <c r="G15" s="64">
        <f>IF(INDEX('Hotel Emissions'!$X:$X,MATCH(D15,'Hotel Emissions'!$C:$C,0))="",INDEX('Hotel Emissions'!$AC:$AC,MATCH(D15,'Hotel Emissions'!$C:$C,0)),INDEX('Hotel Emissions'!$X:$X,MATCH(D15,'Hotel Emissions'!$C:$C,0)))</f>
        <v>41.238180878421765</v>
      </c>
      <c r="H15" s="64">
        <f>IF(INDEX('Hotel Emissions'!AG:$AG,MATCH(D15,'Hotel Emissions'!$C:$C,0))="",INDEX('Hotel Emissions'!$AL:$AL,MATCH(D15,'Hotel Emissions'!$C:$C,0)),INDEX('Hotel Emissions'!$AG:$AG,MATCH(D15,'Hotel Emissions'!$C:$C,0)))</f>
        <v>94.792983435676007</v>
      </c>
      <c r="AT15" s="31" t="s">
        <v>330</v>
      </c>
      <c r="GB15" s="31" t="s">
        <v>552</v>
      </c>
    </row>
    <row r="16" spans="1:191" x14ac:dyDescent="0.65">
      <c r="A16" s="32"/>
      <c r="B16" s="32" t="s">
        <v>15</v>
      </c>
      <c r="C16" s="32" t="s">
        <v>317</v>
      </c>
      <c r="D16" s="32" t="str">
        <f t="shared" si="0"/>
        <v>Bahrain</v>
      </c>
      <c r="E16" s="64">
        <f>INDEX('Hotel Emissions'!$G:$G,MATCH(D16,'Hotel Emissions'!$C:$C,0))</f>
        <v>144.08939673742614</v>
      </c>
      <c r="F16" s="64">
        <f>IF(INDEX('Hotel Emissions'!$O:$O,MATCH(D16,'Hotel Emissions'!$C:$C,0))="",INDEX('Hotel Emissions'!$T:$T,MATCH(D16,'Hotel Emissions'!$C:$C,0)),INDEX('Hotel Emissions'!$O:$O,MATCH(D16,'Hotel Emissions'!$C:$C,0)))</f>
        <v>16.910410780975194</v>
      </c>
      <c r="G16" s="64">
        <f>IF(INDEX('Hotel Emissions'!$X:$X,MATCH(D16,'Hotel Emissions'!$C:$C,0))="",INDEX('Hotel Emissions'!$AC:$AC,MATCH(D16,'Hotel Emissions'!$C:$C,0)),INDEX('Hotel Emissions'!$X:$X,MATCH(D16,'Hotel Emissions'!$C:$C,0)))</f>
        <v>124.38280772221329</v>
      </c>
      <c r="H16" s="64">
        <f>IF(INDEX('Hotel Emissions'!AG:$AG,MATCH(D16,'Hotel Emissions'!$C:$C,0))="",INDEX('Hotel Emissions'!$AL:$AL,MATCH(D16,'Hotel Emissions'!$C:$C,0)),INDEX('Hotel Emissions'!$AG:$AG,MATCH(D16,'Hotel Emissions'!$C:$C,0)))</f>
        <v>94.792983435676007</v>
      </c>
    </row>
    <row r="17" spans="1:13" x14ac:dyDescent="0.65">
      <c r="A17" s="32"/>
      <c r="B17" s="32" t="s">
        <v>16</v>
      </c>
      <c r="C17" s="32" t="s">
        <v>426</v>
      </c>
      <c r="D17" s="32" t="str">
        <f t="shared" si="0"/>
        <v>India</v>
      </c>
      <c r="E17" s="64">
        <f>INDEX('Hotel Emissions'!$G:$G,MATCH(D17,'Hotel Emissions'!$C:$C,0))</f>
        <v>60.039227102791394</v>
      </c>
      <c r="F17" s="64">
        <f>IF(INDEX('Hotel Emissions'!$O:$O,MATCH(D17,'Hotel Emissions'!$C:$C,0))="",INDEX('Hotel Emissions'!$T:$T,MATCH(D17,'Hotel Emissions'!$C:$C,0)),INDEX('Hotel Emissions'!$O:$O,MATCH(D17,'Hotel Emissions'!$C:$C,0)))</f>
        <v>44.760847828132114</v>
      </c>
      <c r="G17" s="64">
        <f>IF(INDEX('Hotel Emissions'!$X:$X,MATCH(D17,'Hotel Emissions'!$C:$C,0))="",INDEX('Hotel Emissions'!$AC:$AC,MATCH(D17,'Hotel Emissions'!$C:$C,0)),INDEX('Hotel Emissions'!$X:$X,MATCH(D17,'Hotel Emissions'!$C:$C,0)))</f>
        <v>64.625315927390787</v>
      </c>
      <c r="H17" s="64">
        <f>IF(INDEX('Hotel Emissions'!AG:$AG,MATCH(D17,'Hotel Emissions'!$C:$C,0))="",INDEX('Hotel Emissions'!$AL:$AL,MATCH(D17,'Hotel Emissions'!$C:$C,0)),INDEX('Hotel Emissions'!$AG:$AG,MATCH(D17,'Hotel Emissions'!$C:$C,0)))</f>
        <v>87.695610816492447</v>
      </c>
    </row>
    <row r="18" spans="1:13" x14ac:dyDescent="0.65">
      <c r="A18" s="32"/>
      <c r="B18" s="32" t="s">
        <v>17</v>
      </c>
      <c r="C18" s="32" t="s">
        <v>427</v>
      </c>
      <c r="D18" s="32" t="str">
        <f t="shared" si="0"/>
        <v>Dominican Republic</v>
      </c>
      <c r="E18" s="64">
        <f>INDEX('Hotel Emissions'!$G:$G,MATCH(D18,'Hotel Emissions'!$C:$C,0))</f>
        <v>49.703220941619364</v>
      </c>
      <c r="F18" s="64">
        <f>IF(INDEX('Hotel Emissions'!$O:$O,MATCH(D18,'Hotel Emissions'!$C:$C,0))="",INDEX('Hotel Emissions'!$T:$T,MATCH(D18,'Hotel Emissions'!$C:$C,0)),INDEX('Hotel Emissions'!$O:$O,MATCH(D18,'Hotel Emissions'!$C:$C,0)))</f>
        <v>16.910410780975194</v>
      </c>
      <c r="G18" s="64">
        <f>IF(INDEX('Hotel Emissions'!$X:$X,MATCH(D18,'Hotel Emissions'!$C:$C,0))="",INDEX('Hotel Emissions'!$AC:$AC,MATCH(D18,'Hotel Emissions'!$C:$C,0)),INDEX('Hotel Emissions'!$X:$X,MATCH(D18,'Hotel Emissions'!$C:$C,0)))</f>
        <v>41.238180878421765</v>
      </c>
      <c r="H18" s="64">
        <f>IF(INDEX('Hotel Emissions'!AG:$AG,MATCH(D18,'Hotel Emissions'!$C:$C,0))="",INDEX('Hotel Emissions'!$AL:$AL,MATCH(D18,'Hotel Emissions'!$C:$C,0)),INDEX('Hotel Emissions'!$AG:$AG,MATCH(D18,'Hotel Emissions'!$C:$C,0)))</f>
        <v>94.792983435676007</v>
      </c>
    </row>
    <row r="19" spans="1:13" x14ac:dyDescent="0.65">
      <c r="A19" s="32"/>
      <c r="B19" s="32" t="s">
        <v>18</v>
      </c>
      <c r="C19" s="32" t="s">
        <v>428</v>
      </c>
      <c r="D19" s="32" t="str">
        <f t="shared" si="0"/>
        <v>Poland</v>
      </c>
      <c r="E19" s="64">
        <f>INDEX('Hotel Emissions'!$G:$G,MATCH(D19,'Hotel Emissions'!$C:$C,0))</f>
        <v>37.616564741588029</v>
      </c>
      <c r="F19" s="64">
        <f>IF(INDEX('Hotel Emissions'!$O:$O,MATCH(D19,'Hotel Emissions'!$C:$C,0))="",INDEX('Hotel Emissions'!$T:$T,MATCH(D19,'Hotel Emissions'!$C:$C,0)),INDEX('Hotel Emissions'!$O:$O,MATCH(D19,'Hotel Emissions'!$C:$C,0)))</f>
        <v>26.102263630661465</v>
      </c>
      <c r="G19" s="64">
        <f>IF(INDEX('Hotel Emissions'!$X:$X,MATCH(D19,'Hotel Emissions'!$C:$C,0))="",INDEX('Hotel Emissions'!$AC:$AC,MATCH(D19,'Hotel Emissions'!$C:$C,0)),INDEX('Hotel Emissions'!$X:$X,MATCH(D19,'Hotel Emissions'!$C:$C,0)))</f>
        <v>38.117914630559298</v>
      </c>
      <c r="H19" s="64">
        <f>IF(INDEX('Hotel Emissions'!AG:$AG,MATCH(D19,'Hotel Emissions'!$C:$C,0))="",INDEX('Hotel Emissions'!$AL:$AL,MATCH(D19,'Hotel Emissions'!$C:$C,0)),INDEX('Hotel Emissions'!$AG:$AG,MATCH(D19,'Hotel Emissions'!$C:$C,0)))</f>
        <v>75.497386001437874</v>
      </c>
      <c r="L19" s="31" t="s">
        <v>3</v>
      </c>
      <c r="M19" s="31" t="s">
        <v>88</v>
      </c>
    </row>
    <row r="20" spans="1:13" x14ac:dyDescent="0.65">
      <c r="A20" s="32"/>
      <c r="B20" s="32" t="s">
        <v>19</v>
      </c>
      <c r="C20" s="32" t="s">
        <v>301</v>
      </c>
      <c r="D20" s="32" t="str">
        <f t="shared" si="0"/>
        <v>Belgium</v>
      </c>
      <c r="E20" s="64">
        <f>INDEX('Hotel Emissions'!$G:$G,MATCH(D20,'Hotel Emissions'!$C:$C,0))</f>
        <v>16.824282319589727</v>
      </c>
      <c r="F20" s="64">
        <f>IF(INDEX('Hotel Emissions'!$O:$O,MATCH(D20,'Hotel Emissions'!$C:$C,0))="",INDEX('Hotel Emissions'!$T:$T,MATCH(D20,'Hotel Emissions'!$C:$C,0)),INDEX('Hotel Emissions'!$O:$O,MATCH(D20,'Hotel Emissions'!$C:$C,0)))</f>
        <v>10.028240168358705</v>
      </c>
      <c r="G20" s="64">
        <f>IF(INDEX('Hotel Emissions'!$X:$X,MATCH(D20,'Hotel Emissions'!$C:$C,0))="",INDEX('Hotel Emissions'!$AC:$AC,MATCH(D20,'Hotel Emissions'!$C:$C,0)),INDEX('Hotel Emissions'!$X:$X,MATCH(D20,'Hotel Emissions'!$C:$C,0)))</f>
        <v>25.064402333141373</v>
      </c>
      <c r="H20" s="64">
        <f>IF(INDEX('Hotel Emissions'!AG:$AG,MATCH(D20,'Hotel Emissions'!$C:$C,0))="",INDEX('Hotel Emissions'!$AL:$AL,MATCH(D20,'Hotel Emissions'!$C:$C,0)),INDEX('Hotel Emissions'!$AG:$AG,MATCH(D20,'Hotel Emissions'!$C:$C,0)))</f>
        <v>94.792983435676007</v>
      </c>
      <c r="L20" s="31" t="s">
        <v>5</v>
      </c>
      <c r="M20" s="31" t="s">
        <v>160</v>
      </c>
    </row>
    <row r="21" spans="1:13" x14ac:dyDescent="0.65">
      <c r="A21" s="32"/>
      <c r="B21" s="32" t="s">
        <v>20</v>
      </c>
      <c r="C21" s="32" t="s">
        <v>429</v>
      </c>
      <c r="D21" s="32" t="str">
        <f t="shared" si="0"/>
        <v>Costa Rica</v>
      </c>
      <c r="E21" s="64">
        <f>INDEX('Hotel Emissions'!$G:$G,MATCH(D21,'Hotel Emissions'!$C:$C,0))</f>
        <v>11.133538864398535</v>
      </c>
      <c r="F21" s="64">
        <f>IF(INDEX('Hotel Emissions'!$O:$O,MATCH(D21,'Hotel Emissions'!$C:$C,0))="",INDEX('Hotel Emissions'!$T:$T,MATCH(D21,'Hotel Emissions'!$C:$C,0)),INDEX('Hotel Emissions'!$O:$O,MATCH(D21,'Hotel Emissions'!$C:$C,0)))</f>
        <v>6.0947986768733706</v>
      </c>
      <c r="G21" s="64">
        <f>IF(INDEX('Hotel Emissions'!$X:$X,MATCH(D21,'Hotel Emissions'!$C:$C,0))="",INDEX('Hotel Emissions'!$AC:$AC,MATCH(D21,'Hotel Emissions'!$C:$C,0)),INDEX('Hotel Emissions'!$X:$X,MATCH(D21,'Hotel Emissions'!$C:$C,0)))</f>
        <v>14.502350330546598</v>
      </c>
      <c r="H21" s="64">
        <f>IF(INDEX('Hotel Emissions'!AG:$AG,MATCH(D21,'Hotel Emissions'!$C:$C,0))="",INDEX('Hotel Emissions'!$AL:$AL,MATCH(D21,'Hotel Emissions'!$C:$C,0)),INDEX('Hotel Emissions'!$AG:$AG,MATCH(D21,'Hotel Emissions'!$C:$C,0)))</f>
        <v>94.792983435676007</v>
      </c>
      <c r="L21" s="31" t="s">
        <v>6</v>
      </c>
      <c r="M21" s="31" t="s">
        <v>152</v>
      </c>
    </row>
    <row r="22" spans="1:13" x14ac:dyDescent="0.65">
      <c r="A22" s="32"/>
      <c r="B22" s="32" t="s">
        <v>21</v>
      </c>
      <c r="C22" s="32" t="s">
        <v>532</v>
      </c>
      <c r="D22" s="32" t="str">
        <f t="shared" si="0"/>
        <v>Morocco</v>
      </c>
      <c r="E22" s="64">
        <f>INDEX('Hotel Emissions'!$G:$G,MATCH(D22,'Hotel Emissions'!$C:$C,0))</f>
        <v>64.786712103740001</v>
      </c>
      <c r="F22" s="64">
        <f>IF(INDEX('Hotel Emissions'!$O:$O,MATCH(D22,'Hotel Emissions'!$C:$C,0))="",INDEX('Hotel Emissions'!$T:$T,MATCH(D22,'Hotel Emissions'!$C:$C,0)),INDEX('Hotel Emissions'!$O:$O,MATCH(D22,'Hotel Emissions'!$C:$C,0)))</f>
        <v>22.421330805272362</v>
      </c>
      <c r="G22" s="64">
        <f>IF(INDEX('Hotel Emissions'!$X:$X,MATCH(D22,'Hotel Emissions'!$C:$C,0))="",INDEX('Hotel Emissions'!$AC:$AC,MATCH(D22,'Hotel Emissions'!$C:$C,0)),INDEX('Hotel Emissions'!$X:$X,MATCH(D22,'Hotel Emissions'!$C:$C,0)))</f>
        <v>81.787795373044702</v>
      </c>
      <c r="H22" s="64">
        <f>IF(INDEX('Hotel Emissions'!AG:$AG,MATCH(D22,'Hotel Emissions'!$C:$C,0))="",INDEX('Hotel Emissions'!$AL:$AL,MATCH(D22,'Hotel Emissions'!$C:$C,0)),INDEX('Hotel Emissions'!$AG:$AG,MATCH(D22,'Hotel Emissions'!$C:$C,0)))</f>
        <v>105.55113658157052</v>
      </c>
      <c r="L22" s="31" t="s">
        <v>8</v>
      </c>
      <c r="M22" s="31" t="s">
        <v>50</v>
      </c>
    </row>
    <row r="23" spans="1:13" x14ac:dyDescent="0.65">
      <c r="A23" s="32"/>
      <c r="B23" s="32" t="s">
        <v>22</v>
      </c>
      <c r="C23" s="32" t="s">
        <v>430</v>
      </c>
      <c r="D23" s="32" t="str">
        <f t="shared" si="0"/>
        <v>India</v>
      </c>
      <c r="E23" s="64">
        <f>INDEX('Hotel Emissions'!$G:$G,MATCH(D23,'Hotel Emissions'!$C:$C,0))</f>
        <v>60.039227102791394</v>
      </c>
      <c r="F23" s="64">
        <f>IF(INDEX('Hotel Emissions'!$O:$O,MATCH(D23,'Hotel Emissions'!$C:$C,0))="",INDEX('Hotel Emissions'!$T:$T,MATCH(D23,'Hotel Emissions'!$C:$C,0)),INDEX('Hotel Emissions'!$O:$O,MATCH(D23,'Hotel Emissions'!$C:$C,0)))</f>
        <v>44.760847828132114</v>
      </c>
      <c r="G23" s="64">
        <f>IF(INDEX('Hotel Emissions'!$X:$X,MATCH(D23,'Hotel Emissions'!$C:$C,0))="",INDEX('Hotel Emissions'!$AC:$AC,MATCH(D23,'Hotel Emissions'!$C:$C,0)),INDEX('Hotel Emissions'!$X:$X,MATCH(D23,'Hotel Emissions'!$C:$C,0)))</f>
        <v>64.625315927390787</v>
      </c>
      <c r="H23" s="64">
        <f>IF(INDEX('Hotel Emissions'!AG:$AG,MATCH(D23,'Hotel Emissions'!$C:$C,0))="",INDEX('Hotel Emissions'!$AL:$AL,MATCH(D23,'Hotel Emissions'!$C:$C,0)),INDEX('Hotel Emissions'!$AG:$AG,MATCH(D23,'Hotel Emissions'!$C:$C,0)))</f>
        <v>87.695610816492447</v>
      </c>
      <c r="L23" s="31" t="s">
        <v>10</v>
      </c>
      <c r="M23" s="31" t="s">
        <v>64</v>
      </c>
    </row>
    <row r="24" spans="1:13" x14ac:dyDescent="0.65">
      <c r="A24" s="32"/>
      <c r="B24" s="32" t="s">
        <v>23</v>
      </c>
      <c r="C24" s="32" t="s">
        <v>554</v>
      </c>
      <c r="D24" s="32" t="str">
        <f t="shared" si="0"/>
        <v>Peru</v>
      </c>
      <c r="E24" s="64">
        <f>INDEX('Hotel Emissions'!$G:$G,MATCH(D24,'Hotel Emissions'!$C:$C,0))</f>
        <v>18.53500263652829</v>
      </c>
      <c r="F24" s="64">
        <f>IF(INDEX('Hotel Emissions'!$O:$O,MATCH(D24,'Hotel Emissions'!$C:$C,0))="",INDEX('Hotel Emissions'!$T:$T,MATCH(D24,'Hotel Emissions'!$C:$C,0)),INDEX('Hotel Emissions'!$O:$O,MATCH(D24,'Hotel Emissions'!$C:$C,0)))</f>
        <v>10.068740964366617</v>
      </c>
      <c r="G24" s="64">
        <f>IF(INDEX('Hotel Emissions'!$X:$X,MATCH(D24,'Hotel Emissions'!$C:$C,0))="",INDEX('Hotel Emissions'!$AC:$AC,MATCH(D24,'Hotel Emissions'!$C:$C,0)),INDEX('Hotel Emissions'!$X:$X,MATCH(D24,'Hotel Emissions'!$C:$C,0)))</f>
        <v>41.238180878421765</v>
      </c>
      <c r="H24" s="64">
        <f>IF(INDEX('Hotel Emissions'!AG:$AG,MATCH(D24,'Hotel Emissions'!$C:$C,0))="",INDEX('Hotel Emissions'!$AL:$AL,MATCH(D24,'Hotel Emissions'!$C:$C,0)),INDEX('Hotel Emissions'!$AG:$AG,MATCH(D24,'Hotel Emissions'!$C:$C,0)))</f>
        <v>42.013859320286336</v>
      </c>
      <c r="L24" s="31" t="s">
        <v>13</v>
      </c>
      <c r="M24" s="31" t="s">
        <v>64</v>
      </c>
    </row>
    <row r="25" spans="1:13" x14ac:dyDescent="0.65">
      <c r="A25" s="32"/>
      <c r="B25" s="32" t="s">
        <v>24</v>
      </c>
      <c r="C25" s="32" t="s">
        <v>431</v>
      </c>
      <c r="D25" s="32" t="str">
        <f t="shared" si="0"/>
        <v>Romania</v>
      </c>
      <c r="E25" s="64">
        <f>INDEX('Hotel Emissions'!$G:$G,MATCH(D25,'Hotel Emissions'!$C:$C,0))</f>
        <v>23.759309432044105</v>
      </c>
      <c r="F25" s="64">
        <f>IF(INDEX('Hotel Emissions'!$O:$O,MATCH(D25,'Hotel Emissions'!$C:$C,0))="",INDEX('Hotel Emissions'!$T:$T,MATCH(D25,'Hotel Emissions'!$C:$C,0)),INDEX('Hotel Emissions'!$O:$O,MATCH(D25,'Hotel Emissions'!$C:$C,0)))</f>
        <v>16.910410780975194</v>
      </c>
      <c r="G25" s="64">
        <f>IF(INDEX('Hotel Emissions'!$X:$X,MATCH(D25,'Hotel Emissions'!$C:$C,0))="",INDEX('Hotel Emissions'!$AC:$AC,MATCH(D25,'Hotel Emissions'!$C:$C,0)),INDEX('Hotel Emissions'!$X:$X,MATCH(D25,'Hotel Emissions'!$C:$C,0)))</f>
        <v>41.238180878421765</v>
      </c>
      <c r="H25" s="64">
        <f>IF(INDEX('Hotel Emissions'!AG:$AG,MATCH(D25,'Hotel Emissions'!$C:$C,0))="",INDEX('Hotel Emissions'!$AL:$AL,MATCH(D25,'Hotel Emissions'!$C:$C,0)),INDEX('Hotel Emissions'!$AG:$AG,MATCH(D25,'Hotel Emissions'!$C:$C,0)))</f>
        <v>94.792983435676007</v>
      </c>
      <c r="L25" s="31" t="s">
        <v>14</v>
      </c>
      <c r="M25" s="31" t="s">
        <v>50</v>
      </c>
    </row>
    <row r="26" spans="1:13" x14ac:dyDescent="0.65">
      <c r="A26" s="32"/>
      <c r="B26" s="32" t="s">
        <v>25</v>
      </c>
      <c r="C26" s="32" t="s">
        <v>432</v>
      </c>
      <c r="D26" s="32" t="str">
        <f t="shared" si="0"/>
        <v>South Africa</v>
      </c>
      <c r="E26" s="64">
        <f>INDEX('Hotel Emissions'!$G:$G,MATCH(D26,'Hotel Emissions'!$C:$C,0))</f>
        <v>103.55037750960224</v>
      </c>
      <c r="F26" s="64">
        <f>IF(INDEX('Hotel Emissions'!$O:$O,MATCH(D26,'Hotel Emissions'!$C:$C,0))="",INDEX('Hotel Emissions'!$T:$T,MATCH(D26,'Hotel Emissions'!$C:$C,0)),INDEX('Hotel Emissions'!$O:$O,MATCH(D26,'Hotel Emissions'!$C:$C,0)))</f>
        <v>16.910410780975194</v>
      </c>
      <c r="G26" s="64">
        <f>IF(INDEX('Hotel Emissions'!$X:$X,MATCH(D26,'Hotel Emissions'!$C:$C,0))="",INDEX('Hotel Emissions'!$AC:$AC,MATCH(D26,'Hotel Emissions'!$C:$C,0)),INDEX('Hotel Emissions'!$X:$X,MATCH(D26,'Hotel Emissions'!$C:$C,0)))</f>
        <v>66.543957384996915</v>
      </c>
      <c r="H26" s="64">
        <f>IF(INDEX('Hotel Emissions'!AG:$AG,MATCH(D26,'Hotel Emissions'!$C:$C,0))="",INDEX('Hotel Emissions'!$AL:$AL,MATCH(D26,'Hotel Emissions'!$C:$C,0)),INDEX('Hotel Emissions'!$AG:$AG,MATCH(D26,'Hotel Emissions'!$C:$C,0)))</f>
        <v>94.792983435676007</v>
      </c>
      <c r="L26" s="31" t="s">
        <v>16</v>
      </c>
      <c r="M26" s="31" t="s">
        <v>78</v>
      </c>
    </row>
    <row r="27" spans="1:13" x14ac:dyDescent="0.65">
      <c r="A27" s="32"/>
      <c r="B27" s="32" t="s">
        <v>26</v>
      </c>
      <c r="C27" s="32" t="s">
        <v>328</v>
      </c>
      <c r="D27" s="32" t="str">
        <f t="shared" si="0"/>
        <v>Brazil</v>
      </c>
      <c r="E27" s="64">
        <f>INDEX('Hotel Emissions'!$G:$G,MATCH(D27,'Hotel Emissions'!$C:$C,0))</f>
        <v>8.6180526743506913</v>
      </c>
      <c r="F27" s="64">
        <f>IF(INDEX('Hotel Emissions'!$O:$O,MATCH(D27,'Hotel Emissions'!$C:$C,0))="",INDEX('Hotel Emissions'!$T:$T,MATCH(D27,'Hotel Emissions'!$C:$C,0)),INDEX('Hotel Emissions'!$O:$O,MATCH(D27,'Hotel Emissions'!$C:$C,0)))</f>
        <v>4.7026489737366814</v>
      </c>
      <c r="G27" s="64">
        <f>IF(INDEX('Hotel Emissions'!$X:$X,MATCH(D27,'Hotel Emissions'!$C:$C,0))="",INDEX('Hotel Emissions'!$AC:$AC,MATCH(D27,'Hotel Emissions'!$C:$C,0)),INDEX('Hotel Emissions'!$X:$X,MATCH(D27,'Hotel Emissions'!$C:$C,0)))</f>
        <v>9.1852085103618286</v>
      </c>
      <c r="H27" s="64">
        <f>IF(INDEX('Hotel Emissions'!AG:$AG,MATCH(D27,'Hotel Emissions'!$C:$C,0))="",INDEX('Hotel Emissions'!$AL:$AL,MATCH(D27,'Hotel Emissions'!$C:$C,0)),INDEX('Hotel Emissions'!$AG:$AG,MATCH(D27,'Hotel Emissions'!$C:$C,0)))</f>
        <v>17.988624802200274</v>
      </c>
      <c r="L27" s="31" t="s">
        <v>17</v>
      </c>
      <c r="M27" s="31" t="s">
        <v>50</v>
      </c>
    </row>
    <row r="28" spans="1:13" x14ac:dyDescent="0.65">
      <c r="A28" s="32"/>
      <c r="B28" s="32" t="s">
        <v>26</v>
      </c>
      <c r="C28" s="32" t="s">
        <v>555</v>
      </c>
      <c r="D28" s="32" t="str">
        <f t="shared" si="0"/>
        <v>Brazil</v>
      </c>
      <c r="E28" s="64">
        <f>INDEX('Hotel Emissions'!$G:$G,MATCH(D28,'Hotel Emissions'!$C:$C,0))</f>
        <v>8.6180526743506913</v>
      </c>
      <c r="F28" s="64">
        <f>IF(INDEX('Hotel Emissions'!$O:$O,MATCH(D28,'Hotel Emissions'!$C:$C,0))="",INDEX('Hotel Emissions'!$T:$T,MATCH(D28,'Hotel Emissions'!$C:$C,0)),INDEX('Hotel Emissions'!$O:$O,MATCH(D28,'Hotel Emissions'!$C:$C,0)))</f>
        <v>4.7026489737366814</v>
      </c>
      <c r="G28" s="64">
        <f>IF(INDEX('Hotel Emissions'!$X:$X,MATCH(D28,'Hotel Emissions'!$C:$C,0))="",INDEX('Hotel Emissions'!$AC:$AC,MATCH(D28,'Hotel Emissions'!$C:$C,0)),INDEX('Hotel Emissions'!$X:$X,MATCH(D28,'Hotel Emissions'!$C:$C,0)))</f>
        <v>9.1852085103618286</v>
      </c>
      <c r="H28" s="64">
        <f>IF(INDEX('Hotel Emissions'!AG:$AG,MATCH(D28,'Hotel Emissions'!$C:$C,0))="",INDEX('Hotel Emissions'!$AL:$AL,MATCH(D28,'Hotel Emissions'!$C:$C,0)),INDEX('Hotel Emissions'!$AG:$AG,MATCH(D28,'Hotel Emissions'!$C:$C,0)))</f>
        <v>17.988624802200274</v>
      </c>
      <c r="L28" s="31" t="s">
        <v>18</v>
      </c>
      <c r="M28" s="31" t="s">
        <v>133</v>
      </c>
    </row>
    <row r="29" spans="1:13" x14ac:dyDescent="0.65">
      <c r="A29" s="32"/>
      <c r="B29" s="32" t="s">
        <v>27</v>
      </c>
      <c r="C29" s="32" t="s">
        <v>433</v>
      </c>
      <c r="D29" s="32" t="str">
        <f t="shared" si="0"/>
        <v>Malaysia</v>
      </c>
      <c r="E29" s="64">
        <f>INDEX('Hotel Emissions'!$G:$G,MATCH(D29,'Hotel Emissions'!$C:$C,0))</f>
        <v>94.440624517876273</v>
      </c>
      <c r="F29" s="64">
        <f>IF(INDEX('Hotel Emissions'!$O:$O,MATCH(D29,'Hotel Emissions'!$C:$C,0))="",INDEX('Hotel Emissions'!$T:$T,MATCH(D29,'Hotel Emissions'!$C:$C,0)),INDEX('Hotel Emissions'!$O:$O,MATCH(D29,'Hotel Emissions'!$C:$C,0)))</f>
        <v>50.392437478984704</v>
      </c>
      <c r="G29" s="64">
        <f>IF(INDEX('Hotel Emissions'!$X:$X,MATCH(D29,'Hotel Emissions'!$C:$C,0))="",INDEX('Hotel Emissions'!$AC:$AC,MATCH(D29,'Hotel Emissions'!$C:$C,0)),INDEX('Hotel Emissions'!$X:$X,MATCH(D29,'Hotel Emissions'!$C:$C,0)))</f>
        <v>80.787705240745836</v>
      </c>
      <c r="H29" s="64">
        <f>IF(INDEX('Hotel Emissions'!AG:$AG,MATCH(D29,'Hotel Emissions'!$C:$C,0))="",INDEX('Hotel Emissions'!$AL:$AL,MATCH(D29,'Hotel Emissions'!$C:$C,0)),INDEX('Hotel Emissions'!$AG:$AG,MATCH(D29,'Hotel Emissions'!$C:$C,0)))</f>
        <v>159.16481018320451</v>
      </c>
      <c r="L29" s="31" t="s">
        <v>20</v>
      </c>
      <c r="M29" s="31" t="s">
        <v>42</v>
      </c>
    </row>
    <row r="30" spans="1:13" x14ac:dyDescent="0.65">
      <c r="A30" s="32"/>
      <c r="B30" s="32" t="s">
        <v>28</v>
      </c>
      <c r="C30" s="32" t="s">
        <v>434</v>
      </c>
      <c r="D30" s="32" t="str">
        <f t="shared" si="0"/>
        <v>Romania</v>
      </c>
      <c r="E30" s="64">
        <f>INDEX('Hotel Emissions'!$G:$G,MATCH(D30,'Hotel Emissions'!$C:$C,0))</f>
        <v>23.759309432044105</v>
      </c>
      <c r="F30" s="64">
        <f>IF(INDEX('Hotel Emissions'!$O:$O,MATCH(D30,'Hotel Emissions'!$C:$C,0))="",INDEX('Hotel Emissions'!$T:$T,MATCH(D30,'Hotel Emissions'!$C:$C,0)),INDEX('Hotel Emissions'!$O:$O,MATCH(D30,'Hotel Emissions'!$C:$C,0)))</f>
        <v>16.910410780975194</v>
      </c>
      <c r="G30" s="64">
        <f>IF(INDEX('Hotel Emissions'!$X:$X,MATCH(D30,'Hotel Emissions'!$C:$C,0))="",INDEX('Hotel Emissions'!$AC:$AC,MATCH(D30,'Hotel Emissions'!$C:$C,0)),INDEX('Hotel Emissions'!$X:$X,MATCH(D30,'Hotel Emissions'!$C:$C,0)))</f>
        <v>41.238180878421765</v>
      </c>
      <c r="H30" s="64">
        <f>IF(INDEX('Hotel Emissions'!AG:$AG,MATCH(D30,'Hotel Emissions'!$C:$C,0))="",INDEX('Hotel Emissions'!$AL:$AL,MATCH(D30,'Hotel Emissions'!$C:$C,0)),INDEX('Hotel Emissions'!$AG:$AG,MATCH(D30,'Hotel Emissions'!$C:$C,0)))</f>
        <v>94.792983435676007</v>
      </c>
      <c r="L30" s="31" t="s">
        <v>21</v>
      </c>
      <c r="M30" s="31" t="s">
        <v>114</v>
      </c>
    </row>
    <row r="31" spans="1:13" x14ac:dyDescent="0.65">
      <c r="A31" s="32"/>
      <c r="B31" s="32" t="s">
        <v>29</v>
      </c>
      <c r="C31" s="32" t="s">
        <v>435</v>
      </c>
      <c r="D31" s="32" t="str">
        <f t="shared" si="0"/>
        <v>Morocco</v>
      </c>
      <c r="E31" s="64">
        <f>INDEX('Hotel Emissions'!$G:$G,MATCH(D31,'Hotel Emissions'!$C:$C,0))</f>
        <v>64.786712103740001</v>
      </c>
      <c r="F31" s="64">
        <f>IF(INDEX('Hotel Emissions'!$O:$O,MATCH(D31,'Hotel Emissions'!$C:$C,0))="",INDEX('Hotel Emissions'!$T:$T,MATCH(D31,'Hotel Emissions'!$C:$C,0)),INDEX('Hotel Emissions'!$O:$O,MATCH(D31,'Hotel Emissions'!$C:$C,0)))</f>
        <v>22.421330805272362</v>
      </c>
      <c r="G31" s="64">
        <f>IF(INDEX('Hotel Emissions'!$X:$X,MATCH(D31,'Hotel Emissions'!$C:$C,0))="",INDEX('Hotel Emissions'!$AC:$AC,MATCH(D31,'Hotel Emissions'!$C:$C,0)),INDEX('Hotel Emissions'!$X:$X,MATCH(D31,'Hotel Emissions'!$C:$C,0)))</f>
        <v>81.787795373044702</v>
      </c>
      <c r="H31" s="64">
        <f>IF(INDEX('Hotel Emissions'!AG:$AG,MATCH(D31,'Hotel Emissions'!$C:$C,0))="",INDEX('Hotel Emissions'!$AL:$AL,MATCH(D31,'Hotel Emissions'!$C:$C,0)),INDEX('Hotel Emissions'!$AG:$AG,MATCH(D31,'Hotel Emissions'!$C:$C,0)))</f>
        <v>105.55113658157052</v>
      </c>
      <c r="L31" s="31" t="s">
        <v>22</v>
      </c>
      <c r="M31" s="31" t="s">
        <v>78</v>
      </c>
    </row>
    <row r="32" spans="1:13" x14ac:dyDescent="0.65">
      <c r="A32" s="32"/>
      <c r="B32" s="32" t="s">
        <v>30</v>
      </c>
      <c r="C32" s="32" t="s">
        <v>533</v>
      </c>
      <c r="D32" s="32" t="str">
        <f t="shared" si="0"/>
        <v>South Africa</v>
      </c>
      <c r="E32" s="64">
        <f>INDEX('Hotel Emissions'!$G:$G,MATCH(D32,'Hotel Emissions'!$C:$C,0))</f>
        <v>103.55037750960224</v>
      </c>
      <c r="F32" s="64">
        <f>IF(INDEX('Hotel Emissions'!$O:$O,MATCH(D32,'Hotel Emissions'!$C:$C,0))="",INDEX('Hotel Emissions'!$T:$T,MATCH(D32,'Hotel Emissions'!$C:$C,0)),INDEX('Hotel Emissions'!$O:$O,MATCH(D32,'Hotel Emissions'!$C:$C,0)))</f>
        <v>16.910410780975194</v>
      </c>
      <c r="G32" s="64">
        <f>IF(INDEX('Hotel Emissions'!$X:$X,MATCH(D32,'Hotel Emissions'!$C:$C,0))="",INDEX('Hotel Emissions'!$AC:$AC,MATCH(D32,'Hotel Emissions'!$C:$C,0)),INDEX('Hotel Emissions'!$X:$X,MATCH(D32,'Hotel Emissions'!$C:$C,0)))</f>
        <v>66.543957384996915</v>
      </c>
      <c r="H32" s="64">
        <f>IF(INDEX('Hotel Emissions'!AG:$AG,MATCH(D32,'Hotel Emissions'!$C:$C,0))="",INDEX('Hotel Emissions'!$AL:$AL,MATCH(D32,'Hotel Emissions'!$C:$C,0)),INDEX('Hotel Emissions'!$AG:$AG,MATCH(D32,'Hotel Emissions'!$C:$C,0)))</f>
        <v>94.792983435676007</v>
      </c>
      <c r="L32" s="31" t="s">
        <v>23</v>
      </c>
      <c r="M32" s="31" t="s">
        <v>131</v>
      </c>
    </row>
    <row r="33" spans="1:13" x14ac:dyDescent="0.65">
      <c r="A33" s="32"/>
      <c r="B33" s="32" t="s">
        <v>31</v>
      </c>
      <c r="C33" s="32" t="s">
        <v>436</v>
      </c>
      <c r="D33" s="32" t="str">
        <f t="shared" si="0"/>
        <v>Morocco</v>
      </c>
      <c r="E33" s="64">
        <f>INDEX('Hotel Emissions'!$G:$G,MATCH(D33,'Hotel Emissions'!$C:$C,0))</f>
        <v>64.786712103740001</v>
      </c>
      <c r="F33" s="64">
        <f>IF(INDEX('Hotel Emissions'!$O:$O,MATCH(D33,'Hotel Emissions'!$C:$C,0))="",INDEX('Hotel Emissions'!$T:$T,MATCH(D33,'Hotel Emissions'!$C:$C,0)),INDEX('Hotel Emissions'!$O:$O,MATCH(D33,'Hotel Emissions'!$C:$C,0)))</f>
        <v>22.421330805272362</v>
      </c>
      <c r="G33" s="64">
        <f>IF(INDEX('Hotel Emissions'!$X:$X,MATCH(D33,'Hotel Emissions'!$C:$C,0))="",INDEX('Hotel Emissions'!$AC:$AC,MATCH(D33,'Hotel Emissions'!$C:$C,0)),INDEX('Hotel Emissions'!$X:$X,MATCH(D33,'Hotel Emissions'!$C:$C,0)))</f>
        <v>81.787795373044702</v>
      </c>
      <c r="H33" s="64">
        <f>IF(INDEX('Hotel Emissions'!AG:$AG,MATCH(D33,'Hotel Emissions'!$C:$C,0))="",INDEX('Hotel Emissions'!$AL:$AL,MATCH(D33,'Hotel Emissions'!$C:$C,0)),INDEX('Hotel Emissions'!$AG:$AG,MATCH(D33,'Hotel Emissions'!$C:$C,0)))</f>
        <v>105.55113658157052</v>
      </c>
      <c r="L33" s="31" t="s">
        <v>24</v>
      </c>
      <c r="M33" s="31" t="s">
        <v>136</v>
      </c>
    </row>
    <row r="34" spans="1:13" x14ac:dyDescent="0.65">
      <c r="A34" s="32"/>
      <c r="B34" s="32" t="s">
        <v>32</v>
      </c>
      <c r="C34" s="32" t="s">
        <v>437</v>
      </c>
      <c r="D34" s="32" t="str">
        <f t="shared" si="0"/>
        <v>Thailand</v>
      </c>
      <c r="E34" s="64">
        <f>INDEX('Hotel Emissions'!$G:$G,MATCH(D34,'Hotel Emissions'!$C:$C,0))</f>
        <v>104.67175654633746</v>
      </c>
      <c r="F34" s="64">
        <f>IF(INDEX('Hotel Emissions'!$O:$O,MATCH(D34,'Hotel Emissions'!$C:$C,0))="",INDEX('Hotel Emissions'!$T:$T,MATCH(D34,'Hotel Emissions'!$C:$C,0)),INDEX('Hotel Emissions'!$O:$O,MATCH(D34,'Hotel Emissions'!$C:$C,0)))</f>
        <v>43.770449087281946</v>
      </c>
      <c r="G34" s="64">
        <f>IF(INDEX('Hotel Emissions'!$X:$X,MATCH(D34,'Hotel Emissions'!$C:$C,0))="",INDEX('Hotel Emissions'!$AC:$AC,MATCH(D34,'Hotel Emissions'!$C:$C,0)),INDEX('Hotel Emissions'!$X:$X,MATCH(D34,'Hotel Emissions'!$C:$C,0)))</f>
        <v>88.402614542542324</v>
      </c>
      <c r="H34" s="64">
        <f>IF(INDEX('Hotel Emissions'!AG:$AG,MATCH(D34,'Hotel Emissions'!$C:$C,0))="",INDEX('Hotel Emissions'!$AL:$AL,MATCH(D34,'Hotel Emissions'!$C:$C,0)),INDEX('Hotel Emissions'!$AG:$AG,MATCH(D34,'Hotel Emissions'!$C:$C,0)))</f>
        <v>156.99818737165143</v>
      </c>
      <c r="L34" s="31" t="s">
        <v>25</v>
      </c>
      <c r="M34" s="31" t="s">
        <v>152</v>
      </c>
    </row>
    <row r="35" spans="1:13" x14ac:dyDescent="0.65">
      <c r="A35" s="32"/>
      <c r="B35" s="32" t="s">
        <v>33</v>
      </c>
      <c r="C35" s="32" t="s">
        <v>556</v>
      </c>
      <c r="D35" s="32" t="str">
        <f t="shared" si="0"/>
        <v>South Africa</v>
      </c>
      <c r="E35" s="64">
        <f>INDEX('Hotel Emissions'!$G:$G,MATCH(D35,'Hotel Emissions'!$C:$C,0))</f>
        <v>103.55037750960224</v>
      </c>
      <c r="F35" s="64">
        <f>IF(INDEX('Hotel Emissions'!$O:$O,MATCH(D35,'Hotel Emissions'!$C:$C,0))="",INDEX('Hotel Emissions'!$T:$T,MATCH(D35,'Hotel Emissions'!$C:$C,0)),INDEX('Hotel Emissions'!$O:$O,MATCH(D35,'Hotel Emissions'!$C:$C,0)))</f>
        <v>16.910410780975194</v>
      </c>
      <c r="G35" s="64">
        <f>IF(INDEX('Hotel Emissions'!$X:$X,MATCH(D35,'Hotel Emissions'!$C:$C,0))="",INDEX('Hotel Emissions'!$AC:$AC,MATCH(D35,'Hotel Emissions'!$C:$C,0)),INDEX('Hotel Emissions'!$X:$X,MATCH(D35,'Hotel Emissions'!$C:$C,0)))</f>
        <v>66.543957384996915</v>
      </c>
      <c r="H35" s="64">
        <f>IF(INDEX('Hotel Emissions'!AG:$AG,MATCH(D35,'Hotel Emissions'!$C:$C,0))="",INDEX('Hotel Emissions'!$AL:$AL,MATCH(D35,'Hotel Emissions'!$C:$C,0)),INDEX('Hotel Emissions'!$AG:$AG,MATCH(D35,'Hotel Emissions'!$C:$C,0)))</f>
        <v>94.792983435676007</v>
      </c>
      <c r="L35" s="31" t="s">
        <v>27</v>
      </c>
      <c r="M35" s="31" t="s">
        <v>103</v>
      </c>
    </row>
    <row r="36" spans="1:13" x14ac:dyDescent="0.65">
      <c r="A36" s="32"/>
      <c r="B36" s="32" t="s">
        <v>33</v>
      </c>
      <c r="C36" s="32" t="s">
        <v>534</v>
      </c>
      <c r="D36" s="32" t="str">
        <f t="shared" si="0"/>
        <v>South Africa</v>
      </c>
      <c r="E36" s="64">
        <f>INDEX('Hotel Emissions'!$G:$G,MATCH(D36,'Hotel Emissions'!$C:$C,0))</f>
        <v>103.55037750960224</v>
      </c>
      <c r="F36" s="64">
        <f>IF(INDEX('Hotel Emissions'!$O:$O,MATCH(D36,'Hotel Emissions'!$C:$C,0))="",INDEX('Hotel Emissions'!$T:$T,MATCH(D36,'Hotel Emissions'!$C:$C,0)),INDEX('Hotel Emissions'!$O:$O,MATCH(D36,'Hotel Emissions'!$C:$C,0)))</f>
        <v>16.910410780975194</v>
      </c>
      <c r="G36" s="64">
        <f>IF(INDEX('Hotel Emissions'!$X:$X,MATCH(D36,'Hotel Emissions'!$C:$C,0))="",INDEX('Hotel Emissions'!$AC:$AC,MATCH(D36,'Hotel Emissions'!$C:$C,0)),INDEX('Hotel Emissions'!$X:$X,MATCH(D36,'Hotel Emissions'!$C:$C,0)))</f>
        <v>66.543957384996915</v>
      </c>
      <c r="H36" s="64">
        <f>IF(INDEX('Hotel Emissions'!AG:$AG,MATCH(D36,'Hotel Emissions'!$C:$C,0))="",INDEX('Hotel Emissions'!$AL:$AL,MATCH(D36,'Hotel Emissions'!$C:$C,0)),INDEX('Hotel Emissions'!$AG:$AG,MATCH(D36,'Hotel Emissions'!$C:$C,0)))</f>
        <v>94.792983435676007</v>
      </c>
      <c r="L36" s="31" t="s">
        <v>28</v>
      </c>
      <c r="M36" s="31" t="s">
        <v>136</v>
      </c>
    </row>
    <row r="37" spans="1:13" x14ac:dyDescent="0.65">
      <c r="A37" s="32"/>
      <c r="B37" s="32" t="s">
        <v>34</v>
      </c>
      <c r="C37" s="32" t="s">
        <v>334</v>
      </c>
      <c r="D37" s="32" t="str">
        <f t="shared" si="0"/>
        <v>Canada</v>
      </c>
      <c r="E37" s="64">
        <f>INDEX('Hotel Emissions'!$G:$G,MATCH(D37,'Hotel Emissions'!$C:$C,0))</f>
        <v>21.891214572253347</v>
      </c>
      <c r="F37" s="64">
        <f>IF(INDEX('Hotel Emissions'!$O:$O,MATCH(D37,'Hotel Emissions'!$C:$C,0))="",INDEX('Hotel Emissions'!$T:$T,MATCH(D37,'Hotel Emissions'!$C:$C,0)),INDEX('Hotel Emissions'!$O:$O,MATCH(D37,'Hotel Emissions'!$C:$C,0)))</f>
        <v>18.442738385135236</v>
      </c>
      <c r="G37" s="64">
        <f>IF(INDEX('Hotel Emissions'!$X:$X,MATCH(D37,'Hotel Emissions'!$C:$C,0))="",INDEX('Hotel Emissions'!$AC:$AC,MATCH(D37,'Hotel Emissions'!$C:$C,0)),INDEX('Hotel Emissions'!$X:$X,MATCH(D37,'Hotel Emissions'!$C:$C,0)))</f>
        <v>40.303491206338137</v>
      </c>
      <c r="H37" s="64">
        <f>IF(INDEX('Hotel Emissions'!AG:$AG,MATCH(D37,'Hotel Emissions'!$C:$C,0))="",INDEX('Hotel Emissions'!$AL:$AL,MATCH(D37,'Hotel Emissions'!$C:$C,0)),INDEX('Hotel Emissions'!$AG:$AG,MATCH(D37,'Hotel Emissions'!$C:$C,0)))</f>
        <v>94.792983435676007</v>
      </c>
      <c r="L37" s="31" t="s">
        <v>29</v>
      </c>
      <c r="M37" s="31" t="s">
        <v>114</v>
      </c>
    </row>
    <row r="38" spans="1:13" x14ac:dyDescent="0.65">
      <c r="A38" s="32"/>
      <c r="B38" s="32" t="s">
        <v>34</v>
      </c>
      <c r="C38" s="32" t="s">
        <v>438</v>
      </c>
      <c r="D38" s="32" t="str">
        <f t="shared" si="0"/>
        <v>Canada</v>
      </c>
      <c r="E38" s="64">
        <f>INDEX('Hotel Emissions'!$G:$G,MATCH(D38,'Hotel Emissions'!$C:$C,0))</f>
        <v>21.891214572253347</v>
      </c>
      <c r="F38" s="64">
        <f>IF(INDEX('Hotel Emissions'!$O:$O,MATCH(D38,'Hotel Emissions'!$C:$C,0))="",INDEX('Hotel Emissions'!$T:$T,MATCH(D38,'Hotel Emissions'!$C:$C,0)),INDEX('Hotel Emissions'!$O:$O,MATCH(D38,'Hotel Emissions'!$C:$C,0)))</f>
        <v>18.442738385135236</v>
      </c>
      <c r="G38" s="64">
        <f>IF(INDEX('Hotel Emissions'!$X:$X,MATCH(D38,'Hotel Emissions'!$C:$C,0))="",INDEX('Hotel Emissions'!$AC:$AC,MATCH(D38,'Hotel Emissions'!$C:$C,0)),INDEX('Hotel Emissions'!$X:$X,MATCH(D38,'Hotel Emissions'!$C:$C,0)))</f>
        <v>40.303491206338137</v>
      </c>
      <c r="H38" s="64">
        <f>IF(INDEX('Hotel Emissions'!AG:$AG,MATCH(D38,'Hotel Emissions'!$C:$C,0))="",INDEX('Hotel Emissions'!$AL:$AL,MATCH(D38,'Hotel Emissions'!$C:$C,0)),INDEX('Hotel Emissions'!$AG:$AG,MATCH(D38,'Hotel Emissions'!$C:$C,0)))</f>
        <v>94.792983435676007</v>
      </c>
      <c r="L38" s="31" t="s">
        <v>30</v>
      </c>
      <c r="M38" s="31" t="s">
        <v>152</v>
      </c>
    </row>
    <row r="39" spans="1:13" x14ac:dyDescent="0.65">
      <c r="A39" s="32"/>
      <c r="B39" s="32" t="s">
        <v>35</v>
      </c>
      <c r="C39" s="32" t="s">
        <v>439</v>
      </c>
      <c r="D39" s="32" t="str">
        <f t="shared" si="0"/>
        <v>South Africa</v>
      </c>
      <c r="E39" s="64">
        <f>INDEX('Hotel Emissions'!$G:$G,MATCH(D39,'Hotel Emissions'!$C:$C,0))</f>
        <v>103.55037750960224</v>
      </c>
      <c r="F39" s="64">
        <f>IF(INDEX('Hotel Emissions'!$O:$O,MATCH(D39,'Hotel Emissions'!$C:$C,0))="",INDEX('Hotel Emissions'!$T:$T,MATCH(D39,'Hotel Emissions'!$C:$C,0)),INDEX('Hotel Emissions'!$O:$O,MATCH(D39,'Hotel Emissions'!$C:$C,0)))</f>
        <v>16.910410780975194</v>
      </c>
      <c r="G39" s="64">
        <f>IF(INDEX('Hotel Emissions'!$X:$X,MATCH(D39,'Hotel Emissions'!$C:$C,0))="",INDEX('Hotel Emissions'!$AC:$AC,MATCH(D39,'Hotel Emissions'!$C:$C,0)),INDEX('Hotel Emissions'!$X:$X,MATCH(D39,'Hotel Emissions'!$C:$C,0)))</f>
        <v>66.543957384996915</v>
      </c>
      <c r="H39" s="64">
        <f>IF(INDEX('Hotel Emissions'!AG:$AG,MATCH(D39,'Hotel Emissions'!$C:$C,0))="",INDEX('Hotel Emissions'!$AL:$AL,MATCH(D39,'Hotel Emissions'!$C:$C,0)),INDEX('Hotel Emissions'!$AG:$AG,MATCH(D39,'Hotel Emissions'!$C:$C,0)))</f>
        <v>94.792983435676007</v>
      </c>
      <c r="L39" s="31" t="s">
        <v>31</v>
      </c>
      <c r="M39" s="31" t="s">
        <v>114</v>
      </c>
    </row>
    <row r="40" spans="1:13" x14ac:dyDescent="0.65">
      <c r="A40" s="32"/>
      <c r="B40" s="32" t="s">
        <v>36</v>
      </c>
      <c r="C40" s="32" t="s">
        <v>440</v>
      </c>
      <c r="D40" s="32" t="str">
        <f t="shared" si="0"/>
        <v>Egypt</v>
      </c>
      <c r="E40" s="64">
        <f>INDEX('Hotel Emissions'!$G:$G,MATCH(D40,'Hotel Emissions'!$C:$C,0))</f>
        <v>70.842196018462928</v>
      </c>
      <c r="F40" s="64">
        <f>IF(INDEX('Hotel Emissions'!$O:$O,MATCH(D40,'Hotel Emissions'!$C:$C,0))="",INDEX('Hotel Emissions'!$T:$T,MATCH(D40,'Hotel Emissions'!$C:$C,0)),INDEX('Hotel Emissions'!$O:$O,MATCH(D40,'Hotel Emissions'!$C:$C,0)))</f>
        <v>16.910410780975194</v>
      </c>
      <c r="G40" s="64">
        <f>IF(INDEX('Hotel Emissions'!$X:$X,MATCH(D40,'Hotel Emissions'!$C:$C,0))="",INDEX('Hotel Emissions'!$AC:$AC,MATCH(D40,'Hotel Emissions'!$C:$C,0)),INDEX('Hotel Emissions'!$X:$X,MATCH(D40,'Hotel Emissions'!$C:$C,0)))</f>
        <v>57.545341500582353</v>
      </c>
      <c r="H40" s="64">
        <f>IF(INDEX('Hotel Emissions'!AG:$AG,MATCH(D40,'Hotel Emissions'!$C:$C,0))="",INDEX('Hotel Emissions'!$AL:$AL,MATCH(D40,'Hotel Emissions'!$C:$C,0)),INDEX('Hotel Emissions'!$AG:$AG,MATCH(D40,'Hotel Emissions'!$C:$C,0)))</f>
        <v>91.29950522874455</v>
      </c>
      <c r="L40" s="31" t="s">
        <v>32</v>
      </c>
      <c r="M40" s="31" t="s">
        <v>165</v>
      </c>
    </row>
    <row r="41" spans="1:13" x14ac:dyDescent="0.65">
      <c r="A41" s="32"/>
      <c r="B41" s="32" t="s">
        <v>37</v>
      </c>
      <c r="C41" s="32" t="s">
        <v>327</v>
      </c>
      <c r="D41" s="32" t="str">
        <f t="shared" si="0"/>
        <v>Chile</v>
      </c>
      <c r="E41" s="64">
        <f>INDEX('Hotel Emissions'!$G:$G,MATCH(D41,'Hotel Emissions'!$C:$C,0))</f>
        <v>34.082810014375681</v>
      </c>
      <c r="F41" s="64">
        <f>IF(INDEX('Hotel Emissions'!$O:$O,MATCH(D41,'Hotel Emissions'!$C:$C,0))="",INDEX('Hotel Emissions'!$T:$T,MATCH(D41,'Hotel Emissions'!$C:$C,0)),INDEX('Hotel Emissions'!$O:$O,MATCH(D41,'Hotel Emissions'!$C:$C,0)))</f>
        <v>14.974209797204468</v>
      </c>
      <c r="G41" s="64">
        <f>IF(INDEX('Hotel Emissions'!$X:$X,MATCH(D41,'Hotel Emissions'!$C:$C,0))="",INDEX('Hotel Emissions'!$AC:$AC,MATCH(D41,'Hotel Emissions'!$C:$C,0)),INDEX('Hotel Emissions'!$X:$X,MATCH(D41,'Hotel Emissions'!$C:$C,0)))</f>
        <v>55.881851199517264</v>
      </c>
      <c r="H41" s="64">
        <f>IF(INDEX('Hotel Emissions'!AG:$AG,MATCH(D41,'Hotel Emissions'!$C:$C,0))="",INDEX('Hotel Emissions'!$AL:$AL,MATCH(D41,'Hotel Emissions'!$C:$C,0)),INDEX('Hotel Emissions'!$AG:$AG,MATCH(D41,'Hotel Emissions'!$C:$C,0)))</f>
        <v>94.792983435676007</v>
      </c>
      <c r="L41" s="31" t="s">
        <v>33</v>
      </c>
      <c r="M41" s="31" t="s">
        <v>152</v>
      </c>
    </row>
    <row r="42" spans="1:13" x14ac:dyDescent="0.65">
      <c r="A42" s="32"/>
      <c r="B42" s="32" t="s">
        <v>38</v>
      </c>
      <c r="C42" s="32" t="s">
        <v>330</v>
      </c>
      <c r="D42" s="32" t="str">
        <f t="shared" si="0"/>
        <v>China</v>
      </c>
      <c r="E42" s="64">
        <f>INDEX('Hotel Emissions'!$G:$G,MATCH(D42,'Hotel Emissions'!$C:$C,0))</f>
        <v>63.917131895306049</v>
      </c>
      <c r="F42" s="64">
        <f>IF(INDEX('Hotel Emissions'!$O:$O,MATCH(D42,'Hotel Emissions'!$C:$C,0))="",INDEX('Hotel Emissions'!$T:$T,MATCH(D42,'Hotel Emissions'!$C:$C,0)),INDEX('Hotel Emissions'!$O:$O,MATCH(D42,'Hotel Emissions'!$C:$C,0)))</f>
        <v>46.509414509985085</v>
      </c>
      <c r="G42" s="64">
        <f>IF(INDEX('Hotel Emissions'!$X:$X,MATCH(D42,'Hotel Emissions'!$C:$C,0))="",INDEX('Hotel Emissions'!$AC:$AC,MATCH(D42,'Hotel Emissions'!$C:$C,0)),INDEX('Hotel Emissions'!$X:$X,MATCH(D42,'Hotel Emissions'!$C:$C,0)))</f>
        <v>68.926915948163128</v>
      </c>
      <c r="H42" s="64">
        <f>IF(INDEX('Hotel Emissions'!AG:$AG,MATCH(D42,'Hotel Emissions'!$C:$C,0))="",INDEX('Hotel Emissions'!$AL:$AL,MATCH(D42,'Hotel Emissions'!$C:$C,0)),INDEX('Hotel Emissions'!$AG:$AG,MATCH(D42,'Hotel Emissions'!$C:$C,0)))</f>
        <v>92.091654166824938</v>
      </c>
      <c r="L42" s="31" t="s">
        <v>572</v>
      </c>
      <c r="M42" s="31" t="s">
        <v>152</v>
      </c>
    </row>
    <row r="43" spans="1:13" x14ac:dyDescent="0.65">
      <c r="A43" s="32"/>
      <c r="B43" s="32" t="s">
        <v>38</v>
      </c>
      <c r="C43" s="32" t="s">
        <v>299</v>
      </c>
      <c r="D43" s="32" t="str">
        <f t="shared" si="0"/>
        <v>China</v>
      </c>
      <c r="E43" s="64">
        <f>INDEX('Hotel Emissions'!$G:$G,MATCH(D43,'Hotel Emissions'!$C:$C,0))</f>
        <v>63.917131895306049</v>
      </c>
      <c r="F43" s="64">
        <f>IF(INDEX('Hotel Emissions'!$O:$O,MATCH(D43,'Hotel Emissions'!$C:$C,0))="",INDEX('Hotel Emissions'!$T:$T,MATCH(D43,'Hotel Emissions'!$C:$C,0)),INDEX('Hotel Emissions'!$O:$O,MATCH(D43,'Hotel Emissions'!$C:$C,0)))</f>
        <v>46.509414509985085</v>
      </c>
      <c r="G43" s="64">
        <f>IF(INDEX('Hotel Emissions'!$X:$X,MATCH(D43,'Hotel Emissions'!$C:$C,0))="",INDEX('Hotel Emissions'!$AC:$AC,MATCH(D43,'Hotel Emissions'!$C:$C,0)),INDEX('Hotel Emissions'!$X:$X,MATCH(D43,'Hotel Emissions'!$C:$C,0)))</f>
        <v>68.926915948163128</v>
      </c>
      <c r="H43" s="64">
        <f>IF(INDEX('Hotel Emissions'!AG:$AG,MATCH(D43,'Hotel Emissions'!$C:$C,0))="",INDEX('Hotel Emissions'!$AL:$AL,MATCH(D43,'Hotel Emissions'!$C:$C,0)),INDEX('Hotel Emissions'!$AG:$AG,MATCH(D43,'Hotel Emissions'!$C:$C,0)))</f>
        <v>92.091654166824938</v>
      </c>
      <c r="L43" s="31" t="s">
        <v>35</v>
      </c>
      <c r="M43" s="31" t="s">
        <v>152</v>
      </c>
    </row>
    <row r="44" spans="1:13" x14ac:dyDescent="0.65">
      <c r="A44" s="32"/>
      <c r="B44" s="32" t="s">
        <v>39</v>
      </c>
      <c r="C44" s="32" t="s">
        <v>535</v>
      </c>
      <c r="D44" s="32" t="str">
        <f t="shared" si="0"/>
        <v>Colombia</v>
      </c>
      <c r="E44" s="64">
        <f>INDEX('Hotel Emissions'!$G:$G,MATCH(D44,'Hotel Emissions'!$C:$C,0))</f>
        <v>14.267918673051788</v>
      </c>
      <c r="F44" s="64">
        <f>IF(INDEX('Hotel Emissions'!$O:$O,MATCH(D44,'Hotel Emissions'!$C:$C,0))="",INDEX('Hotel Emissions'!$T:$T,MATCH(D44,'Hotel Emissions'!$C:$C,0)),INDEX('Hotel Emissions'!$O:$O,MATCH(D44,'Hotel Emissions'!$C:$C,0)))</f>
        <v>8.9790894897367455</v>
      </c>
      <c r="G44" s="64">
        <f>IF(INDEX('Hotel Emissions'!$X:$X,MATCH(D44,'Hotel Emissions'!$C:$C,0))="",INDEX('Hotel Emissions'!$AC:$AC,MATCH(D44,'Hotel Emissions'!$C:$C,0)),INDEX('Hotel Emissions'!$X:$X,MATCH(D44,'Hotel Emissions'!$C:$C,0)))</f>
        <v>16.225718608370105</v>
      </c>
      <c r="H44" s="64">
        <f>IF(INDEX('Hotel Emissions'!AG:$AG,MATCH(D44,'Hotel Emissions'!$C:$C,0))="",INDEX('Hotel Emissions'!$AL:$AL,MATCH(D44,'Hotel Emissions'!$C:$C,0)),INDEX('Hotel Emissions'!$AG:$AG,MATCH(D44,'Hotel Emissions'!$C:$C,0)))</f>
        <v>31.301148694206912</v>
      </c>
      <c r="L44" s="31" t="s">
        <v>36</v>
      </c>
      <c r="M44" s="31" t="s">
        <v>53</v>
      </c>
    </row>
    <row r="45" spans="1:13" x14ac:dyDescent="0.65">
      <c r="A45" s="32"/>
      <c r="B45" s="32" t="s">
        <v>40</v>
      </c>
      <c r="C45" s="32" t="s">
        <v>441</v>
      </c>
      <c r="D45" s="32" t="str">
        <f t="shared" si="0"/>
        <v>South Africa</v>
      </c>
      <c r="E45" s="64">
        <f>INDEX('Hotel Emissions'!$G:$G,MATCH(D45,'Hotel Emissions'!$C:$C,0))</f>
        <v>103.55037750960224</v>
      </c>
      <c r="F45" s="64">
        <f>IF(INDEX('Hotel Emissions'!$O:$O,MATCH(D45,'Hotel Emissions'!$C:$C,0))="",INDEX('Hotel Emissions'!$T:$T,MATCH(D45,'Hotel Emissions'!$C:$C,0)),INDEX('Hotel Emissions'!$O:$O,MATCH(D45,'Hotel Emissions'!$C:$C,0)))</f>
        <v>16.910410780975194</v>
      </c>
      <c r="G45" s="64">
        <f>IF(INDEX('Hotel Emissions'!$X:$X,MATCH(D45,'Hotel Emissions'!$C:$C,0))="",INDEX('Hotel Emissions'!$AC:$AC,MATCH(D45,'Hotel Emissions'!$C:$C,0)),INDEX('Hotel Emissions'!$X:$X,MATCH(D45,'Hotel Emissions'!$C:$C,0)))</f>
        <v>66.543957384996915</v>
      </c>
      <c r="H45" s="64">
        <f>IF(INDEX('Hotel Emissions'!AG:$AG,MATCH(D45,'Hotel Emissions'!$C:$C,0))="",INDEX('Hotel Emissions'!$AL:$AL,MATCH(D45,'Hotel Emissions'!$C:$C,0)),INDEX('Hotel Emissions'!$AG:$AG,MATCH(D45,'Hotel Emissions'!$C:$C,0)))</f>
        <v>94.792983435676007</v>
      </c>
      <c r="L45" s="31" t="s">
        <v>40</v>
      </c>
      <c r="M45" s="31" t="s">
        <v>152</v>
      </c>
    </row>
    <row r="46" spans="1:13" x14ac:dyDescent="0.65">
      <c r="A46" s="32"/>
      <c r="B46" s="32" t="s">
        <v>41</v>
      </c>
      <c r="C46" s="32" t="s">
        <v>442</v>
      </c>
      <c r="D46" s="32" t="str">
        <f t="shared" si="0"/>
        <v>South Africa</v>
      </c>
      <c r="E46" s="64">
        <f>INDEX('Hotel Emissions'!$G:$G,MATCH(D46,'Hotel Emissions'!$C:$C,0))</f>
        <v>103.55037750960224</v>
      </c>
      <c r="F46" s="64">
        <f>IF(INDEX('Hotel Emissions'!$O:$O,MATCH(D46,'Hotel Emissions'!$C:$C,0))="",INDEX('Hotel Emissions'!$T:$T,MATCH(D46,'Hotel Emissions'!$C:$C,0)),INDEX('Hotel Emissions'!$O:$O,MATCH(D46,'Hotel Emissions'!$C:$C,0)))</f>
        <v>16.910410780975194</v>
      </c>
      <c r="G46" s="64">
        <f>IF(INDEX('Hotel Emissions'!$X:$X,MATCH(D46,'Hotel Emissions'!$C:$C,0))="",INDEX('Hotel Emissions'!$AC:$AC,MATCH(D46,'Hotel Emissions'!$C:$C,0)),INDEX('Hotel Emissions'!$X:$X,MATCH(D46,'Hotel Emissions'!$C:$C,0)))</f>
        <v>66.543957384996915</v>
      </c>
      <c r="H46" s="64">
        <f>IF(INDEX('Hotel Emissions'!AG:$AG,MATCH(D46,'Hotel Emissions'!$C:$C,0))="",INDEX('Hotel Emissions'!$AL:$AL,MATCH(D46,'Hotel Emissions'!$C:$C,0)),INDEX('Hotel Emissions'!$AG:$AG,MATCH(D46,'Hotel Emissions'!$C:$C,0)))</f>
        <v>94.792983435676007</v>
      </c>
      <c r="L46" s="31" t="s">
        <v>41</v>
      </c>
      <c r="M46" s="31" t="s">
        <v>152</v>
      </c>
    </row>
    <row r="47" spans="1:13" x14ac:dyDescent="0.65">
      <c r="A47" s="32"/>
      <c r="B47" s="32" t="s">
        <v>41</v>
      </c>
      <c r="C47" s="32" t="s">
        <v>443</v>
      </c>
      <c r="D47" s="32" t="str">
        <f t="shared" si="0"/>
        <v>South Africa</v>
      </c>
      <c r="E47" s="64">
        <f>INDEX('Hotel Emissions'!$G:$G,MATCH(D47,'Hotel Emissions'!$C:$C,0))</f>
        <v>103.55037750960224</v>
      </c>
      <c r="F47" s="64">
        <f>IF(INDEX('Hotel Emissions'!$O:$O,MATCH(D47,'Hotel Emissions'!$C:$C,0))="",INDEX('Hotel Emissions'!$T:$T,MATCH(D47,'Hotel Emissions'!$C:$C,0)),INDEX('Hotel Emissions'!$O:$O,MATCH(D47,'Hotel Emissions'!$C:$C,0)))</f>
        <v>16.910410780975194</v>
      </c>
      <c r="G47" s="64">
        <f>IF(INDEX('Hotel Emissions'!$X:$X,MATCH(D47,'Hotel Emissions'!$C:$C,0))="",INDEX('Hotel Emissions'!$AC:$AC,MATCH(D47,'Hotel Emissions'!$C:$C,0)),INDEX('Hotel Emissions'!$X:$X,MATCH(D47,'Hotel Emissions'!$C:$C,0)))</f>
        <v>66.543957384996915</v>
      </c>
      <c r="H47" s="64">
        <f>IF(INDEX('Hotel Emissions'!AG:$AG,MATCH(D47,'Hotel Emissions'!$C:$C,0))="",INDEX('Hotel Emissions'!$AL:$AL,MATCH(D47,'Hotel Emissions'!$C:$C,0)),INDEX('Hotel Emissions'!$AG:$AG,MATCH(D47,'Hotel Emissions'!$C:$C,0)))</f>
        <v>94.792983435676007</v>
      </c>
      <c r="L47" s="31" t="s">
        <v>573</v>
      </c>
      <c r="M47" s="31" t="s">
        <v>152</v>
      </c>
    </row>
    <row r="48" spans="1:13" x14ac:dyDescent="0.65">
      <c r="A48" s="32"/>
      <c r="B48" s="32" t="s">
        <v>42</v>
      </c>
      <c r="C48" s="32" t="s">
        <v>326</v>
      </c>
      <c r="D48" s="32" t="str">
        <f t="shared" si="0"/>
        <v>Costa Rica</v>
      </c>
      <c r="E48" s="64">
        <f>INDEX('Hotel Emissions'!$G:$G,MATCH(D48,'Hotel Emissions'!$C:$C,0))</f>
        <v>11.133538864398535</v>
      </c>
      <c r="F48" s="64">
        <f>IF(INDEX('Hotel Emissions'!$O:$O,MATCH(D48,'Hotel Emissions'!$C:$C,0))="",INDEX('Hotel Emissions'!$T:$T,MATCH(D48,'Hotel Emissions'!$C:$C,0)),INDEX('Hotel Emissions'!$O:$O,MATCH(D48,'Hotel Emissions'!$C:$C,0)))</f>
        <v>6.0947986768733706</v>
      </c>
      <c r="G48" s="64">
        <f>IF(INDEX('Hotel Emissions'!$X:$X,MATCH(D48,'Hotel Emissions'!$C:$C,0))="",INDEX('Hotel Emissions'!$AC:$AC,MATCH(D48,'Hotel Emissions'!$C:$C,0)),INDEX('Hotel Emissions'!$X:$X,MATCH(D48,'Hotel Emissions'!$C:$C,0)))</f>
        <v>14.502350330546598</v>
      </c>
      <c r="H48" s="64">
        <f>IF(INDEX('Hotel Emissions'!AG:$AG,MATCH(D48,'Hotel Emissions'!$C:$C,0))="",INDEX('Hotel Emissions'!$AL:$AL,MATCH(D48,'Hotel Emissions'!$C:$C,0)),INDEX('Hotel Emissions'!$AG:$AG,MATCH(D48,'Hotel Emissions'!$C:$C,0)))</f>
        <v>94.792983435676007</v>
      </c>
      <c r="L48" s="31" t="s">
        <v>43</v>
      </c>
      <c r="M48" s="31" t="s">
        <v>114</v>
      </c>
    </row>
    <row r="49" spans="1:13" x14ac:dyDescent="0.65">
      <c r="A49" s="32"/>
      <c r="B49" s="32" t="s">
        <v>43</v>
      </c>
      <c r="C49" s="32" t="s">
        <v>546</v>
      </c>
      <c r="D49" s="32" t="str">
        <f t="shared" si="0"/>
        <v>Morocco</v>
      </c>
      <c r="E49" s="64">
        <f>INDEX('Hotel Emissions'!$G:$G,MATCH(D49,'Hotel Emissions'!$C:$C,0))</f>
        <v>64.786712103740001</v>
      </c>
      <c r="F49" s="64">
        <f>IF(INDEX('Hotel Emissions'!$O:$O,MATCH(D49,'Hotel Emissions'!$C:$C,0))="",INDEX('Hotel Emissions'!$T:$T,MATCH(D49,'Hotel Emissions'!$C:$C,0)),INDEX('Hotel Emissions'!$O:$O,MATCH(D49,'Hotel Emissions'!$C:$C,0)))</f>
        <v>22.421330805272362</v>
      </c>
      <c r="G49" s="64">
        <f>IF(INDEX('Hotel Emissions'!$X:$X,MATCH(D49,'Hotel Emissions'!$C:$C,0))="",INDEX('Hotel Emissions'!$AC:$AC,MATCH(D49,'Hotel Emissions'!$C:$C,0)),INDEX('Hotel Emissions'!$X:$X,MATCH(D49,'Hotel Emissions'!$C:$C,0)))</f>
        <v>81.787795373044702</v>
      </c>
      <c r="H49" s="64">
        <f>IF(INDEX('Hotel Emissions'!AG:$AG,MATCH(D49,'Hotel Emissions'!$C:$C,0))="",INDEX('Hotel Emissions'!$AL:$AL,MATCH(D49,'Hotel Emissions'!$C:$C,0)),INDEX('Hotel Emissions'!$AG:$AG,MATCH(D49,'Hotel Emissions'!$C:$C,0)))</f>
        <v>105.55113658157052</v>
      </c>
      <c r="L49" s="31" t="s">
        <v>44</v>
      </c>
      <c r="M49" s="31" t="s">
        <v>84</v>
      </c>
    </row>
    <row r="50" spans="1:13" x14ac:dyDescent="0.65">
      <c r="A50" s="32"/>
      <c r="B50" s="32" t="s">
        <v>44</v>
      </c>
      <c r="C50" s="32" t="s">
        <v>444</v>
      </c>
      <c r="D50" s="32" t="str">
        <f t="shared" si="0"/>
        <v>Italy</v>
      </c>
      <c r="E50" s="64">
        <f>INDEX('Hotel Emissions'!$G:$G,MATCH(D50,'Hotel Emissions'!$C:$C,0))</f>
        <v>27.98939788200596</v>
      </c>
      <c r="F50" s="64">
        <f>IF(INDEX('Hotel Emissions'!$O:$O,MATCH(D50,'Hotel Emissions'!$C:$C,0))="",INDEX('Hotel Emissions'!$T:$T,MATCH(D50,'Hotel Emissions'!$C:$C,0)),INDEX('Hotel Emissions'!$O:$O,MATCH(D50,'Hotel Emissions'!$C:$C,0)))</f>
        <v>12.873281233478671</v>
      </c>
      <c r="G50" s="64">
        <f>IF(INDEX('Hotel Emissions'!$X:$X,MATCH(D50,'Hotel Emissions'!$C:$C,0))="",INDEX('Hotel Emissions'!$AC:$AC,MATCH(D50,'Hotel Emissions'!$C:$C,0)),INDEX('Hotel Emissions'!$X:$X,MATCH(D50,'Hotel Emissions'!$C:$C,0)))</f>
        <v>20.311051113560406</v>
      </c>
      <c r="H50" s="64">
        <f>IF(INDEX('Hotel Emissions'!AG:$AG,MATCH(D50,'Hotel Emissions'!$C:$C,0))="",INDEX('Hotel Emissions'!$AL:$AL,MATCH(D50,'Hotel Emissions'!$C:$C,0)),INDEX('Hotel Emissions'!$AG:$AG,MATCH(D50,'Hotel Emissions'!$C:$C,0)))</f>
        <v>86.727744977654595</v>
      </c>
      <c r="L50" s="31" t="s">
        <v>45</v>
      </c>
      <c r="M50" s="31" t="s">
        <v>50</v>
      </c>
    </row>
    <row r="51" spans="1:13" x14ac:dyDescent="0.65">
      <c r="A51" s="32"/>
      <c r="B51" s="32" t="s">
        <v>45</v>
      </c>
      <c r="C51" s="32" t="s">
        <v>445</v>
      </c>
      <c r="D51" s="32" t="str">
        <f t="shared" si="0"/>
        <v>Dominican Republic</v>
      </c>
      <c r="E51" s="64">
        <f>INDEX('Hotel Emissions'!$G:$G,MATCH(D51,'Hotel Emissions'!$C:$C,0))</f>
        <v>49.703220941619364</v>
      </c>
      <c r="F51" s="64">
        <f>IF(INDEX('Hotel Emissions'!$O:$O,MATCH(D51,'Hotel Emissions'!$C:$C,0))="",INDEX('Hotel Emissions'!$T:$T,MATCH(D51,'Hotel Emissions'!$C:$C,0)),INDEX('Hotel Emissions'!$O:$O,MATCH(D51,'Hotel Emissions'!$C:$C,0)))</f>
        <v>16.910410780975194</v>
      </c>
      <c r="G51" s="64">
        <f>IF(INDEX('Hotel Emissions'!$X:$X,MATCH(D51,'Hotel Emissions'!$C:$C,0))="",INDEX('Hotel Emissions'!$AC:$AC,MATCH(D51,'Hotel Emissions'!$C:$C,0)),INDEX('Hotel Emissions'!$X:$X,MATCH(D51,'Hotel Emissions'!$C:$C,0)))</f>
        <v>41.238180878421765</v>
      </c>
      <c r="H51" s="64">
        <f>IF(INDEX('Hotel Emissions'!AG:$AG,MATCH(D51,'Hotel Emissions'!$C:$C,0))="",INDEX('Hotel Emissions'!$AL:$AL,MATCH(D51,'Hotel Emissions'!$C:$C,0)),INDEX('Hotel Emissions'!$AG:$AG,MATCH(D51,'Hotel Emissions'!$C:$C,0)))</f>
        <v>94.792983435676007</v>
      </c>
      <c r="L51" s="31" t="s">
        <v>46</v>
      </c>
      <c r="M51" s="31" t="s">
        <v>67</v>
      </c>
    </row>
    <row r="52" spans="1:13" x14ac:dyDescent="0.65">
      <c r="A52" s="32"/>
      <c r="B52" s="32" t="s">
        <v>46</v>
      </c>
      <c r="C52" s="32" t="s">
        <v>446</v>
      </c>
      <c r="D52" s="32" t="str">
        <f t="shared" si="0"/>
        <v>Greece</v>
      </c>
      <c r="E52" s="64">
        <f>INDEX('Hotel Emissions'!$G:$G,MATCH(D52,'Hotel Emissions'!$C:$C,0))</f>
        <v>65.87208016212692</v>
      </c>
      <c r="F52" s="64">
        <f>IF(INDEX('Hotel Emissions'!$O:$O,MATCH(D52,'Hotel Emissions'!$C:$C,0))="",INDEX('Hotel Emissions'!$T:$T,MATCH(D52,'Hotel Emissions'!$C:$C,0)),INDEX('Hotel Emissions'!$O:$O,MATCH(D52,'Hotel Emissions'!$C:$C,0)))</f>
        <v>16.910410780975194</v>
      </c>
      <c r="G52" s="64">
        <f>IF(INDEX('Hotel Emissions'!$X:$X,MATCH(D52,'Hotel Emissions'!$C:$C,0))="",INDEX('Hotel Emissions'!$AC:$AC,MATCH(D52,'Hotel Emissions'!$C:$C,0)),INDEX('Hotel Emissions'!$X:$X,MATCH(D52,'Hotel Emissions'!$C:$C,0)))</f>
        <v>41.238180878421765</v>
      </c>
      <c r="H52" s="64">
        <f>IF(INDEX('Hotel Emissions'!AG:$AG,MATCH(D52,'Hotel Emissions'!$C:$C,0))="",INDEX('Hotel Emissions'!$AL:$AL,MATCH(D52,'Hotel Emissions'!$C:$C,0)),INDEX('Hotel Emissions'!$AG:$AG,MATCH(D52,'Hotel Emissions'!$C:$C,0)))</f>
        <v>94.792983435676007</v>
      </c>
      <c r="L52" s="31" t="s">
        <v>610</v>
      </c>
      <c r="M52" s="31" t="s">
        <v>133</v>
      </c>
    </row>
    <row r="53" spans="1:13" x14ac:dyDescent="0.65">
      <c r="A53" s="32"/>
      <c r="B53" s="32" t="s">
        <v>610</v>
      </c>
      <c r="C53" s="32" t="s">
        <v>323</v>
      </c>
      <c r="D53" s="32" t="str">
        <f t="shared" si="0"/>
        <v>Poland</v>
      </c>
      <c r="E53" s="64">
        <f>INDEX('Hotel Emissions'!$G:$G,MATCH(D53,'Hotel Emissions'!$C:$C,0))</f>
        <v>37.616564741588029</v>
      </c>
      <c r="F53" s="64">
        <f>IF(INDEX('Hotel Emissions'!$O:$O,MATCH(D53,'Hotel Emissions'!$C:$C,0))="",INDEX('Hotel Emissions'!$T:$T,MATCH(D53,'Hotel Emissions'!$C:$C,0)),INDEX('Hotel Emissions'!$O:$O,MATCH(D53,'Hotel Emissions'!$C:$C,0)))</f>
        <v>26.102263630661465</v>
      </c>
      <c r="G53" s="64">
        <f>IF(INDEX('Hotel Emissions'!$X:$X,MATCH(D53,'Hotel Emissions'!$C:$C,0))="",INDEX('Hotel Emissions'!$AC:$AC,MATCH(D53,'Hotel Emissions'!$C:$C,0)),INDEX('Hotel Emissions'!$X:$X,MATCH(D53,'Hotel Emissions'!$C:$C,0)))</f>
        <v>38.117914630559298</v>
      </c>
      <c r="H53" s="64">
        <f>IF(INDEX('Hotel Emissions'!AG:$AG,MATCH(D53,'Hotel Emissions'!$C:$C,0))="",INDEX('Hotel Emissions'!$AL:$AL,MATCH(D53,'Hotel Emissions'!$C:$C,0)),INDEX('Hotel Emissions'!$AG:$AG,MATCH(D53,'Hotel Emissions'!$C:$C,0)))</f>
        <v>75.497386001437874</v>
      </c>
      <c r="L53" s="31" t="s">
        <v>47</v>
      </c>
      <c r="M53" s="31" t="s">
        <v>119</v>
      </c>
    </row>
    <row r="54" spans="1:13" x14ac:dyDescent="0.65">
      <c r="A54" s="32"/>
      <c r="B54" s="32" t="s">
        <v>47</v>
      </c>
      <c r="C54" s="32" t="s">
        <v>447</v>
      </c>
      <c r="D54" s="32" t="str">
        <f t="shared" si="0"/>
        <v>Netherlands</v>
      </c>
      <c r="E54" s="64">
        <f>INDEX('Hotel Emissions'!$G:$G,MATCH(D54,'Hotel Emissions'!$C:$C,0))</f>
        <v>28.476935756801247</v>
      </c>
      <c r="F54" s="64">
        <f>IF(INDEX('Hotel Emissions'!$O:$O,MATCH(D54,'Hotel Emissions'!$C:$C,0))="",INDEX('Hotel Emissions'!$T:$T,MATCH(D54,'Hotel Emissions'!$C:$C,0)),INDEX('Hotel Emissions'!$O:$O,MATCH(D54,'Hotel Emissions'!$C:$C,0)))</f>
        <v>16.012884300532274</v>
      </c>
      <c r="G54" s="64">
        <f>IF(INDEX('Hotel Emissions'!$X:$X,MATCH(D54,'Hotel Emissions'!$C:$C,0))="",INDEX('Hotel Emissions'!$AC:$AC,MATCH(D54,'Hotel Emissions'!$C:$C,0)),INDEX('Hotel Emissions'!$X:$X,MATCH(D54,'Hotel Emissions'!$C:$C,0)))</f>
        <v>29.962460639909771</v>
      </c>
      <c r="H54" s="64">
        <f>IF(INDEX('Hotel Emissions'!AG:$AG,MATCH(D54,'Hotel Emissions'!$C:$C,0))="",INDEX('Hotel Emissions'!$AL:$AL,MATCH(D54,'Hotel Emissions'!$C:$C,0)),INDEX('Hotel Emissions'!$AG:$AG,MATCH(D54,'Hotel Emissions'!$C:$C,0)))</f>
        <v>94.792983435676007</v>
      </c>
      <c r="L54" s="31" t="s">
        <v>48</v>
      </c>
      <c r="M54" s="31" t="s">
        <v>53</v>
      </c>
    </row>
    <row r="55" spans="1:13" x14ac:dyDescent="0.65">
      <c r="A55" s="32"/>
      <c r="B55" s="32" t="s">
        <v>48</v>
      </c>
      <c r="C55" s="32" t="s">
        <v>48</v>
      </c>
      <c r="D55" s="32" t="str">
        <f t="shared" si="0"/>
        <v>Egypt</v>
      </c>
      <c r="E55" s="64">
        <f>INDEX('Hotel Emissions'!$G:$G,MATCH(D55,'Hotel Emissions'!$C:$C,0))</f>
        <v>70.842196018462928</v>
      </c>
      <c r="F55" s="64">
        <f>IF(INDEX('Hotel Emissions'!$O:$O,MATCH(D55,'Hotel Emissions'!$C:$C,0))="",INDEX('Hotel Emissions'!$T:$T,MATCH(D55,'Hotel Emissions'!$C:$C,0)),INDEX('Hotel Emissions'!$O:$O,MATCH(D55,'Hotel Emissions'!$C:$C,0)))</f>
        <v>16.910410780975194</v>
      </c>
      <c r="G55" s="64">
        <f>IF(INDEX('Hotel Emissions'!$X:$X,MATCH(D55,'Hotel Emissions'!$C:$C,0))="",INDEX('Hotel Emissions'!$AC:$AC,MATCH(D55,'Hotel Emissions'!$C:$C,0)),INDEX('Hotel Emissions'!$X:$X,MATCH(D55,'Hotel Emissions'!$C:$C,0)))</f>
        <v>57.545341500582353</v>
      </c>
      <c r="H55" s="64">
        <f>IF(INDEX('Hotel Emissions'!AG:$AG,MATCH(D55,'Hotel Emissions'!$C:$C,0))="",INDEX('Hotel Emissions'!$AL:$AL,MATCH(D55,'Hotel Emissions'!$C:$C,0)),INDEX('Hotel Emissions'!$AG:$AG,MATCH(D55,'Hotel Emissions'!$C:$C,0)))</f>
        <v>91.29950522874455</v>
      </c>
      <c r="L55" s="31" t="s">
        <v>49</v>
      </c>
      <c r="M55" s="31" t="s">
        <v>50</v>
      </c>
    </row>
    <row r="56" spans="1:13" x14ac:dyDescent="0.65">
      <c r="A56" s="32"/>
      <c r="B56" s="32" t="s">
        <v>49</v>
      </c>
      <c r="C56" s="32" t="s">
        <v>448</v>
      </c>
      <c r="D56" s="32" t="str">
        <f t="shared" si="0"/>
        <v>Dominican Republic</v>
      </c>
      <c r="E56" s="64">
        <f>INDEX('Hotel Emissions'!$G:$G,MATCH(D56,'Hotel Emissions'!$C:$C,0))</f>
        <v>49.703220941619364</v>
      </c>
      <c r="F56" s="64">
        <f>IF(INDEX('Hotel Emissions'!$O:$O,MATCH(D56,'Hotel Emissions'!$C:$C,0))="",INDEX('Hotel Emissions'!$T:$T,MATCH(D56,'Hotel Emissions'!$C:$C,0)),INDEX('Hotel Emissions'!$O:$O,MATCH(D56,'Hotel Emissions'!$C:$C,0)))</f>
        <v>16.910410780975194</v>
      </c>
      <c r="G56" s="64">
        <f>IF(INDEX('Hotel Emissions'!$X:$X,MATCH(D56,'Hotel Emissions'!$C:$C,0))="",INDEX('Hotel Emissions'!$AC:$AC,MATCH(D56,'Hotel Emissions'!$C:$C,0)),INDEX('Hotel Emissions'!$X:$X,MATCH(D56,'Hotel Emissions'!$C:$C,0)))</f>
        <v>41.238180878421765</v>
      </c>
      <c r="H56" s="64">
        <f>IF(INDEX('Hotel Emissions'!AG:$AG,MATCH(D56,'Hotel Emissions'!$C:$C,0))="",INDEX('Hotel Emissions'!$AL:$AL,MATCH(D56,'Hotel Emissions'!$C:$C,0)),INDEX('Hotel Emissions'!$AG:$AG,MATCH(D56,'Hotel Emissions'!$C:$C,0)))</f>
        <v>94.792983435676007</v>
      </c>
      <c r="L56" s="31" t="s">
        <v>51</v>
      </c>
      <c r="M56" s="31" t="s">
        <v>152</v>
      </c>
    </row>
    <row r="57" spans="1:13" x14ac:dyDescent="0.65">
      <c r="A57" s="32"/>
      <c r="B57" s="32" t="s">
        <v>50</v>
      </c>
      <c r="C57" s="32" t="s">
        <v>449</v>
      </c>
      <c r="D57" s="32" t="str">
        <f t="shared" si="0"/>
        <v>Dominican Republic</v>
      </c>
      <c r="E57" s="64">
        <f>INDEX('Hotel Emissions'!$G:$G,MATCH(D57,'Hotel Emissions'!$C:$C,0))</f>
        <v>49.703220941619364</v>
      </c>
      <c r="F57" s="64">
        <f>IF(INDEX('Hotel Emissions'!$O:$O,MATCH(D57,'Hotel Emissions'!$C:$C,0))="",INDEX('Hotel Emissions'!$T:$T,MATCH(D57,'Hotel Emissions'!$C:$C,0)),INDEX('Hotel Emissions'!$O:$O,MATCH(D57,'Hotel Emissions'!$C:$C,0)))</f>
        <v>16.910410780975194</v>
      </c>
      <c r="G57" s="64">
        <f>IF(INDEX('Hotel Emissions'!$X:$X,MATCH(D57,'Hotel Emissions'!$C:$C,0))="",INDEX('Hotel Emissions'!$AC:$AC,MATCH(D57,'Hotel Emissions'!$C:$C,0)),INDEX('Hotel Emissions'!$X:$X,MATCH(D57,'Hotel Emissions'!$C:$C,0)))</f>
        <v>41.238180878421765</v>
      </c>
      <c r="H57" s="64">
        <f>IF(INDEX('Hotel Emissions'!AG:$AG,MATCH(D57,'Hotel Emissions'!$C:$C,0))="",INDEX('Hotel Emissions'!$AL:$AL,MATCH(D57,'Hotel Emissions'!$C:$C,0)),INDEX('Hotel Emissions'!$AG:$AG,MATCH(D57,'Hotel Emissions'!$C:$C,0)))</f>
        <v>94.792983435676007</v>
      </c>
      <c r="L57" s="31" t="s">
        <v>52</v>
      </c>
      <c r="M57" s="31" t="s">
        <v>39</v>
      </c>
    </row>
    <row r="58" spans="1:13" x14ac:dyDescent="0.65">
      <c r="A58" s="32"/>
      <c r="B58" s="32" t="s">
        <v>51</v>
      </c>
      <c r="C58" s="32" t="s">
        <v>442</v>
      </c>
      <c r="D58" s="32" t="str">
        <f t="shared" si="0"/>
        <v>South Africa</v>
      </c>
      <c r="E58" s="64">
        <f>INDEX('Hotel Emissions'!$G:$G,MATCH(D58,'Hotel Emissions'!$C:$C,0))</f>
        <v>103.55037750960224</v>
      </c>
      <c r="F58" s="64">
        <f>IF(INDEX('Hotel Emissions'!$O:$O,MATCH(D58,'Hotel Emissions'!$C:$C,0))="",INDEX('Hotel Emissions'!$T:$T,MATCH(D58,'Hotel Emissions'!$C:$C,0)),INDEX('Hotel Emissions'!$O:$O,MATCH(D58,'Hotel Emissions'!$C:$C,0)))</f>
        <v>16.910410780975194</v>
      </c>
      <c r="G58" s="64">
        <f>IF(INDEX('Hotel Emissions'!$X:$X,MATCH(D58,'Hotel Emissions'!$C:$C,0))="",INDEX('Hotel Emissions'!$AC:$AC,MATCH(D58,'Hotel Emissions'!$C:$C,0)),INDEX('Hotel Emissions'!$X:$X,MATCH(D58,'Hotel Emissions'!$C:$C,0)))</f>
        <v>66.543957384996915</v>
      </c>
      <c r="H58" s="64">
        <f>IF(INDEX('Hotel Emissions'!AG:$AG,MATCH(D58,'Hotel Emissions'!$C:$C,0))="",INDEX('Hotel Emissions'!$AL:$AL,MATCH(D58,'Hotel Emissions'!$C:$C,0)),INDEX('Hotel Emissions'!$AG:$AG,MATCH(D58,'Hotel Emissions'!$C:$C,0)))</f>
        <v>94.792983435676007</v>
      </c>
      <c r="L58" s="31" t="s">
        <v>54</v>
      </c>
      <c r="M58" s="31" t="s">
        <v>42</v>
      </c>
    </row>
    <row r="59" spans="1:13" x14ac:dyDescent="0.65">
      <c r="A59" s="32"/>
      <c r="B59" s="32" t="s">
        <v>52</v>
      </c>
      <c r="C59" s="32" t="s">
        <v>450</v>
      </c>
      <c r="D59" s="32" t="str">
        <f t="shared" si="0"/>
        <v>Colombia</v>
      </c>
      <c r="E59" s="64">
        <f>INDEX('Hotel Emissions'!$G:$G,MATCH(D59,'Hotel Emissions'!$C:$C,0))</f>
        <v>14.267918673051788</v>
      </c>
      <c r="F59" s="64">
        <f>IF(INDEX('Hotel Emissions'!$O:$O,MATCH(D59,'Hotel Emissions'!$C:$C,0))="",INDEX('Hotel Emissions'!$T:$T,MATCH(D59,'Hotel Emissions'!$C:$C,0)),INDEX('Hotel Emissions'!$O:$O,MATCH(D59,'Hotel Emissions'!$C:$C,0)))</f>
        <v>8.9790894897367455</v>
      </c>
      <c r="G59" s="64">
        <f>IF(INDEX('Hotel Emissions'!$X:$X,MATCH(D59,'Hotel Emissions'!$C:$C,0))="",INDEX('Hotel Emissions'!$AC:$AC,MATCH(D59,'Hotel Emissions'!$C:$C,0)),INDEX('Hotel Emissions'!$X:$X,MATCH(D59,'Hotel Emissions'!$C:$C,0)))</f>
        <v>16.225718608370105</v>
      </c>
      <c r="H59" s="64">
        <f>IF(INDEX('Hotel Emissions'!AG:$AG,MATCH(D59,'Hotel Emissions'!$C:$C,0))="",INDEX('Hotel Emissions'!$AL:$AL,MATCH(D59,'Hotel Emissions'!$C:$C,0)),INDEX('Hotel Emissions'!$AG:$AG,MATCH(D59,'Hotel Emissions'!$C:$C,0)))</f>
        <v>31.301148694206912</v>
      </c>
      <c r="L59" s="31" t="s">
        <v>55</v>
      </c>
      <c r="M59" s="31" t="s">
        <v>152</v>
      </c>
    </row>
    <row r="60" spans="1:13" x14ac:dyDescent="0.65">
      <c r="A60" s="32"/>
      <c r="B60" s="32" t="s">
        <v>53</v>
      </c>
      <c r="C60" s="32" t="s">
        <v>304</v>
      </c>
      <c r="D60" s="32" t="str">
        <f t="shared" si="0"/>
        <v>Egypt</v>
      </c>
      <c r="E60" s="64">
        <f>INDEX('Hotel Emissions'!$G:$G,MATCH(D60,'Hotel Emissions'!$C:$C,0))</f>
        <v>70.842196018462928</v>
      </c>
      <c r="F60" s="64">
        <f>IF(INDEX('Hotel Emissions'!$O:$O,MATCH(D60,'Hotel Emissions'!$C:$C,0))="",INDEX('Hotel Emissions'!$T:$T,MATCH(D60,'Hotel Emissions'!$C:$C,0)),INDEX('Hotel Emissions'!$O:$O,MATCH(D60,'Hotel Emissions'!$C:$C,0)))</f>
        <v>16.910410780975194</v>
      </c>
      <c r="G60" s="64">
        <f>IF(INDEX('Hotel Emissions'!$X:$X,MATCH(D60,'Hotel Emissions'!$C:$C,0))="",INDEX('Hotel Emissions'!$AC:$AC,MATCH(D60,'Hotel Emissions'!$C:$C,0)),INDEX('Hotel Emissions'!$X:$X,MATCH(D60,'Hotel Emissions'!$C:$C,0)))</f>
        <v>57.545341500582353</v>
      </c>
      <c r="H60" s="64">
        <f>IF(INDEX('Hotel Emissions'!AG:$AG,MATCH(D60,'Hotel Emissions'!$C:$C,0))="",INDEX('Hotel Emissions'!$AL:$AL,MATCH(D60,'Hotel Emissions'!$C:$C,0)),INDEX('Hotel Emissions'!$AG:$AG,MATCH(D60,'Hotel Emissions'!$C:$C,0)))</f>
        <v>91.29950522874455</v>
      </c>
      <c r="L60" s="31" t="s">
        <v>56</v>
      </c>
      <c r="M60" s="31" t="s">
        <v>53</v>
      </c>
    </row>
    <row r="61" spans="1:13" x14ac:dyDescent="0.65">
      <c r="A61" s="32"/>
      <c r="B61" s="32" t="s">
        <v>54</v>
      </c>
      <c r="C61" s="32" t="s">
        <v>451</v>
      </c>
      <c r="D61" s="32" t="str">
        <f t="shared" si="0"/>
        <v>Costa Rica</v>
      </c>
      <c r="E61" s="64">
        <f>INDEX('Hotel Emissions'!$G:$G,MATCH(D61,'Hotel Emissions'!$C:$C,0))</f>
        <v>11.133538864398535</v>
      </c>
      <c r="F61" s="64">
        <f>IF(INDEX('Hotel Emissions'!$O:$O,MATCH(D61,'Hotel Emissions'!$C:$C,0))="",INDEX('Hotel Emissions'!$T:$T,MATCH(D61,'Hotel Emissions'!$C:$C,0)),INDEX('Hotel Emissions'!$O:$O,MATCH(D61,'Hotel Emissions'!$C:$C,0)))</f>
        <v>6.0947986768733706</v>
      </c>
      <c r="G61" s="64">
        <f>IF(INDEX('Hotel Emissions'!$X:$X,MATCH(D61,'Hotel Emissions'!$C:$C,0))="",INDEX('Hotel Emissions'!$AC:$AC,MATCH(D61,'Hotel Emissions'!$C:$C,0)),INDEX('Hotel Emissions'!$X:$X,MATCH(D61,'Hotel Emissions'!$C:$C,0)))</f>
        <v>14.502350330546598</v>
      </c>
      <c r="H61" s="64">
        <f>IF(INDEX('Hotel Emissions'!AG:$AG,MATCH(D61,'Hotel Emissions'!$C:$C,0))="",INDEX('Hotel Emissions'!$AL:$AL,MATCH(D61,'Hotel Emissions'!$C:$C,0)),INDEX('Hotel Emissions'!$AG:$AG,MATCH(D61,'Hotel Emissions'!$C:$C,0)))</f>
        <v>94.792983435676007</v>
      </c>
      <c r="L61" s="31" t="s">
        <v>57</v>
      </c>
      <c r="M61" s="31" t="s">
        <v>65</v>
      </c>
    </row>
    <row r="62" spans="1:13" x14ac:dyDescent="0.65">
      <c r="A62" s="32"/>
      <c r="B62" s="32" t="s">
        <v>55</v>
      </c>
      <c r="C62" s="32" t="s">
        <v>452</v>
      </c>
      <c r="D62" s="32" t="str">
        <f t="shared" si="0"/>
        <v>South Africa</v>
      </c>
      <c r="E62" s="64">
        <f>INDEX('Hotel Emissions'!$G:$G,MATCH(D62,'Hotel Emissions'!$C:$C,0))</f>
        <v>103.55037750960224</v>
      </c>
      <c r="F62" s="64">
        <f>IF(INDEX('Hotel Emissions'!$O:$O,MATCH(D62,'Hotel Emissions'!$C:$C,0))="",INDEX('Hotel Emissions'!$T:$T,MATCH(D62,'Hotel Emissions'!$C:$C,0)),INDEX('Hotel Emissions'!$O:$O,MATCH(D62,'Hotel Emissions'!$C:$C,0)))</f>
        <v>16.910410780975194</v>
      </c>
      <c r="G62" s="64">
        <f>IF(INDEX('Hotel Emissions'!$X:$X,MATCH(D62,'Hotel Emissions'!$C:$C,0))="",INDEX('Hotel Emissions'!$AC:$AC,MATCH(D62,'Hotel Emissions'!$C:$C,0)),INDEX('Hotel Emissions'!$X:$X,MATCH(D62,'Hotel Emissions'!$C:$C,0)))</f>
        <v>66.543957384996915</v>
      </c>
      <c r="H62" s="64">
        <f>IF(INDEX('Hotel Emissions'!AG:$AG,MATCH(D62,'Hotel Emissions'!$C:$C,0))="",INDEX('Hotel Emissions'!$AL:$AL,MATCH(D62,'Hotel Emissions'!$C:$C,0)),INDEX('Hotel Emissions'!$AG:$AG,MATCH(D62,'Hotel Emissions'!$C:$C,0)))</f>
        <v>94.792983435676007</v>
      </c>
      <c r="L62" s="31" t="s">
        <v>58</v>
      </c>
      <c r="M62" s="31" t="s">
        <v>152</v>
      </c>
    </row>
    <row r="63" spans="1:13" x14ac:dyDescent="0.65">
      <c r="A63" s="32"/>
      <c r="B63" s="32" t="s">
        <v>56</v>
      </c>
      <c r="C63" s="32" t="s">
        <v>453</v>
      </c>
      <c r="D63" s="32" t="str">
        <f t="shared" si="0"/>
        <v>Egypt</v>
      </c>
      <c r="E63" s="64">
        <f>INDEX('Hotel Emissions'!$G:$G,MATCH(D63,'Hotel Emissions'!$C:$C,0))</f>
        <v>70.842196018462928</v>
      </c>
      <c r="F63" s="64">
        <f>IF(INDEX('Hotel Emissions'!$O:$O,MATCH(D63,'Hotel Emissions'!$C:$C,0))="",INDEX('Hotel Emissions'!$T:$T,MATCH(D63,'Hotel Emissions'!$C:$C,0)),INDEX('Hotel Emissions'!$O:$O,MATCH(D63,'Hotel Emissions'!$C:$C,0)))</f>
        <v>16.910410780975194</v>
      </c>
      <c r="G63" s="64">
        <f>IF(INDEX('Hotel Emissions'!$X:$X,MATCH(D63,'Hotel Emissions'!$C:$C,0))="",INDEX('Hotel Emissions'!$AC:$AC,MATCH(D63,'Hotel Emissions'!$C:$C,0)),INDEX('Hotel Emissions'!$X:$X,MATCH(D63,'Hotel Emissions'!$C:$C,0)))</f>
        <v>57.545341500582353</v>
      </c>
      <c r="H63" s="64">
        <f>IF(INDEX('Hotel Emissions'!AG:$AG,MATCH(D63,'Hotel Emissions'!$C:$C,0))="",INDEX('Hotel Emissions'!$AL:$AL,MATCH(D63,'Hotel Emissions'!$C:$C,0)),INDEX('Hotel Emissions'!$AG:$AG,MATCH(D63,'Hotel Emissions'!$C:$C,0)))</f>
        <v>91.29950522874455</v>
      </c>
      <c r="L63" s="31" t="s">
        <v>59</v>
      </c>
      <c r="M63" s="31" t="s">
        <v>53</v>
      </c>
    </row>
    <row r="64" spans="1:13" x14ac:dyDescent="0.65">
      <c r="A64" s="32"/>
      <c r="B64" s="32" t="s">
        <v>57</v>
      </c>
      <c r="C64" s="32" t="s">
        <v>454</v>
      </c>
      <c r="D64" s="32" t="str">
        <f t="shared" si="0"/>
        <v>Germany</v>
      </c>
      <c r="E64" s="64">
        <f>INDEX('Hotel Emissions'!$G:$G,MATCH(D64,'Hotel Emissions'!$C:$C,0))</f>
        <v>17.719702319351065</v>
      </c>
      <c r="F64" s="64">
        <f>IF(INDEX('Hotel Emissions'!$O:$O,MATCH(D64,'Hotel Emissions'!$C:$C,0))="",INDEX('Hotel Emissions'!$T:$T,MATCH(D64,'Hotel Emissions'!$C:$C,0)),INDEX('Hotel Emissions'!$O:$O,MATCH(D64,'Hotel Emissions'!$C:$C,0)))</f>
        <v>12.883417456204036</v>
      </c>
      <c r="G64" s="64">
        <f>IF(INDEX('Hotel Emissions'!$X:$X,MATCH(D64,'Hotel Emissions'!$C:$C,0))="",INDEX('Hotel Emissions'!$AC:$AC,MATCH(D64,'Hotel Emissions'!$C:$C,0)),INDEX('Hotel Emissions'!$X:$X,MATCH(D64,'Hotel Emissions'!$C:$C,0)))</f>
        <v>23.02905018770592</v>
      </c>
      <c r="H64" s="64">
        <f>IF(INDEX('Hotel Emissions'!AG:$AG,MATCH(D64,'Hotel Emissions'!$C:$C,0))="",INDEX('Hotel Emissions'!$AL:$AL,MATCH(D64,'Hotel Emissions'!$C:$C,0)),INDEX('Hotel Emissions'!$AG:$AG,MATCH(D64,'Hotel Emissions'!$C:$C,0)))</f>
        <v>46.341049687331989</v>
      </c>
      <c r="L64" s="31" t="s">
        <v>62</v>
      </c>
      <c r="M64" s="31" t="s">
        <v>152</v>
      </c>
    </row>
    <row r="65" spans="1:13" x14ac:dyDescent="0.65">
      <c r="A65" s="32"/>
      <c r="B65" s="32" t="s">
        <v>58</v>
      </c>
      <c r="C65" s="32" t="s">
        <v>455</v>
      </c>
      <c r="D65" s="32" t="str">
        <f t="shared" si="0"/>
        <v>South Africa</v>
      </c>
      <c r="E65" s="64">
        <f>INDEX('Hotel Emissions'!$G:$G,MATCH(D65,'Hotel Emissions'!$C:$C,0))</f>
        <v>103.55037750960224</v>
      </c>
      <c r="F65" s="64">
        <f>IF(INDEX('Hotel Emissions'!$O:$O,MATCH(D65,'Hotel Emissions'!$C:$C,0))="",INDEX('Hotel Emissions'!$T:$T,MATCH(D65,'Hotel Emissions'!$C:$C,0)),INDEX('Hotel Emissions'!$O:$O,MATCH(D65,'Hotel Emissions'!$C:$C,0)))</f>
        <v>16.910410780975194</v>
      </c>
      <c r="G65" s="64">
        <f>IF(INDEX('Hotel Emissions'!$X:$X,MATCH(D65,'Hotel Emissions'!$C:$C,0))="",INDEX('Hotel Emissions'!$AC:$AC,MATCH(D65,'Hotel Emissions'!$C:$C,0)),INDEX('Hotel Emissions'!$X:$X,MATCH(D65,'Hotel Emissions'!$C:$C,0)))</f>
        <v>66.543957384996915</v>
      </c>
      <c r="H65" s="64">
        <f>IF(INDEX('Hotel Emissions'!AG:$AG,MATCH(D65,'Hotel Emissions'!$C:$C,0))="",INDEX('Hotel Emissions'!$AL:$AL,MATCH(D65,'Hotel Emissions'!$C:$C,0)),INDEX('Hotel Emissions'!$AG:$AG,MATCH(D65,'Hotel Emissions'!$C:$C,0)))</f>
        <v>94.792983435676007</v>
      </c>
      <c r="L65" s="31" t="s">
        <v>63</v>
      </c>
      <c r="M65" s="31" t="s">
        <v>114</v>
      </c>
    </row>
    <row r="66" spans="1:13" x14ac:dyDescent="0.65">
      <c r="A66" s="32"/>
      <c r="B66" s="32" t="s">
        <v>59</v>
      </c>
      <c r="C66" s="32" t="s">
        <v>456</v>
      </c>
      <c r="D66" s="32" t="str">
        <f t="shared" si="0"/>
        <v>Egypt</v>
      </c>
      <c r="E66" s="64">
        <f>INDEX('Hotel Emissions'!$G:$G,MATCH(D66,'Hotel Emissions'!$C:$C,0))</f>
        <v>70.842196018462928</v>
      </c>
      <c r="F66" s="64">
        <f>IF(INDEX('Hotel Emissions'!$O:$O,MATCH(D66,'Hotel Emissions'!$C:$C,0))="",INDEX('Hotel Emissions'!$T:$T,MATCH(D66,'Hotel Emissions'!$C:$C,0)),INDEX('Hotel Emissions'!$O:$O,MATCH(D66,'Hotel Emissions'!$C:$C,0)))</f>
        <v>16.910410780975194</v>
      </c>
      <c r="G66" s="64">
        <f>IF(INDEX('Hotel Emissions'!$X:$X,MATCH(D66,'Hotel Emissions'!$C:$C,0))="",INDEX('Hotel Emissions'!$AC:$AC,MATCH(D66,'Hotel Emissions'!$C:$C,0)),INDEX('Hotel Emissions'!$X:$X,MATCH(D66,'Hotel Emissions'!$C:$C,0)))</f>
        <v>57.545341500582353</v>
      </c>
      <c r="H66" s="64">
        <f>IF(INDEX('Hotel Emissions'!AG:$AG,MATCH(D66,'Hotel Emissions'!$C:$C,0))="",INDEX('Hotel Emissions'!$AL:$AL,MATCH(D66,'Hotel Emissions'!$C:$C,0)),INDEX('Hotel Emissions'!$AG:$AG,MATCH(D66,'Hotel Emissions'!$C:$C,0)))</f>
        <v>91.29950522874455</v>
      </c>
      <c r="L66" s="31" t="s">
        <v>66</v>
      </c>
      <c r="M66" s="31" t="s">
        <v>114</v>
      </c>
    </row>
    <row r="67" spans="1:13" x14ac:dyDescent="0.65">
      <c r="A67" s="32"/>
      <c r="B67" s="32" t="s">
        <v>60</v>
      </c>
      <c r="C67" s="32" t="s">
        <v>457</v>
      </c>
      <c r="D67" s="32" t="str">
        <f t="shared" si="0"/>
        <v>Germany</v>
      </c>
      <c r="E67" s="64">
        <f>INDEX('Hotel Emissions'!$G:$G,MATCH(D67,'Hotel Emissions'!$C:$C,0))</f>
        <v>17.719702319351065</v>
      </c>
      <c r="F67" s="64">
        <f>IF(INDEX('Hotel Emissions'!$O:$O,MATCH(D67,'Hotel Emissions'!$C:$C,0))="",INDEX('Hotel Emissions'!$T:$T,MATCH(D67,'Hotel Emissions'!$C:$C,0)),INDEX('Hotel Emissions'!$O:$O,MATCH(D67,'Hotel Emissions'!$C:$C,0)))</f>
        <v>12.883417456204036</v>
      </c>
      <c r="G67" s="64">
        <f>IF(INDEX('Hotel Emissions'!$X:$X,MATCH(D67,'Hotel Emissions'!$C:$C,0))="",INDEX('Hotel Emissions'!$AC:$AC,MATCH(D67,'Hotel Emissions'!$C:$C,0)),INDEX('Hotel Emissions'!$X:$X,MATCH(D67,'Hotel Emissions'!$C:$C,0)))</f>
        <v>23.02905018770592</v>
      </c>
      <c r="H67" s="64">
        <f>IF(INDEX('Hotel Emissions'!AG:$AG,MATCH(D67,'Hotel Emissions'!$C:$C,0))="",INDEX('Hotel Emissions'!$AL:$AL,MATCH(D67,'Hotel Emissions'!$C:$C,0)),INDEX('Hotel Emissions'!$AG:$AG,MATCH(D67,'Hotel Emissions'!$C:$C,0)))</f>
        <v>46.341049687331989</v>
      </c>
      <c r="L67" s="31" t="s">
        <v>68</v>
      </c>
      <c r="M67" s="31" t="s">
        <v>50</v>
      </c>
    </row>
    <row r="68" spans="1:13" x14ac:dyDescent="0.65">
      <c r="A68" s="32"/>
      <c r="B68" s="32" t="s">
        <v>61</v>
      </c>
      <c r="C68" s="32" t="s">
        <v>265</v>
      </c>
      <c r="D68" s="32" t="str">
        <f t="shared" si="0"/>
        <v>France</v>
      </c>
      <c r="E68" s="64">
        <f>INDEX('Hotel Emissions'!$G:$G,MATCH(D68,'Hotel Emissions'!$C:$C,0))</f>
        <v>3.7660270256402018</v>
      </c>
      <c r="F68" s="64">
        <f>IF(INDEX('Hotel Emissions'!$O:$O,MATCH(D68,'Hotel Emissions'!$C:$C,0))="",INDEX('Hotel Emissions'!$T:$T,MATCH(D68,'Hotel Emissions'!$C:$C,0)),INDEX('Hotel Emissions'!$O:$O,MATCH(D68,'Hotel Emissions'!$C:$C,0)))</f>
        <v>2.7748674174320778</v>
      </c>
      <c r="G68" s="64">
        <f>IF(INDEX('Hotel Emissions'!$X:$X,MATCH(D68,'Hotel Emissions'!$C:$C,0))="",INDEX('Hotel Emissions'!$AC:$AC,MATCH(D68,'Hotel Emissions'!$C:$C,0)),INDEX('Hotel Emissions'!$X:$X,MATCH(D68,'Hotel Emissions'!$C:$C,0)))</f>
        <v>5.8332126774348358</v>
      </c>
      <c r="H68" s="64">
        <f>IF(INDEX('Hotel Emissions'!AG:$AG,MATCH(D68,'Hotel Emissions'!$C:$C,0))="",INDEX('Hotel Emissions'!$AL:$AL,MATCH(D68,'Hotel Emissions'!$C:$C,0)),INDEX('Hotel Emissions'!$AG:$AG,MATCH(D68,'Hotel Emissions'!$C:$C,0)))</f>
        <v>15.554217731357131</v>
      </c>
      <c r="L68" s="31" t="s">
        <v>69</v>
      </c>
      <c r="M68" s="31" t="s">
        <v>42</v>
      </c>
    </row>
    <row r="69" spans="1:13" x14ac:dyDescent="0.65">
      <c r="A69" s="32"/>
      <c r="B69" s="32" t="s">
        <v>62</v>
      </c>
      <c r="C69" s="32" t="s">
        <v>458</v>
      </c>
      <c r="D69" s="32" t="str">
        <f t="shared" si="0"/>
        <v>South Africa</v>
      </c>
      <c r="E69" s="64">
        <f>INDEX('Hotel Emissions'!$G:$G,MATCH(D69,'Hotel Emissions'!$C:$C,0))</f>
        <v>103.55037750960224</v>
      </c>
      <c r="F69" s="64">
        <f>IF(INDEX('Hotel Emissions'!$O:$O,MATCH(D69,'Hotel Emissions'!$C:$C,0))="",INDEX('Hotel Emissions'!$T:$T,MATCH(D69,'Hotel Emissions'!$C:$C,0)),INDEX('Hotel Emissions'!$O:$O,MATCH(D69,'Hotel Emissions'!$C:$C,0)))</f>
        <v>16.910410780975194</v>
      </c>
      <c r="G69" s="64">
        <f>IF(INDEX('Hotel Emissions'!$X:$X,MATCH(D69,'Hotel Emissions'!$C:$C,0))="",INDEX('Hotel Emissions'!$AC:$AC,MATCH(D69,'Hotel Emissions'!$C:$C,0)),INDEX('Hotel Emissions'!$X:$X,MATCH(D69,'Hotel Emissions'!$C:$C,0)))</f>
        <v>66.543957384996915</v>
      </c>
      <c r="H69" s="64">
        <f>IF(INDEX('Hotel Emissions'!AG:$AG,MATCH(D69,'Hotel Emissions'!$C:$C,0))="",INDEX('Hotel Emissions'!$AL:$AL,MATCH(D69,'Hotel Emissions'!$C:$C,0)),INDEX('Hotel Emissions'!$AG:$AG,MATCH(D69,'Hotel Emissions'!$C:$C,0)))</f>
        <v>94.792983435676007</v>
      </c>
      <c r="L69" s="31" t="s">
        <v>70</v>
      </c>
      <c r="M69" s="31" t="s">
        <v>114</v>
      </c>
    </row>
    <row r="70" spans="1:13" x14ac:dyDescent="0.65">
      <c r="A70" s="32"/>
      <c r="B70" s="32" t="s">
        <v>63</v>
      </c>
      <c r="C70" s="32" t="s">
        <v>459</v>
      </c>
      <c r="D70" s="32" t="str">
        <f t="shared" ref="D70:D133" si="1">_xlfn.IFNA(INDEX($M$19:$M$149,MATCH(B70,$L$19:$L$149,0)),B70)</f>
        <v>Morocco</v>
      </c>
      <c r="E70" s="64">
        <f>INDEX('Hotel Emissions'!$G:$G,MATCH(D70,'Hotel Emissions'!$C:$C,0))</f>
        <v>64.786712103740001</v>
      </c>
      <c r="F70" s="64">
        <f>IF(INDEX('Hotel Emissions'!$O:$O,MATCH(D70,'Hotel Emissions'!$C:$C,0))="",INDEX('Hotel Emissions'!$T:$T,MATCH(D70,'Hotel Emissions'!$C:$C,0)),INDEX('Hotel Emissions'!$O:$O,MATCH(D70,'Hotel Emissions'!$C:$C,0)))</f>
        <v>22.421330805272362</v>
      </c>
      <c r="G70" s="64">
        <f>IF(INDEX('Hotel Emissions'!$X:$X,MATCH(D70,'Hotel Emissions'!$C:$C,0))="",INDEX('Hotel Emissions'!$AC:$AC,MATCH(D70,'Hotel Emissions'!$C:$C,0)),INDEX('Hotel Emissions'!$X:$X,MATCH(D70,'Hotel Emissions'!$C:$C,0)))</f>
        <v>81.787795373044702</v>
      </c>
      <c r="H70" s="64">
        <f>IF(INDEX('Hotel Emissions'!AG:$AG,MATCH(D70,'Hotel Emissions'!$C:$C,0))="",INDEX('Hotel Emissions'!$AL:$AL,MATCH(D70,'Hotel Emissions'!$C:$C,0)),INDEX('Hotel Emissions'!$AG:$AG,MATCH(D70,'Hotel Emissions'!$C:$C,0)))</f>
        <v>105.55113658157052</v>
      </c>
      <c r="L70" s="31" t="s">
        <v>71</v>
      </c>
      <c r="M70" s="31" t="s">
        <v>114</v>
      </c>
    </row>
    <row r="71" spans="1:13" x14ac:dyDescent="0.65">
      <c r="A71" s="32"/>
      <c r="B71" s="32" t="s">
        <v>64</v>
      </c>
      <c r="C71" s="32" t="s">
        <v>536</v>
      </c>
      <c r="D71" s="32" t="str">
        <f t="shared" si="1"/>
        <v>Georgia</v>
      </c>
      <c r="E71" s="64">
        <f>INDEX('Hotel Emissions'!$G:$G,MATCH(D71,'Hotel Emissions'!$C:$C,0))</f>
        <v>28.639820724591097</v>
      </c>
      <c r="F71" s="64">
        <f>IF(INDEX('Hotel Emissions'!$O:$O,MATCH(D71,'Hotel Emissions'!$C:$C,0))="",INDEX('Hotel Emissions'!$T:$T,MATCH(D71,'Hotel Emissions'!$C:$C,0)),INDEX('Hotel Emissions'!$O:$O,MATCH(D71,'Hotel Emissions'!$C:$C,0)))</f>
        <v>16.910410780975194</v>
      </c>
      <c r="G71" s="64">
        <f>IF(INDEX('Hotel Emissions'!$X:$X,MATCH(D71,'Hotel Emissions'!$C:$C,0))="",INDEX('Hotel Emissions'!$AC:$AC,MATCH(D71,'Hotel Emissions'!$C:$C,0)),INDEX('Hotel Emissions'!$X:$X,MATCH(D71,'Hotel Emissions'!$C:$C,0)))</f>
        <v>41.238180878421765</v>
      </c>
      <c r="H71" s="64">
        <f>IF(INDEX('Hotel Emissions'!AG:$AG,MATCH(D71,'Hotel Emissions'!$C:$C,0))="",INDEX('Hotel Emissions'!$AL:$AL,MATCH(D71,'Hotel Emissions'!$C:$C,0)),INDEX('Hotel Emissions'!$AG:$AG,MATCH(D71,'Hotel Emissions'!$C:$C,0)))</f>
        <v>94.792983435676007</v>
      </c>
      <c r="L71" s="31" t="s">
        <v>72</v>
      </c>
      <c r="M71" s="31" t="s">
        <v>39</v>
      </c>
    </row>
    <row r="72" spans="1:13" x14ac:dyDescent="0.65">
      <c r="A72" s="32"/>
      <c r="B72" s="32" t="s">
        <v>65</v>
      </c>
      <c r="C72" s="32" t="s">
        <v>300</v>
      </c>
      <c r="D72" s="32" t="str">
        <f t="shared" si="1"/>
        <v>Germany</v>
      </c>
      <c r="E72" s="64">
        <f>INDEX('Hotel Emissions'!$G:$G,MATCH(D72,'Hotel Emissions'!$C:$C,0))</f>
        <v>17.719702319351065</v>
      </c>
      <c r="F72" s="64">
        <f>IF(INDEX('Hotel Emissions'!$O:$O,MATCH(D72,'Hotel Emissions'!$C:$C,0))="",INDEX('Hotel Emissions'!$T:$T,MATCH(D72,'Hotel Emissions'!$C:$C,0)),INDEX('Hotel Emissions'!$O:$O,MATCH(D72,'Hotel Emissions'!$C:$C,0)))</f>
        <v>12.883417456204036</v>
      </c>
      <c r="G72" s="64">
        <f>IF(INDEX('Hotel Emissions'!$X:$X,MATCH(D72,'Hotel Emissions'!$C:$C,0))="",INDEX('Hotel Emissions'!$AC:$AC,MATCH(D72,'Hotel Emissions'!$C:$C,0)),INDEX('Hotel Emissions'!$X:$X,MATCH(D72,'Hotel Emissions'!$C:$C,0)))</f>
        <v>23.02905018770592</v>
      </c>
      <c r="H72" s="64">
        <f>IF(INDEX('Hotel Emissions'!AG:$AG,MATCH(D72,'Hotel Emissions'!$C:$C,0))="",INDEX('Hotel Emissions'!$AL:$AL,MATCH(D72,'Hotel Emissions'!$C:$C,0)),INDEX('Hotel Emissions'!$AG:$AG,MATCH(D72,'Hotel Emissions'!$C:$C,0)))</f>
        <v>46.341049687331989</v>
      </c>
      <c r="L72" s="31" t="s">
        <v>73</v>
      </c>
      <c r="M72" s="31" t="s">
        <v>50</v>
      </c>
    </row>
    <row r="73" spans="1:13" x14ac:dyDescent="0.65">
      <c r="A73" s="32"/>
      <c r="B73" s="32" t="s">
        <v>65</v>
      </c>
      <c r="C73" s="32" t="s">
        <v>545</v>
      </c>
      <c r="D73" s="32" t="str">
        <f t="shared" si="1"/>
        <v>Germany</v>
      </c>
      <c r="E73" s="64">
        <f>INDEX('Hotel Emissions'!$G:$G,MATCH(D73,'Hotel Emissions'!$C:$C,0))</f>
        <v>17.719702319351065</v>
      </c>
      <c r="F73" s="64">
        <f>IF(INDEX('Hotel Emissions'!$O:$O,MATCH(D73,'Hotel Emissions'!$C:$C,0))="",INDEX('Hotel Emissions'!$T:$T,MATCH(D73,'Hotel Emissions'!$C:$C,0)),INDEX('Hotel Emissions'!$O:$O,MATCH(D73,'Hotel Emissions'!$C:$C,0)))</f>
        <v>12.883417456204036</v>
      </c>
      <c r="G73" s="64">
        <f>IF(INDEX('Hotel Emissions'!$X:$X,MATCH(D73,'Hotel Emissions'!$C:$C,0))="",INDEX('Hotel Emissions'!$AC:$AC,MATCH(D73,'Hotel Emissions'!$C:$C,0)),INDEX('Hotel Emissions'!$X:$X,MATCH(D73,'Hotel Emissions'!$C:$C,0)))</f>
        <v>23.02905018770592</v>
      </c>
      <c r="H73" s="64">
        <f>IF(INDEX('Hotel Emissions'!AG:$AG,MATCH(D73,'Hotel Emissions'!$C:$C,0))="",INDEX('Hotel Emissions'!$AL:$AL,MATCH(D73,'Hotel Emissions'!$C:$C,0)),INDEX('Hotel Emissions'!$AG:$AG,MATCH(D73,'Hotel Emissions'!$C:$C,0)))</f>
        <v>46.341049687331989</v>
      </c>
      <c r="L73" s="31" t="s">
        <v>74</v>
      </c>
      <c r="M73" s="31" t="s">
        <v>42</v>
      </c>
    </row>
    <row r="74" spans="1:13" x14ac:dyDescent="0.65">
      <c r="A74" s="32"/>
      <c r="B74" s="32" t="s">
        <v>65</v>
      </c>
      <c r="C74" s="32" t="s">
        <v>307</v>
      </c>
      <c r="D74" s="32" t="str">
        <f t="shared" si="1"/>
        <v>Germany</v>
      </c>
      <c r="E74" s="64">
        <f>INDEX('Hotel Emissions'!$G:$G,MATCH(D74,'Hotel Emissions'!$C:$C,0))</f>
        <v>17.719702319351065</v>
      </c>
      <c r="F74" s="64">
        <f>IF(INDEX('Hotel Emissions'!$O:$O,MATCH(D74,'Hotel Emissions'!$C:$C,0))="",INDEX('Hotel Emissions'!$T:$T,MATCH(D74,'Hotel Emissions'!$C:$C,0)),INDEX('Hotel Emissions'!$O:$O,MATCH(D74,'Hotel Emissions'!$C:$C,0)))</f>
        <v>12.883417456204036</v>
      </c>
      <c r="G74" s="64">
        <f>IF(INDEX('Hotel Emissions'!$X:$X,MATCH(D74,'Hotel Emissions'!$C:$C,0))="",INDEX('Hotel Emissions'!$AC:$AC,MATCH(D74,'Hotel Emissions'!$C:$C,0)),INDEX('Hotel Emissions'!$X:$X,MATCH(D74,'Hotel Emissions'!$C:$C,0)))</f>
        <v>23.02905018770592</v>
      </c>
      <c r="H74" s="64">
        <f>IF(INDEX('Hotel Emissions'!AG:$AG,MATCH(D74,'Hotel Emissions'!$C:$C,0))="",INDEX('Hotel Emissions'!$AL:$AL,MATCH(D74,'Hotel Emissions'!$C:$C,0)),INDEX('Hotel Emissions'!$AG:$AG,MATCH(D74,'Hotel Emissions'!$C:$C,0)))</f>
        <v>46.341049687331989</v>
      </c>
      <c r="L74" s="31" t="s">
        <v>77</v>
      </c>
      <c r="M74" s="31" t="s">
        <v>82</v>
      </c>
    </row>
    <row r="75" spans="1:13" x14ac:dyDescent="0.65">
      <c r="A75" s="32"/>
      <c r="B75" s="32" t="s">
        <v>66</v>
      </c>
      <c r="C75" s="32" t="s">
        <v>460</v>
      </c>
      <c r="D75" s="32" t="str">
        <f t="shared" si="1"/>
        <v>Morocco</v>
      </c>
      <c r="E75" s="64">
        <f>INDEX('Hotel Emissions'!$G:$G,MATCH(D75,'Hotel Emissions'!$C:$C,0))</f>
        <v>64.786712103740001</v>
      </c>
      <c r="F75" s="64">
        <f>IF(INDEX('Hotel Emissions'!$O:$O,MATCH(D75,'Hotel Emissions'!$C:$C,0))="",INDEX('Hotel Emissions'!$T:$T,MATCH(D75,'Hotel Emissions'!$C:$C,0)),INDEX('Hotel Emissions'!$O:$O,MATCH(D75,'Hotel Emissions'!$C:$C,0)))</f>
        <v>22.421330805272362</v>
      </c>
      <c r="G75" s="64">
        <f>IF(INDEX('Hotel Emissions'!$X:$X,MATCH(D75,'Hotel Emissions'!$C:$C,0))="",INDEX('Hotel Emissions'!$AC:$AC,MATCH(D75,'Hotel Emissions'!$C:$C,0)),INDEX('Hotel Emissions'!$X:$X,MATCH(D75,'Hotel Emissions'!$C:$C,0)))</f>
        <v>81.787795373044702</v>
      </c>
      <c r="H75" s="64">
        <f>IF(INDEX('Hotel Emissions'!AG:$AG,MATCH(D75,'Hotel Emissions'!$C:$C,0))="",INDEX('Hotel Emissions'!$AL:$AL,MATCH(D75,'Hotel Emissions'!$C:$C,0)),INDEX('Hotel Emissions'!$AG:$AG,MATCH(D75,'Hotel Emissions'!$C:$C,0)))</f>
        <v>105.55113658157052</v>
      </c>
      <c r="L75" s="31" t="s">
        <v>80</v>
      </c>
      <c r="M75" s="31" t="s">
        <v>170</v>
      </c>
    </row>
    <row r="76" spans="1:13" x14ac:dyDescent="0.65">
      <c r="A76" s="32"/>
      <c r="B76" s="32" t="s">
        <v>67</v>
      </c>
      <c r="C76" s="32" t="s">
        <v>295</v>
      </c>
      <c r="D76" s="32" t="str">
        <f t="shared" si="1"/>
        <v>Greece</v>
      </c>
      <c r="E76" s="64">
        <f>INDEX('Hotel Emissions'!$G:$G,MATCH(D76,'Hotel Emissions'!$C:$C,0))</f>
        <v>65.87208016212692</v>
      </c>
      <c r="F76" s="64">
        <f>IF(INDEX('Hotel Emissions'!$O:$O,MATCH(D76,'Hotel Emissions'!$C:$C,0))="",INDEX('Hotel Emissions'!$T:$T,MATCH(D76,'Hotel Emissions'!$C:$C,0)),INDEX('Hotel Emissions'!$O:$O,MATCH(D76,'Hotel Emissions'!$C:$C,0)))</f>
        <v>16.910410780975194</v>
      </c>
      <c r="G76" s="64">
        <f>IF(INDEX('Hotel Emissions'!$X:$X,MATCH(D76,'Hotel Emissions'!$C:$C,0))="",INDEX('Hotel Emissions'!$AC:$AC,MATCH(D76,'Hotel Emissions'!$C:$C,0)),INDEX('Hotel Emissions'!$X:$X,MATCH(D76,'Hotel Emissions'!$C:$C,0)))</f>
        <v>41.238180878421765</v>
      </c>
      <c r="H76" s="64">
        <f>IF(INDEX('Hotel Emissions'!AG:$AG,MATCH(D76,'Hotel Emissions'!$C:$C,0))="",INDEX('Hotel Emissions'!$AL:$AL,MATCH(D76,'Hotel Emissions'!$C:$C,0)),INDEX('Hotel Emissions'!$AG:$AG,MATCH(D76,'Hotel Emissions'!$C:$C,0)))</f>
        <v>94.792983435676007</v>
      </c>
      <c r="L76" s="31" t="s">
        <v>81</v>
      </c>
      <c r="M76" s="31" t="s">
        <v>144</v>
      </c>
    </row>
    <row r="77" spans="1:13" x14ac:dyDescent="0.65">
      <c r="A77" s="32"/>
      <c r="B77" s="32" t="s">
        <v>68</v>
      </c>
      <c r="C77" s="32" t="s">
        <v>547</v>
      </c>
      <c r="D77" s="32" t="str">
        <f t="shared" si="1"/>
        <v>Dominican Republic</v>
      </c>
      <c r="E77" s="64">
        <f>INDEX('Hotel Emissions'!$G:$G,MATCH(D77,'Hotel Emissions'!$C:$C,0))</f>
        <v>49.703220941619364</v>
      </c>
      <c r="F77" s="64">
        <f>IF(INDEX('Hotel Emissions'!$O:$O,MATCH(D77,'Hotel Emissions'!$C:$C,0))="",INDEX('Hotel Emissions'!$T:$T,MATCH(D77,'Hotel Emissions'!$C:$C,0)),INDEX('Hotel Emissions'!$O:$O,MATCH(D77,'Hotel Emissions'!$C:$C,0)))</f>
        <v>16.910410780975194</v>
      </c>
      <c r="G77" s="64">
        <f>IF(INDEX('Hotel Emissions'!$X:$X,MATCH(D77,'Hotel Emissions'!$C:$C,0))="",INDEX('Hotel Emissions'!$AC:$AC,MATCH(D77,'Hotel Emissions'!$C:$C,0)),INDEX('Hotel Emissions'!$X:$X,MATCH(D77,'Hotel Emissions'!$C:$C,0)))</f>
        <v>41.238180878421765</v>
      </c>
      <c r="H77" s="64">
        <f>IF(INDEX('Hotel Emissions'!AG:$AG,MATCH(D77,'Hotel Emissions'!$C:$C,0))="",INDEX('Hotel Emissions'!$AL:$AL,MATCH(D77,'Hotel Emissions'!$C:$C,0)),INDEX('Hotel Emissions'!$AG:$AG,MATCH(D77,'Hotel Emissions'!$C:$C,0)))</f>
        <v>94.792983435676007</v>
      </c>
      <c r="L77" s="31" t="s">
        <v>85</v>
      </c>
      <c r="M77" s="31" t="s">
        <v>50</v>
      </c>
    </row>
    <row r="78" spans="1:13" x14ac:dyDescent="0.65">
      <c r="A78" s="32"/>
      <c r="B78" s="32" t="s">
        <v>69</v>
      </c>
      <c r="C78" s="32" t="s">
        <v>69</v>
      </c>
      <c r="D78" s="32" t="str">
        <f t="shared" si="1"/>
        <v>Costa Rica</v>
      </c>
      <c r="E78" s="64">
        <f>INDEX('Hotel Emissions'!$G:$G,MATCH(D78,'Hotel Emissions'!$C:$C,0))</f>
        <v>11.133538864398535</v>
      </c>
      <c r="F78" s="64">
        <f>IF(INDEX('Hotel Emissions'!$O:$O,MATCH(D78,'Hotel Emissions'!$C:$C,0))="",INDEX('Hotel Emissions'!$T:$T,MATCH(D78,'Hotel Emissions'!$C:$C,0)),INDEX('Hotel Emissions'!$O:$O,MATCH(D78,'Hotel Emissions'!$C:$C,0)))</f>
        <v>6.0947986768733706</v>
      </c>
      <c r="G78" s="64">
        <f>IF(INDEX('Hotel Emissions'!$X:$X,MATCH(D78,'Hotel Emissions'!$C:$C,0))="",INDEX('Hotel Emissions'!$AC:$AC,MATCH(D78,'Hotel Emissions'!$C:$C,0)),INDEX('Hotel Emissions'!$X:$X,MATCH(D78,'Hotel Emissions'!$C:$C,0)))</f>
        <v>14.502350330546598</v>
      </c>
      <c r="H78" s="64">
        <f>IF(INDEX('Hotel Emissions'!AG:$AG,MATCH(D78,'Hotel Emissions'!$C:$C,0))="",INDEX('Hotel Emissions'!$AL:$AL,MATCH(D78,'Hotel Emissions'!$C:$C,0)),INDEX('Hotel Emissions'!$AG:$AG,MATCH(D78,'Hotel Emissions'!$C:$C,0)))</f>
        <v>94.792983435676007</v>
      </c>
      <c r="L78" s="31" t="s">
        <v>89</v>
      </c>
      <c r="M78" s="31" t="s">
        <v>152</v>
      </c>
    </row>
    <row r="79" spans="1:13" x14ac:dyDescent="0.65">
      <c r="A79" s="32"/>
      <c r="B79" s="32" t="s">
        <v>70</v>
      </c>
      <c r="C79" s="32" t="s">
        <v>461</v>
      </c>
      <c r="D79" s="32" t="str">
        <f t="shared" si="1"/>
        <v>Morocco</v>
      </c>
      <c r="E79" s="64">
        <f>INDEX('Hotel Emissions'!$G:$G,MATCH(D79,'Hotel Emissions'!$C:$C,0))</f>
        <v>64.786712103740001</v>
      </c>
      <c r="F79" s="64">
        <f>IF(INDEX('Hotel Emissions'!$O:$O,MATCH(D79,'Hotel Emissions'!$C:$C,0))="",INDEX('Hotel Emissions'!$T:$T,MATCH(D79,'Hotel Emissions'!$C:$C,0)),INDEX('Hotel Emissions'!$O:$O,MATCH(D79,'Hotel Emissions'!$C:$C,0)))</f>
        <v>22.421330805272362</v>
      </c>
      <c r="G79" s="64">
        <f>IF(INDEX('Hotel Emissions'!$X:$X,MATCH(D79,'Hotel Emissions'!$C:$C,0))="",INDEX('Hotel Emissions'!$AC:$AC,MATCH(D79,'Hotel Emissions'!$C:$C,0)),INDEX('Hotel Emissions'!$X:$X,MATCH(D79,'Hotel Emissions'!$C:$C,0)))</f>
        <v>81.787795373044702</v>
      </c>
      <c r="H79" s="64">
        <f>IF(INDEX('Hotel Emissions'!AG:$AG,MATCH(D79,'Hotel Emissions'!$C:$C,0))="",INDEX('Hotel Emissions'!$AL:$AL,MATCH(D79,'Hotel Emissions'!$C:$C,0)),INDEX('Hotel Emissions'!$AG:$AG,MATCH(D79,'Hotel Emissions'!$C:$C,0)))</f>
        <v>105.55113658157052</v>
      </c>
      <c r="L79" s="31" t="s">
        <v>91</v>
      </c>
      <c r="M79" s="31" t="s">
        <v>88</v>
      </c>
    </row>
    <row r="80" spans="1:13" x14ac:dyDescent="0.65">
      <c r="A80" s="32"/>
      <c r="B80" s="32" t="s">
        <v>71</v>
      </c>
      <c r="C80" s="32" t="s">
        <v>462</v>
      </c>
      <c r="D80" s="32" t="str">
        <f t="shared" si="1"/>
        <v>Morocco</v>
      </c>
      <c r="E80" s="64">
        <f>INDEX('Hotel Emissions'!$G:$G,MATCH(D80,'Hotel Emissions'!$C:$C,0))</f>
        <v>64.786712103740001</v>
      </c>
      <c r="F80" s="64">
        <f>IF(INDEX('Hotel Emissions'!$O:$O,MATCH(D80,'Hotel Emissions'!$C:$C,0))="",INDEX('Hotel Emissions'!$T:$T,MATCH(D80,'Hotel Emissions'!$C:$C,0)),INDEX('Hotel Emissions'!$O:$O,MATCH(D80,'Hotel Emissions'!$C:$C,0)))</f>
        <v>22.421330805272362</v>
      </c>
      <c r="G80" s="64">
        <f>IF(INDEX('Hotel Emissions'!$X:$X,MATCH(D80,'Hotel Emissions'!$C:$C,0))="",INDEX('Hotel Emissions'!$AC:$AC,MATCH(D80,'Hotel Emissions'!$C:$C,0)),INDEX('Hotel Emissions'!$X:$X,MATCH(D80,'Hotel Emissions'!$C:$C,0)))</f>
        <v>81.787795373044702</v>
      </c>
      <c r="H80" s="64">
        <f>IF(INDEX('Hotel Emissions'!AG:$AG,MATCH(D80,'Hotel Emissions'!$C:$C,0))="",INDEX('Hotel Emissions'!$AL:$AL,MATCH(D80,'Hotel Emissions'!$C:$C,0)),INDEX('Hotel Emissions'!$AG:$AG,MATCH(D80,'Hotel Emissions'!$C:$C,0)))</f>
        <v>105.55113658157052</v>
      </c>
      <c r="L80" s="31" t="s">
        <v>92</v>
      </c>
      <c r="M80" s="31" t="s">
        <v>165</v>
      </c>
    </row>
    <row r="81" spans="1:13" x14ac:dyDescent="0.65">
      <c r="A81" s="32"/>
      <c r="B81" s="32" t="s">
        <v>72</v>
      </c>
      <c r="C81" s="32" t="s">
        <v>463</v>
      </c>
      <c r="D81" s="32" t="str">
        <f t="shared" si="1"/>
        <v>Colombia</v>
      </c>
      <c r="E81" s="64">
        <f>INDEX('Hotel Emissions'!$G:$G,MATCH(D81,'Hotel Emissions'!$C:$C,0))</f>
        <v>14.267918673051788</v>
      </c>
      <c r="F81" s="64">
        <f>IF(INDEX('Hotel Emissions'!$O:$O,MATCH(D81,'Hotel Emissions'!$C:$C,0))="",INDEX('Hotel Emissions'!$T:$T,MATCH(D81,'Hotel Emissions'!$C:$C,0)),INDEX('Hotel Emissions'!$O:$O,MATCH(D81,'Hotel Emissions'!$C:$C,0)))</f>
        <v>8.9790894897367455</v>
      </c>
      <c r="G81" s="64">
        <f>IF(INDEX('Hotel Emissions'!$X:$X,MATCH(D81,'Hotel Emissions'!$C:$C,0))="",INDEX('Hotel Emissions'!$AC:$AC,MATCH(D81,'Hotel Emissions'!$C:$C,0)),INDEX('Hotel Emissions'!$X:$X,MATCH(D81,'Hotel Emissions'!$C:$C,0)))</f>
        <v>16.225718608370105</v>
      </c>
      <c r="H81" s="64">
        <f>IF(INDEX('Hotel Emissions'!AG:$AG,MATCH(D81,'Hotel Emissions'!$C:$C,0))="",INDEX('Hotel Emissions'!$AL:$AL,MATCH(D81,'Hotel Emissions'!$C:$C,0)),INDEX('Hotel Emissions'!$AG:$AG,MATCH(D81,'Hotel Emissions'!$C:$C,0)))</f>
        <v>31.301148694206912</v>
      </c>
      <c r="L81" s="31" t="s">
        <v>93</v>
      </c>
      <c r="M81" s="31" t="s">
        <v>65</v>
      </c>
    </row>
    <row r="82" spans="1:13" x14ac:dyDescent="0.65">
      <c r="A82" s="32"/>
      <c r="B82" s="32" t="s">
        <v>73</v>
      </c>
      <c r="C82" s="32" t="s">
        <v>464</v>
      </c>
      <c r="D82" s="32" t="str">
        <f t="shared" si="1"/>
        <v>Dominican Republic</v>
      </c>
      <c r="E82" s="64">
        <f>INDEX('Hotel Emissions'!$G:$G,MATCH(D82,'Hotel Emissions'!$C:$C,0))</f>
        <v>49.703220941619364</v>
      </c>
      <c r="F82" s="64">
        <f>IF(INDEX('Hotel Emissions'!$O:$O,MATCH(D82,'Hotel Emissions'!$C:$C,0))="",INDEX('Hotel Emissions'!$T:$T,MATCH(D82,'Hotel Emissions'!$C:$C,0)),INDEX('Hotel Emissions'!$O:$O,MATCH(D82,'Hotel Emissions'!$C:$C,0)))</f>
        <v>16.910410780975194</v>
      </c>
      <c r="G82" s="64">
        <f>IF(INDEX('Hotel Emissions'!$X:$X,MATCH(D82,'Hotel Emissions'!$C:$C,0))="",INDEX('Hotel Emissions'!$AC:$AC,MATCH(D82,'Hotel Emissions'!$C:$C,0)),INDEX('Hotel Emissions'!$X:$X,MATCH(D82,'Hotel Emissions'!$C:$C,0)))</f>
        <v>41.238180878421765</v>
      </c>
      <c r="H82" s="64">
        <f>IF(INDEX('Hotel Emissions'!AG:$AG,MATCH(D82,'Hotel Emissions'!$C:$C,0))="",INDEX('Hotel Emissions'!$AL:$AL,MATCH(D82,'Hotel Emissions'!$C:$C,0)),INDEX('Hotel Emissions'!$AG:$AG,MATCH(D82,'Hotel Emissions'!$C:$C,0)))</f>
        <v>94.792983435676007</v>
      </c>
      <c r="L82" s="31" t="s">
        <v>94</v>
      </c>
      <c r="M82" s="31" t="s">
        <v>87</v>
      </c>
    </row>
    <row r="83" spans="1:13" x14ac:dyDescent="0.65">
      <c r="A83" s="32"/>
      <c r="B83" s="32" t="s">
        <v>74</v>
      </c>
      <c r="C83" s="32" t="s">
        <v>465</v>
      </c>
      <c r="D83" s="32" t="str">
        <f t="shared" si="1"/>
        <v>Costa Rica</v>
      </c>
      <c r="E83" s="64">
        <f>INDEX('Hotel Emissions'!$G:$G,MATCH(D83,'Hotel Emissions'!$C:$C,0))</f>
        <v>11.133538864398535</v>
      </c>
      <c r="F83" s="64">
        <f>IF(INDEX('Hotel Emissions'!$O:$O,MATCH(D83,'Hotel Emissions'!$C:$C,0))="",INDEX('Hotel Emissions'!$T:$T,MATCH(D83,'Hotel Emissions'!$C:$C,0)),INDEX('Hotel Emissions'!$O:$O,MATCH(D83,'Hotel Emissions'!$C:$C,0)))</f>
        <v>6.0947986768733706</v>
      </c>
      <c r="G83" s="64">
        <f>IF(INDEX('Hotel Emissions'!$X:$X,MATCH(D83,'Hotel Emissions'!$C:$C,0))="",INDEX('Hotel Emissions'!$AC:$AC,MATCH(D83,'Hotel Emissions'!$C:$C,0)),INDEX('Hotel Emissions'!$X:$X,MATCH(D83,'Hotel Emissions'!$C:$C,0)))</f>
        <v>14.502350330546598</v>
      </c>
      <c r="H83" s="64">
        <f>IF(INDEX('Hotel Emissions'!AG:$AG,MATCH(D83,'Hotel Emissions'!$C:$C,0))="",INDEX('Hotel Emissions'!$AL:$AL,MATCH(D83,'Hotel Emissions'!$C:$C,0)),INDEX('Hotel Emissions'!$AG:$AG,MATCH(D83,'Hotel Emissions'!$C:$C,0)))</f>
        <v>94.792983435676007</v>
      </c>
      <c r="L83" s="31" t="s">
        <v>95</v>
      </c>
      <c r="M83" s="31" t="s">
        <v>152</v>
      </c>
    </row>
    <row r="84" spans="1:13" x14ac:dyDescent="0.65">
      <c r="A84" s="32"/>
      <c r="B84" s="32" t="s">
        <v>38</v>
      </c>
      <c r="C84" s="32" t="s">
        <v>75</v>
      </c>
      <c r="D84" s="32" t="str">
        <f t="shared" si="1"/>
        <v>China</v>
      </c>
      <c r="E84" s="64">
        <f>INDEX('Hotel Emissions'!$G:$G,MATCH(D84,'Hotel Emissions'!$C:$C,0))</f>
        <v>63.917131895306049</v>
      </c>
      <c r="F84" s="64">
        <f>IF(INDEX('Hotel Emissions'!$O:$O,MATCH(D84,'Hotel Emissions'!$C:$C,0))="",INDEX('Hotel Emissions'!$T:$T,MATCH(D84,'Hotel Emissions'!$C:$C,0)),INDEX('Hotel Emissions'!$O:$O,MATCH(D84,'Hotel Emissions'!$C:$C,0)))</f>
        <v>46.509414509985085</v>
      </c>
      <c r="G84" s="64">
        <f>IF(INDEX('Hotel Emissions'!$X:$X,MATCH(D84,'Hotel Emissions'!$C:$C,0))="",INDEX('Hotel Emissions'!$AC:$AC,MATCH(D84,'Hotel Emissions'!$C:$C,0)),INDEX('Hotel Emissions'!$X:$X,MATCH(D84,'Hotel Emissions'!$C:$C,0)))</f>
        <v>68.926915948163128</v>
      </c>
      <c r="H84" s="64">
        <f>IF(INDEX('Hotel Emissions'!AG:$AG,MATCH(D84,'Hotel Emissions'!$C:$C,0))="",INDEX('Hotel Emissions'!$AL:$AL,MATCH(D84,'Hotel Emissions'!$C:$C,0)),INDEX('Hotel Emissions'!$AG:$AG,MATCH(D84,'Hotel Emissions'!$C:$C,0)))</f>
        <v>92.091654166824938</v>
      </c>
      <c r="L84" s="31" t="s">
        <v>96</v>
      </c>
      <c r="M84" s="31" t="s">
        <v>114</v>
      </c>
    </row>
    <row r="85" spans="1:13" x14ac:dyDescent="0.65">
      <c r="A85" s="32"/>
      <c r="B85" s="32" t="s">
        <v>76</v>
      </c>
      <c r="C85" s="32" t="s">
        <v>303</v>
      </c>
      <c r="D85" s="32" t="str">
        <f t="shared" si="1"/>
        <v>Hungary</v>
      </c>
      <c r="E85" s="64">
        <f>INDEX('Hotel Emissions'!$G:$G,MATCH(D85,'Hotel Emissions'!$C:$C,0))</f>
        <v>28.261994079456539</v>
      </c>
      <c r="F85" s="64">
        <f>IF(INDEX('Hotel Emissions'!$O:$O,MATCH(D85,'Hotel Emissions'!$C:$C,0))="",INDEX('Hotel Emissions'!$T:$T,MATCH(D85,'Hotel Emissions'!$C:$C,0)),INDEX('Hotel Emissions'!$O:$O,MATCH(D85,'Hotel Emissions'!$C:$C,0)))</f>
        <v>16.309381709017806</v>
      </c>
      <c r="G85" s="64">
        <f>IF(INDEX('Hotel Emissions'!$X:$X,MATCH(D85,'Hotel Emissions'!$C:$C,0))="",INDEX('Hotel Emissions'!$AC:$AC,MATCH(D85,'Hotel Emissions'!$C:$C,0)),INDEX('Hotel Emissions'!$X:$X,MATCH(D85,'Hotel Emissions'!$C:$C,0)))</f>
        <v>17.58995713958198</v>
      </c>
      <c r="H85" s="64">
        <f>IF(INDEX('Hotel Emissions'!AG:$AG,MATCH(D85,'Hotel Emissions'!$C:$C,0))="",INDEX('Hotel Emissions'!$AL:$AL,MATCH(D85,'Hotel Emissions'!$C:$C,0)),INDEX('Hotel Emissions'!$AG:$AG,MATCH(D85,'Hotel Emissions'!$C:$C,0)))</f>
        <v>94.792983435676007</v>
      </c>
      <c r="L85" s="31" t="s">
        <v>97</v>
      </c>
      <c r="M85" s="31" t="s">
        <v>169</v>
      </c>
    </row>
    <row r="86" spans="1:13" x14ac:dyDescent="0.65">
      <c r="A86" s="32"/>
      <c r="B86" s="32" t="s">
        <v>77</v>
      </c>
      <c r="C86" s="32" t="s">
        <v>466</v>
      </c>
      <c r="D86" s="32" t="str">
        <f t="shared" si="1"/>
        <v>Ireland</v>
      </c>
      <c r="E86" s="64">
        <f>INDEX('Hotel Emissions'!$G:$G,MATCH(D86,'Hotel Emissions'!$C:$C,0))</f>
        <v>37.024111428214106</v>
      </c>
      <c r="F86" s="64">
        <f>IF(INDEX('Hotel Emissions'!$O:$O,MATCH(D86,'Hotel Emissions'!$C:$C,0))="",INDEX('Hotel Emissions'!$T:$T,MATCH(D86,'Hotel Emissions'!$C:$C,0)),INDEX('Hotel Emissions'!$O:$O,MATCH(D86,'Hotel Emissions'!$C:$C,0)))</f>
        <v>16.910410780975194</v>
      </c>
      <c r="G86" s="64">
        <f>IF(INDEX('Hotel Emissions'!$X:$X,MATCH(D86,'Hotel Emissions'!$C:$C,0))="",INDEX('Hotel Emissions'!$AC:$AC,MATCH(D86,'Hotel Emissions'!$C:$C,0)),INDEX('Hotel Emissions'!$X:$X,MATCH(D86,'Hotel Emissions'!$C:$C,0)))</f>
        <v>41.238180878421765</v>
      </c>
      <c r="H86" s="64">
        <f>IF(INDEX('Hotel Emissions'!AG:$AG,MATCH(D86,'Hotel Emissions'!$C:$C,0))="",INDEX('Hotel Emissions'!$AL:$AL,MATCH(D86,'Hotel Emissions'!$C:$C,0)),INDEX('Hotel Emissions'!$AG:$AG,MATCH(D86,'Hotel Emissions'!$C:$C,0)))</f>
        <v>94.792983435676007</v>
      </c>
      <c r="L86" s="31" t="s">
        <v>98</v>
      </c>
      <c r="M86" s="31" t="s">
        <v>160</v>
      </c>
    </row>
    <row r="87" spans="1:13" x14ac:dyDescent="0.65">
      <c r="A87" s="32"/>
      <c r="B87" s="32" t="s">
        <v>78</v>
      </c>
      <c r="C87" s="32" t="s">
        <v>322</v>
      </c>
      <c r="D87" s="32" t="str">
        <f t="shared" si="1"/>
        <v>India</v>
      </c>
      <c r="E87" s="64">
        <f>INDEX('Hotel Emissions'!$G:$G,MATCH(D87,'Hotel Emissions'!$C:$C,0))</f>
        <v>60.039227102791394</v>
      </c>
      <c r="F87" s="64">
        <f>IF(INDEX('Hotel Emissions'!$O:$O,MATCH(D87,'Hotel Emissions'!$C:$C,0))="",INDEX('Hotel Emissions'!$T:$T,MATCH(D87,'Hotel Emissions'!$C:$C,0)),INDEX('Hotel Emissions'!$O:$O,MATCH(D87,'Hotel Emissions'!$C:$C,0)))</f>
        <v>44.760847828132114</v>
      </c>
      <c r="G87" s="64">
        <f>IF(INDEX('Hotel Emissions'!$X:$X,MATCH(D87,'Hotel Emissions'!$C:$C,0))="",INDEX('Hotel Emissions'!$AC:$AC,MATCH(D87,'Hotel Emissions'!$C:$C,0)),INDEX('Hotel Emissions'!$X:$X,MATCH(D87,'Hotel Emissions'!$C:$C,0)))</f>
        <v>64.625315927390787</v>
      </c>
      <c r="H87" s="64">
        <f>IF(INDEX('Hotel Emissions'!AG:$AG,MATCH(D87,'Hotel Emissions'!$C:$C,0))="",INDEX('Hotel Emissions'!$AL:$AL,MATCH(D87,'Hotel Emissions'!$C:$C,0)),INDEX('Hotel Emissions'!$AG:$AG,MATCH(D87,'Hotel Emissions'!$C:$C,0)))</f>
        <v>87.695610816492447</v>
      </c>
      <c r="L87" s="31" t="s">
        <v>99</v>
      </c>
      <c r="M87" s="31" t="s">
        <v>133</v>
      </c>
    </row>
    <row r="88" spans="1:13" x14ac:dyDescent="0.65">
      <c r="A88" s="32"/>
      <c r="B88" s="32" t="s">
        <v>78</v>
      </c>
      <c r="C88" s="32" t="s">
        <v>467</v>
      </c>
      <c r="D88" s="32" t="str">
        <f t="shared" si="1"/>
        <v>India</v>
      </c>
      <c r="E88" s="64">
        <f>INDEX('Hotel Emissions'!$G:$G,MATCH(D88,'Hotel Emissions'!$C:$C,0))</f>
        <v>60.039227102791394</v>
      </c>
      <c r="F88" s="64">
        <f>IF(INDEX('Hotel Emissions'!$O:$O,MATCH(D88,'Hotel Emissions'!$C:$C,0))="",INDEX('Hotel Emissions'!$T:$T,MATCH(D88,'Hotel Emissions'!$C:$C,0)),INDEX('Hotel Emissions'!$O:$O,MATCH(D88,'Hotel Emissions'!$C:$C,0)))</f>
        <v>44.760847828132114</v>
      </c>
      <c r="G88" s="64">
        <f>IF(INDEX('Hotel Emissions'!$X:$X,MATCH(D88,'Hotel Emissions'!$C:$C,0))="",INDEX('Hotel Emissions'!$AC:$AC,MATCH(D88,'Hotel Emissions'!$C:$C,0)),INDEX('Hotel Emissions'!$X:$X,MATCH(D88,'Hotel Emissions'!$C:$C,0)))</f>
        <v>64.625315927390787</v>
      </c>
      <c r="H88" s="64">
        <f>IF(INDEX('Hotel Emissions'!AG:$AG,MATCH(D88,'Hotel Emissions'!$C:$C,0))="",INDEX('Hotel Emissions'!$AL:$AL,MATCH(D88,'Hotel Emissions'!$C:$C,0)),INDEX('Hotel Emissions'!$AG:$AG,MATCH(D88,'Hotel Emissions'!$C:$C,0)))</f>
        <v>87.695610816492447</v>
      </c>
      <c r="L88" s="31" t="s">
        <v>100</v>
      </c>
      <c r="M88" s="31" t="s">
        <v>19</v>
      </c>
    </row>
    <row r="89" spans="1:13" x14ac:dyDescent="0.65">
      <c r="A89" s="32"/>
      <c r="B89" s="32" t="s">
        <v>79</v>
      </c>
      <c r="C89" s="32" t="s">
        <v>310</v>
      </c>
      <c r="D89" s="32" t="str">
        <f t="shared" si="1"/>
        <v>Indonesia</v>
      </c>
      <c r="E89" s="64">
        <f>INDEX('Hotel Emissions'!$G:$G,MATCH(D89,'Hotel Emissions'!$C:$C,0))</f>
        <v>80.036256097170437</v>
      </c>
      <c r="F89" s="64">
        <f>IF(INDEX('Hotel Emissions'!$O:$O,MATCH(D89,'Hotel Emissions'!$C:$C,0))="",INDEX('Hotel Emissions'!$T:$T,MATCH(D89,'Hotel Emissions'!$C:$C,0)),INDEX('Hotel Emissions'!$O:$O,MATCH(D89,'Hotel Emissions'!$C:$C,0)))</f>
        <v>40.129676534155031</v>
      </c>
      <c r="G89" s="64">
        <f>IF(INDEX('Hotel Emissions'!$X:$X,MATCH(D89,'Hotel Emissions'!$C:$C,0))="",INDEX('Hotel Emissions'!$AC:$AC,MATCH(D89,'Hotel Emissions'!$C:$C,0)),INDEX('Hotel Emissions'!$X:$X,MATCH(D89,'Hotel Emissions'!$C:$C,0)))</f>
        <v>72.917031956254306</v>
      </c>
      <c r="H89" s="64">
        <f>IF(INDEX('Hotel Emissions'!AG:$AG,MATCH(D89,'Hotel Emissions'!$C:$C,0))="",INDEX('Hotel Emissions'!$AL:$AL,MATCH(D89,'Hotel Emissions'!$C:$C,0)),INDEX('Hotel Emissions'!$AG:$AG,MATCH(D89,'Hotel Emissions'!$C:$C,0)))</f>
        <v>207.86323175228469</v>
      </c>
      <c r="L89" s="31" t="s">
        <v>101</v>
      </c>
      <c r="M89" s="31" t="s">
        <v>152</v>
      </c>
    </row>
    <row r="90" spans="1:13" x14ac:dyDescent="0.65">
      <c r="A90" s="32"/>
      <c r="B90" s="32" t="s">
        <v>80</v>
      </c>
      <c r="C90" s="32" t="s">
        <v>468</v>
      </c>
      <c r="D90" s="32" t="str">
        <f t="shared" si="1"/>
        <v>Turkey</v>
      </c>
      <c r="E90" s="64">
        <f>INDEX('Hotel Emissions'!$G:$G,MATCH(D90,'Hotel Emissions'!$C:$C,0))</f>
        <v>39.848766633134431</v>
      </c>
      <c r="F90" s="64">
        <f>IF(INDEX('Hotel Emissions'!$O:$O,MATCH(D90,'Hotel Emissions'!$C:$C,0))="",INDEX('Hotel Emissions'!$T:$T,MATCH(D90,'Hotel Emissions'!$C:$C,0)),INDEX('Hotel Emissions'!$O:$O,MATCH(D90,'Hotel Emissions'!$C:$C,0)))</f>
        <v>15.380150823335409</v>
      </c>
      <c r="G90" s="64">
        <f>IF(INDEX('Hotel Emissions'!$X:$X,MATCH(D90,'Hotel Emissions'!$C:$C,0))="",INDEX('Hotel Emissions'!$AC:$AC,MATCH(D90,'Hotel Emissions'!$C:$C,0)),INDEX('Hotel Emissions'!$X:$X,MATCH(D90,'Hotel Emissions'!$C:$C,0)))</f>
        <v>32.385195801724358</v>
      </c>
      <c r="H90" s="64">
        <f>IF(INDEX('Hotel Emissions'!AG:$AG,MATCH(D90,'Hotel Emissions'!$C:$C,0))="",INDEX('Hotel Emissions'!$AL:$AL,MATCH(D90,'Hotel Emissions'!$C:$C,0)),INDEX('Hotel Emissions'!$AG:$AG,MATCH(D90,'Hotel Emissions'!$C:$C,0)))</f>
        <v>73.030535930185451</v>
      </c>
      <c r="L90" s="31" t="s">
        <v>102</v>
      </c>
      <c r="M90" s="31" t="s">
        <v>152</v>
      </c>
    </row>
    <row r="91" spans="1:13" x14ac:dyDescent="0.65">
      <c r="A91" s="32"/>
      <c r="B91" s="32" t="s">
        <v>81</v>
      </c>
      <c r="C91" s="32" t="s">
        <v>469</v>
      </c>
      <c r="D91" s="32" t="str">
        <f t="shared" si="1"/>
        <v>Saudi Arabia</v>
      </c>
      <c r="E91" s="64">
        <f>INDEX('Hotel Emissions'!$G:$G,MATCH(D91,'Hotel Emissions'!$C:$C,0))</f>
        <v>115.93364863820152</v>
      </c>
      <c r="F91" s="64">
        <f>IF(INDEX('Hotel Emissions'!$O:$O,MATCH(D91,'Hotel Emissions'!$C:$C,0))="",INDEX('Hotel Emissions'!$T:$T,MATCH(D91,'Hotel Emissions'!$C:$C,0)),INDEX('Hotel Emissions'!$O:$O,MATCH(D91,'Hotel Emissions'!$C:$C,0)))</f>
        <v>47.451413821239164</v>
      </c>
      <c r="G91" s="64">
        <f>IF(INDEX('Hotel Emissions'!$X:$X,MATCH(D91,'Hotel Emissions'!$C:$C,0))="",INDEX('Hotel Emissions'!$AC:$AC,MATCH(D91,'Hotel Emissions'!$C:$C,0)),INDEX('Hotel Emissions'!$X:$X,MATCH(D91,'Hotel Emissions'!$C:$C,0)))</f>
        <v>122.4268714852297</v>
      </c>
      <c r="H91" s="64">
        <f>IF(INDEX('Hotel Emissions'!AG:$AG,MATCH(D91,'Hotel Emissions'!$C:$C,0))="",INDEX('Hotel Emissions'!$AL:$AL,MATCH(D91,'Hotel Emissions'!$C:$C,0)),INDEX('Hotel Emissions'!$AG:$AG,MATCH(D91,'Hotel Emissions'!$C:$C,0)))</f>
        <v>147.7026973077889</v>
      </c>
      <c r="L91" s="31" t="s">
        <v>105</v>
      </c>
      <c r="M91" s="31" t="s">
        <v>114</v>
      </c>
    </row>
    <row r="92" spans="1:13" x14ac:dyDescent="0.65">
      <c r="A92" s="32"/>
      <c r="B92" s="32" t="s">
        <v>82</v>
      </c>
      <c r="C92" s="32" t="s">
        <v>306</v>
      </c>
      <c r="D92" s="32" t="str">
        <f t="shared" si="1"/>
        <v>Ireland</v>
      </c>
      <c r="E92" s="64">
        <f>INDEX('Hotel Emissions'!$G:$G,MATCH(D92,'Hotel Emissions'!$C:$C,0))</f>
        <v>37.024111428214106</v>
      </c>
      <c r="F92" s="64">
        <f>IF(INDEX('Hotel Emissions'!$O:$O,MATCH(D92,'Hotel Emissions'!$C:$C,0))="",INDEX('Hotel Emissions'!$T:$T,MATCH(D92,'Hotel Emissions'!$C:$C,0)),INDEX('Hotel Emissions'!$O:$O,MATCH(D92,'Hotel Emissions'!$C:$C,0)))</f>
        <v>16.910410780975194</v>
      </c>
      <c r="G92" s="64">
        <f>IF(INDEX('Hotel Emissions'!$X:$X,MATCH(D92,'Hotel Emissions'!$C:$C,0))="",INDEX('Hotel Emissions'!$AC:$AC,MATCH(D92,'Hotel Emissions'!$C:$C,0)),INDEX('Hotel Emissions'!$X:$X,MATCH(D92,'Hotel Emissions'!$C:$C,0)))</f>
        <v>41.238180878421765</v>
      </c>
      <c r="H92" s="64">
        <f>IF(INDEX('Hotel Emissions'!AG:$AG,MATCH(D92,'Hotel Emissions'!$C:$C,0))="",INDEX('Hotel Emissions'!$AL:$AL,MATCH(D92,'Hotel Emissions'!$C:$C,0)),INDEX('Hotel Emissions'!$AG:$AG,MATCH(D92,'Hotel Emissions'!$C:$C,0)))</f>
        <v>94.792983435676007</v>
      </c>
      <c r="L92" s="31" t="s">
        <v>106</v>
      </c>
      <c r="M92" s="31" t="s">
        <v>84</v>
      </c>
    </row>
    <row r="93" spans="1:13" x14ac:dyDescent="0.65">
      <c r="A93" s="32"/>
      <c r="B93" s="32" t="s">
        <v>83</v>
      </c>
      <c r="C93" s="32" t="s">
        <v>470</v>
      </c>
      <c r="D93" s="32" t="str">
        <f t="shared" si="1"/>
        <v>Jordan</v>
      </c>
      <c r="E93" s="64">
        <f>INDEX('Hotel Emissions'!$G:$G,MATCH(D93,'Hotel Emissions'!$C:$C,0))</f>
        <v>67.201564504155741</v>
      </c>
      <c r="F93" s="64">
        <f>IF(INDEX('Hotel Emissions'!$O:$O,MATCH(D93,'Hotel Emissions'!$C:$C,0))="",INDEX('Hotel Emissions'!$T:$T,MATCH(D93,'Hotel Emissions'!$C:$C,0)),INDEX('Hotel Emissions'!$O:$O,MATCH(D93,'Hotel Emissions'!$C:$C,0)))</f>
        <v>16.910410780975194</v>
      </c>
      <c r="G93" s="64">
        <f>IF(INDEX('Hotel Emissions'!$X:$X,MATCH(D93,'Hotel Emissions'!$C:$C,0))="",INDEX('Hotel Emissions'!$AC:$AC,MATCH(D93,'Hotel Emissions'!$C:$C,0)),INDEX('Hotel Emissions'!$X:$X,MATCH(D93,'Hotel Emissions'!$C:$C,0)))</f>
        <v>61.422751294897168</v>
      </c>
      <c r="H93" s="64">
        <f>IF(INDEX('Hotel Emissions'!AG:$AG,MATCH(D93,'Hotel Emissions'!$C:$C,0))="",INDEX('Hotel Emissions'!$AL:$AL,MATCH(D93,'Hotel Emissions'!$C:$C,0)),INDEX('Hotel Emissions'!$AG:$AG,MATCH(D93,'Hotel Emissions'!$C:$C,0)))</f>
        <v>73.275355652405764</v>
      </c>
      <c r="L93" s="31" t="s">
        <v>107</v>
      </c>
      <c r="M93" s="31" t="s">
        <v>114</v>
      </c>
    </row>
    <row r="94" spans="1:13" x14ac:dyDescent="0.65">
      <c r="A94" s="32"/>
      <c r="B94" s="32" t="s">
        <v>84</v>
      </c>
      <c r="C94" s="32" t="s">
        <v>325</v>
      </c>
      <c r="D94" s="32" t="str">
        <f t="shared" si="1"/>
        <v>Italy</v>
      </c>
      <c r="E94" s="64">
        <f>INDEX('Hotel Emissions'!$G:$G,MATCH(D94,'Hotel Emissions'!$C:$C,0))</f>
        <v>27.98939788200596</v>
      </c>
      <c r="F94" s="64">
        <f>IF(INDEX('Hotel Emissions'!$O:$O,MATCH(D94,'Hotel Emissions'!$C:$C,0))="",INDEX('Hotel Emissions'!$T:$T,MATCH(D94,'Hotel Emissions'!$C:$C,0)),INDEX('Hotel Emissions'!$O:$O,MATCH(D94,'Hotel Emissions'!$C:$C,0)))</f>
        <v>12.873281233478671</v>
      </c>
      <c r="G94" s="64">
        <f>IF(INDEX('Hotel Emissions'!$X:$X,MATCH(D94,'Hotel Emissions'!$C:$C,0))="",INDEX('Hotel Emissions'!$AC:$AC,MATCH(D94,'Hotel Emissions'!$C:$C,0)),INDEX('Hotel Emissions'!$X:$X,MATCH(D94,'Hotel Emissions'!$C:$C,0)))</f>
        <v>20.311051113560406</v>
      </c>
      <c r="H94" s="64">
        <f>IF(INDEX('Hotel Emissions'!AG:$AG,MATCH(D94,'Hotel Emissions'!$C:$C,0))="",INDEX('Hotel Emissions'!$AL:$AL,MATCH(D94,'Hotel Emissions'!$C:$C,0)),INDEX('Hotel Emissions'!$AG:$AG,MATCH(D94,'Hotel Emissions'!$C:$C,0)))</f>
        <v>86.727744977654595</v>
      </c>
      <c r="L94" s="31" t="s">
        <v>108</v>
      </c>
      <c r="M94" s="31" t="s">
        <v>152</v>
      </c>
    </row>
    <row r="95" spans="1:13" x14ac:dyDescent="0.65">
      <c r="A95" s="32"/>
      <c r="B95" s="32" t="s">
        <v>84</v>
      </c>
      <c r="C95" s="32" t="s">
        <v>319</v>
      </c>
      <c r="D95" s="32" t="str">
        <f t="shared" si="1"/>
        <v>Italy</v>
      </c>
      <c r="E95" s="64">
        <f>INDEX('Hotel Emissions'!$G:$G,MATCH(D95,'Hotel Emissions'!$C:$C,0))</f>
        <v>27.98939788200596</v>
      </c>
      <c r="F95" s="64">
        <f>IF(INDEX('Hotel Emissions'!$O:$O,MATCH(D95,'Hotel Emissions'!$C:$C,0))="",INDEX('Hotel Emissions'!$T:$T,MATCH(D95,'Hotel Emissions'!$C:$C,0)),INDEX('Hotel Emissions'!$O:$O,MATCH(D95,'Hotel Emissions'!$C:$C,0)))</f>
        <v>12.873281233478671</v>
      </c>
      <c r="G95" s="64">
        <f>IF(INDEX('Hotel Emissions'!$X:$X,MATCH(D95,'Hotel Emissions'!$C:$C,0))="",INDEX('Hotel Emissions'!$AC:$AC,MATCH(D95,'Hotel Emissions'!$C:$C,0)),INDEX('Hotel Emissions'!$X:$X,MATCH(D95,'Hotel Emissions'!$C:$C,0)))</f>
        <v>20.311051113560406</v>
      </c>
      <c r="H95" s="64">
        <f>IF(INDEX('Hotel Emissions'!AG:$AG,MATCH(D95,'Hotel Emissions'!$C:$C,0))="",INDEX('Hotel Emissions'!$AL:$AL,MATCH(D95,'Hotel Emissions'!$C:$C,0)),INDEX('Hotel Emissions'!$AG:$AG,MATCH(D95,'Hotel Emissions'!$C:$C,0)))</f>
        <v>86.727744977654595</v>
      </c>
      <c r="L95" s="31" t="s">
        <v>110</v>
      </c>
      <c r="M95" s="31" t="s">
        <v>136</v>
      </c>
    </row>
    <row r="96" spans="1:13" x14ac:dyDescent="0.65">
      <c r="A96" s="32"/>
      <c r="B96" s="32" t="s">
        <v>85</v>
      </c>
      <c r="C96" s="32" t="s">
        <v>311</v>
      </c>
      <c r="D96" s="32" t="str">
        <f t="shared" si="1"/>
        <v>Dominican Republic</v>
      </c>
      <c r="E96" s="64">
        <f>INDEX('Hotel Emissions'!$G:$G,MATCH(D96,'Hotel Emissions'!$C:$C,0))</f>
        <v>49.703220941619364</v>
      </c>
      <c r="F96" s="64">
        <f>IF(INDEX('Hotel Emissions'!$O:$O,MATCH(D96,'Hotel Emissions'!$C:$C,0))="",INDEX('Hotel Emissions'!$T:$T,MATCH(D96,'Hotel Emissions'!$C:$C,0)),INDEX('Hotel Emissions'!$O:$O,MATCH(D96,'Hotel Emissions'!$C:$C,0)))</f>
        <v>16.910410780975194</v>
      </c>
      <c r="G96" s="64">
        <f>IF(INDEX('Hotel Emissions'!$X:$X,MATCH(D96,'Hotel Emissions'!$C:$C,0))="",INDEX('Hotel Emissions'!$AC:$AC,MATCH(D96,'Hotel Emissions'!$C:$C,0)),INDEX('Hotel Emissions'!$X:$X,MATCH(D96,'Hotel Emissions'!$C:$C,0)))</f>
        <v>41.238180878421765</v>
      </c>
      <c r="H96" s="64">
        <f>IF(INDEX('Hotel Emissions'!AG:$AG,MATCH(D96,'Hotel Emissions'!$C:$C,0))="",INDEX('Hotel Emissions'!$AL:$AL,MATCH(D96,'Hotel Emissions'!$C:$C,0)),INDEX('Hotel Emissions'!$AG:$AG,MATCH(D96,'Hotel Emissions'!$C:$C,0)))</f>
        <v>94.792983435676007</v>
      </c>
      <c r="L96" s="31" t="s">
        <v>111</v>
      </c>
      <c r="M96" s="31" t="s">
        <v>61</v>
      </c>
    </row>
    <row r="97" spans="1:13" x14ac:dyDescent="0.65">
      <c r="A97" s="32"/>
      <c r="B97" s="32" t="s">
        <v>86</v>
      </c>
      <c r="C97" s="32" t="s">
        <v>333</v>
      </c>
      <c r="D97" s="32" t="str">
        <f t="shared" si="1"/>
        <v>Japan</v>
      </c>
      <c r="E97" s="64">
        <f>INDEX('Hotel Emissions'!$G:$G,MATCH(D97,'Hotel Emissions'!$C:$C,0))</f>
        <v>67.032523894509751</v>
      </c>
      <c r="F97" s="64">
        <f>IF(INDEX('Hotel Emissions'!$O:$O,MATCH(D97,'Hotel Emissions'!$C:$C,0))="",INDEX('Hotel Emissions'!$T:$T,MATCH(D97,'Hotel Emissions'!$C:$C,0)),INDEX('Hotel Emissions'!$O:$O,MATCH(D97,'Hotel Emissions'!$C:$C,0)))</f>
        <v>30.835886698233171</v>
      </c>
      <c r="G97" s="64">
        <f>IF(INDEX('Hotel Emissions'!$X:$X,MATCH(D97,'Hotel Emissions'!$C:$C,0))="",INDEX('Hotel Emissions'!$AC:$AC,MATCH(D97,'Hotel Emissions'!$C:$C,0)),INDEX('Hotel Emissions'!$X:$X,MATCH(D97,'Hotel Emissions'!$C:$C,0)))</f>
        <v>51.549653196341644</v>
      </c>
      <c r="H97" s="64">
        <f>IF(INDEX('Hotel Emissions'!AG:$AG,MATCH(D97,'Hotel Emissions'!$C:$C,0))="",INDEX('Hotel Emissions'!$AL:$AL,MATCH(D97,'Hotel Emissions'!$C:$C,0)),INDEX('Hotel Emissions'!$AG:$AG,MATCH(D97,'Hotel Emissions'!$C:$C,0)))</f>
        <v>145.02524220820257</v>
      </c>
      <c r="L97" s="31" t="s">
        <v>112</v>
      </c>
      <c r="M97" s="31" t="s">
        <v>38</v>
      </c>
    </row>
    <row r="98" spans="1:13" x14ac:dyDescent="0.65">
      <c r="A98" s="32"/>
      <c r="B98" s="32" t="s">
        <v>87</v>
      </c>
      <c r="C98" s="32" t="s">
        <v>293</v>
      </c>
      <c r="D98" s="32" t="str">
        <f t="shared" si="1"/>
        <v>Jordan</v>
      </c>
      <c r="E98" s="64">
        <f>INDEX('Hotel Emissions'!$G:$G,MATCH(D98,'Hotel Emissions'!$C:$C,0))</f>
        <v>67.201564504155741</v>
      </c>
      <c r="F98" s="64">
        <f>IF(INDEX('Hotel Emissions'!$O:$O,MATCH(D98,'Hotel Emissions'!$C:$C,0))="",INDEX('Hotel Emissions'!$T:$T,MATCH(D98,'Hotel Emissions'!$C:$C,0)),INDEX('Hotel Emissions'!$O:$O,MATCH(D98,'Hotel Emissions'!$C:$C,0)))</f>
        <v>16.910410780975194</v>
      </c>
      <c r="G98" s="64">
        <f>IF(INDEX('Hotel Emissions'!$X:$X,MATCH(D98,'Hotel Emissions'!$C:$C,0))="",INDEX('Hotel Emissions'!$AC:$AC,MATCH(D98,'Hotel Emissions'!$C:$C,0)),INDEX('Hotel Emissions'!$X:$X,MATCH(D98,'Hotel Emissions'!$C:$C,0)))</f>
        <v>61.422751294897168</v>
      </c>
      <c r="H98" s="64">
        <f>IF(INDEX('Hotel Emissions'!AG:$AG,MATCH(D98,'Hotel Emissions'!$C:$C,0))="",INDEX('Hotel Emissions'!$AL:$AL,MATCH(D98,'Hotel Emissions'!$C:$C,0)),INDEX('Hotel Emissions'!$AG:$AG,MATCH(D98,'Hotel Emissions'!$C:$C,0)))</f>
        <v>73.275355652405764</v>
      </c>
      <c r="L98" s="31" t="s">
        <v>113</v>
      </c>
      <c r="M98" s="31" t="s">
        <v>136</v>
      </c>
    </row>
    <row r="99" spans="1:13" x14ac:dyDescent="0.65">
      <c r="A99" s="32"/>
      <c r="B99" s="32" t="s">
        <v>88</v>
      </c>
      <c r="C99" s="32" t="s">
        <v>537</v>
      </c>
      <c r="D99" s="32" t="str">
        <f t="shared" si="1"/>
        <v>Kazakhstan</v>
      </c>
      <c r="E99" s="64">
        <f>INDEX('Hotel Emissions'!$G:$G,MATCH(D99,'Hotel Emissions'!$C:$C,0))</f>
        <v>75.344261830219864</v>
      </c>
      <c r="F99" s="64">
        <f>IF(INDEX('Hotel Emissions'!$O:$O,MATCH(D99,'Hotel Emissions'!$C:$C,0))="",INDEX('Hotel Emissions'!$T:$T,MATCH(D99,'Hotel Emissions'!$C:$C,0)),INDEX('Hotel Emissions'!$O:$O,MATCH(D99,'Hotel Emissions'!$C:$C,0)))</f>
        <v>16.910410780975194</v>
      </c>
      <c r="G99" s="64">
        <f>IF(INDEX('Hotel Emissions'!$X:$X,MATCH(D99,'Hotel Emissions'!$C:$C,0))="",INDEX('Hotel Emissions'!$AC:$AC,MATCH(D99,'Hotel Emissions'!$C:$C,0)),INDEX('Hotel Emissions'!$X:$X,MATCH(D99,'Hotel Emissions'!$C:$C,0)))</f>
        <v>41.238180878421765</v>
      </c>
      <c r="H99" s="64">
        <f>IF(INDEX('Hotel Emissions'!AG:$AG,MATCH(D99,'Hotel Emissions'!$C:$C,0))="",INDEX('Hotel Emissions'!$AL:$AL,MATCH(D99,'Hotel Emissions'!$C:$C,0)),INDEX('Hotel Emissions'!$AG:$AG,MATCH(D99,'Hotel Emissions'!$C:$C,0)))</f>
        <v>94.792983435676007</v>
      </c>
      <c r="L99" s="31" t="s">
        <v>115</v>
      </c>
      <c r="M99" s="31" t="s">
        <v>152</v>
      </c>
    </row>
    <row r="100" spans="1:13" x14ac:dyDescent="0.65">
      <c r="A100" s="32"/>
      <c r="B100" s="32" t="s">
        <v>89</v>
      </c>
      <c r="C100" s="32" t="s">
        <v>471</v>
      </c>
      <c r="D100" s="32" t="str">
        <f t="shared" si="1"/>
        <v>South Africa</v>
      </c>
      <c r="E100" s="64">
        <f>INDEX('Hotel Emissions'!$G:$G,MATCH(D100,'Hotel Emissions'!$C:$C,0))</f>
        <v>103.55037750960224</v>
      </c>
      <c r="F100" s="64">
        <f>IF(INDEX('Hotel Emissions'!$O:$O,MATCH(D100,'Hotel Emissions'!$C:$C,0))="",INDEX('Hotel Emissions'!$T:$T,MATCH(D100,'Hotel Emissions'!$C:$C,0)),INDEX('Hotel Emissions'!$O:$O,MATCH(D100,'Hotel Emissions'!$C:$C,0)))</f>
        <v>16.910410780975194</v>
      </c>
      <c r="G100" s="64">
        <f>IF(INDEX('Hotel Emissions'!$X:$X,MATCH(D100,'Hotel Emissions'!$C:$C,0))="",INDEX('Hotel Emissions'!$AC:$AC,MATCH(D100,'Hotel Emissions'!$C:$C,0)),INDEX('Hotel Emissions'!$X:$X,MATCH(D100,'Hotel Emissions'!$C:$C,0)))</f>
        <v>66.543957384996915</v>
      </c>
      <c r="H100" s="64">
        <f>IF(INDEX('Hotel Emissions'!AG:$AG,MATCH(D100,'Hotel Emissions'!$C:$C,0))="",INDEX('Hotel Emissions'!$AL:$AL,MATCH(D100,'Hotel Emissions'!$C:$C,0)),INDEX('Hotel Emissions'!$AG:$AG,MATCH(D100,'Hotel Emissions'!$C:$C,0)))</f>
        <v>94.792983435676007</v>
      </c>
      <c r="L100" s="31" t="s">
        <v>116</v>
      </c>
      <c r="M100" s="31" t="s">
        <v>165</v>
      </c>
    </row>
    <row r="101" spans="1:13" x14ac:dyDescent="0.65">
      <c r="A101" s="32"/>
      <c r="B101" s="32" t="s">
        <v>90</v>
      </c>
      <c r="C101" s="32" t="s">
        <v>90</v>
      </c>
      <c r="D101" s="32" t="str">
        <f t="shared" si="1"/>
        <v>Saudi Arabia</v>
      </c>
      <c r="E101" s="64">
        <f>INDEX('Hotel Emissions'!$G:$G,MATCH(D101,'Hotel Emissions'!$C:$C,0))</f>
        <v>115.93364863820152</v>
      </c>
      <c r="F101" s="64">
        <f>IF(INDEX('Hotel Emissions'!$O:$O,MATCH(D101,'Hotel Emissions'!$C:$C,0))="",INDEX('Hotel Emissions'!$T:$T,MATCH(D101,'Hotel Emissions'!$C:$C,0)),INDEX('Hotel Emissions'!$O:$O,MATCH(D101,'Hotel Emissions'!$C:$C,0)))</f>
        <v>47.451413821239164</v>
      </c>
      <c r="G101" s="64">
        <f>IF(INDEX('Hotel Emissions'!$X:$X,MATCH(D101,'Hotel Emissions'!$C:$C,0))="",INDEX('Hotel Emissions'!$AC:$AC,MATCH(D101,'Hotel Emissions'!$C:$C,0)),INDEX('Hotel Emissions'!$X:$X,MATCH(D101,'Hotel Emissions'!$C:$C,0)))</f>
        <v>122.4268714852297</v>
      </c>
      <c r="H101" s="64">
        <f>IF(INDEX('Hotel Emissions'!AG:$AG,MATCH(D101,'Hotel Emissions'!$C:$C,0))="",INDEX('Hotel Emissions'!$AL:$AL,MATCH(D101,'Hotel Emissions'!$C:$C,0)),INDEX('Hotel Emissions'!$AG:$AG,MATCH(D101,'Hotel Emissions'!$C:$C,0)))</f>
        <v>147.7026973077889</v>
      </c>
      <c r="L101" s="31" t="s">
        <v>117</v>
      </c>
      <c r="M101" s="31" t="s">
        <v>152</v>
      </c>
    </row>
    <row r="102" spans="1:13" x14ac:dyDescent="0.65">
      <c r="A102" s="32"/>
      <c r="B102" s="32" t="s">
        <v>91</v>
      </c>
      <c r="C102" s="32" t="s">
        <v>472</v>
      </c>
      <c r="D102" s="32" t="str">
        <f t="shared" si="1"/>
        <v>Kazakhstan</v>
      </c>
      <c r="E102" s="64">
        <f>INDEX('Hotel Emissions'!$G:$G,MATCH(D102,'Hotel Emissions'!$C:$C,0))</f>
        <v>75.344261830219864</v>
      </c>
      <c r="F102" s="64">
        <f>IF(INDEX('Hotel Emissions'!$O:$O,MATCH(D102,'Hotel Emissions'!$C:$C,0))="",INDEX('Hotel Emissions'!$T:$T,MATCH(D102,'Hotel Emissions'!$C:$C,0)),INDEX('Hotel Emissions'!$O:$O,MATCH(D102,'Hotel Emissions'!$C:$C,0)))</f>
        <v>16.910410780975194</v>
      </c>
      <c r="G102" s="64">
        <f>IF(INDEX('Hotel Emissions'!$X:$X,MATCH(D102,'Hotel Emissions'!$C:$C,0))="",INDEX('Hotel Emissions'!$AC:$AC,MATCH(D102,'Hotel Emissions'!$C:$C,0)),INDEX('Hotel Emissions'!$X:$X,MATCH(D102,'Hotel Emissions'!$C:$C,0)))</f>
        <v>41.238180878421765</v>
      </c>
      <c r="H102" s="64">
        <f>IF(INDEX('Hotel Emissions'!AG:$AG,MATCH(D102,'Hotel Emissions'!$C:$C,0))="",INDEX('Hotel Emissions'!$AL:$AL,MATCH(D102,'Hotel Emissions'!$C:$C,0)),INDEX('Hotel Emissions'!$AG:$AG,MATCH(D102,'Hotel Emissions'!$C:$C,0)))</f>
        <v>94.792983435676007</v>
      </c>
      <c r="L102" s="31" t="s">
        <v>118</v>
      </c>
      <c r="M102" s="31" t="s">
        <v>78</v>
      </c>
    </row>
    <row r="103" spans="1:13" x14ac:dyDescent="0.65">
      <c r="A103" s="32"/>
      <c r="B103" s="32" t="s">
        <v>92</v>
      </c>
      <c r="C103" s="32" t="s">
        <v>473</v>
      </c>
      <c r="D103" s="32" t="str">
        <f t="shared" si="1"/>
        <v>Thailand</v>
      </c>
      <c r="E103" s="64">
        <f>INDEX('Hotel Emissions'!$G:$G,MATCH(D103,'Hotel Emissions'!$C:$C,0))</f>
        <v>104.67175654633746</v>
      </c>
      <c r="F103" s="64">
        <f>IF(INDEX('Hotel Emissions'!$O:$O,MATCH(D103,'Hotel Emissions'!$C:$C,0))="",INDEX('Hotel Emissions'!$T:$T,MATCH(D103,'Hotel Emissions'!$C:$C,0)),INDEX('Hotel Emissions'!$O:$O,MATCH(D103,'Hotel Emissions'!$C:$C,0)))</f>
        <v>43.770449087281946</v>
      </c>
      <c r="G103" s="64">
        <f>IF(INDEX('Hotel Emissions'!$X:$X,MATCH(D103,'Hotel Emissions'!$C:$C,0))="",INDEX('Hotel Emissions'!$AC:$AC,MATCH(D103,'Hotel Emissions'!$C:$C,0)),INDEX('Hotel Emissions'!$X:$X,MATCH(D103,'Hotel Emissions'!$C:$C,0)))</f>
        <v>88.402614542542324</v>
      </c>
      <c r="H103" s="64">
        <f>IF(INDEX('Hotel Emissions'!AG:$AG,MATCH(D103,'Hotel Emissions'!$C:$C,0))="",INDEX('Hotel Emissions'!$AL:$AL,MATCH(D103,'Hotel Emissions'!$C:$C,0)),INDEX('Hotel Emissions'!$AG:$AG,MATCH(D103,'Hotel Emissions'!$C:$C,0)))</f>
        <v>156.99818737165143</v>
      </c>
      <c r="L103" s="31" t="s">
        <v>121</v>
      </c>
      <c r="M103" s="31" t="s">
        <v>42</v>
      </c>
    </row>
    <row r="104" spans="1:13" x14ac:dyDescent="0.65">
      <c r="A104" s="32"/>
      <c r="B104" s="32" t="s">
        <v>93</v>
      </c>
      <c r="C104" s="32" t="s">
        <v>474</v>
      </c>
      <c r="D104" s="32" t="str">
        <f t="shared" si="1"/>
        <v>Germany</v>
      </c>
      <c r="E104" s="64">
        <f>INDEX('Hotel Emissions'!$G:$G,MATCH(D104,'Hotel Emissions'!$C:$C,0))</f>
        <v>17.719702319351065</v>
      </c>
      <c r="F104" s="64">
        <f>IF(INDEX('Hotel Emissions'!$O:$O,MATCH(D104,'Hotel Emissions'!$C:$C,0))="",INDEX('Hotel Emissions'!$T:$T,MATCH(D104,'Hotel Emissions'!$C:$C,0)),INDEX('Hotel Emissions'!$O:$O,MATCH(D104,'Hotel Emissions'!$C:$C,0)))</f>
        <v>12.883417456204036</v>
      </c>
      <c r="G104" s="64">
        <f>IF(INDEX('Hotel Emissions'!$X:$X,MATCH(D104,'Hotel Emissions'!$C:$C,0))="",INDEX('Hotel Emissions'!$AC:$AC,MATCH(D104,'Hotel Emissions'!$C:$C,0)),INDEX('Hotel Emissions'!$X:$X,MATCH(D104,'Hotel Emissions'!$C:$C,0)))</f>
        <v>23.02905018770592</v>
      </c>
      <c r="H104" s="64">
        <f>IF(INDEX('Hotel Emissions'!AG:$AG,MATCH(D104,'Hotel Emissions'!$C:$C,0))="",INDEX('Hotel Emissions'!$AL:$AL,MATCH(D104,'Hotel Emissions'!$C:$C,0)),INDEX('Hotel Emissions'!$AG:$AG,MATCH(D104,'Hotel Emissions'!$C:$C,0)))</f>
        <v>46.341049687331989</v>
      </c>
      <c r="L104" s="31" t="s">
        <v>122</v>
      </c>
      <c r="M104" s="31" t="s">
        <v>114</v>
      </c>
    </row>
    <row r="105" spans="1:13" x14ac:dyDescent="0.65">
      <c r="A105" s="32"/>
      <c r="B105" s="32" t="s">
        <v>94</v>
      </c>
      <c r="C105" s="32" t="s">
        <v>475</v>
      </c>
      <c r="D105" s="32" t="str">
        <f t="shared" si="1"/>
        <v>Jordan</v>
      </c>
      <c r="E105" s="64">
        <f>INDEX('Hotel Emissions'!$G:$G,MATCH(D105,'Hotel Emissions'!$C:$C,0))</f>
        <v>67.201564504155741</v>
      </c>
      <c r="F105" s="64">
        <f>IF(INDEX('Hotel Emissions'!$O:$O,MATCH(D105,'Hotel Emissions'!$C:$C,0))="",INDEX('Hotel Emissions'!$T:$T,MATCH(D105,'Hotel Emissions'!$C:$C,0)),INDEX('Hotel Emissions'!$O:$O,MATCH(D105,'Hotel Emissions'!$C:$C,0)))</f>
        <v>16.910410780975194</v>
      </c>
      <c r="G105" s="64">
        <f>IF(INDEX('Hotel Emissions'!$X:$X,MATCH(D105,'Hotel Emissions'!$C:$C,0))="",INDEX('Hotel Emissions'!$AC:$AC,MATCH(D105,'Hotel Emissions'!$C:$C,0)),INDEX('Hotel Emissions'!$X:$X,MATCH(D105,'Hotel Emissions'!$C:$C,0)))</f>
        <v>61.422751294897168</v>
      </c>
      <c r="H105" s="64">
        <f>IF(INDEX('Hotel Emissions'!AG:$AG,MATCH(D105,'Hotel Emissions'!$C:$C,0))="",INDEX('Hotel Emissions'!$AL:$AL,MATCH(D105,'Hotel Emissions'!$C:$C,0)),INDEX('Hotel Emissions'!$AG:$AG,MATCH(D105,'Hotel Emissions'!$C:$C,0)))</f>
        <v>73.275355652405764</v>
      </c>
      <c r="L105" s="31" t="s">
        <v>123</v>
      </c>
      <c r="M105" s="31" t="s">
        <v>114</v>
      </c>
    </row>
    <row r="106" spans="1:13" x14ac:dyDescent="0.65">
      <c r="A106" s="32"/>
      <c r="B106" s="32" t="s">
        <v>95</v>
      </c>
      <c r="C106" s="32" t="s">
        <v>476</v>
      </c>
      <c r="D106" s="32" t="str">
        <f t="shared" si="1"/>
        <v>South Africa</v>
      </c>
      <c r="E106" s="64">
        <f>INDEX('Hotel Emissions'!$G:$G,MATCH(D106,'Hotel Emissions'!$C:$C,0))</f>
        <v>103.55037750960224</v>
      </c>
      <c r="F106" s="64">
        <f>IF(INDEX('Hotel Emissions'!$O:$O,MATCH(D106,'Hotel Emissions'!$C:$C,0))="",INDEX('Hotel Emissions'!$T:$T,MATCH(D106,'Hotel Emissions'!$C:$C,0)),INDEX('Hotel Emissions'!$O:$O,MATCH(D106,'Hotel Emissions'!$C:$C,0)))</f>
        <v>16.910410780975194</v>
      </c>
      <c r="G106" s="64">
        <f>IF(INDEX('Hotel Emissions'!$X:$X,MATCH(D106,'Hotel Emissions'!$C:$C,0))="",INDEX('Hotel Emissions'!$AC:$AC,MATCH(D106,'Hotel Emissions'!$C:$C,0)),INDEX('Hotel Emissions'!$X:$X,MATCH(D106,'Hotel Emissions'!$C:$C,0)))</f>
        <v>66.543957384996915</v>
      </c>
      <c r="H106" s="64">
        <f>IF(INDEX('Hotel Emissions'!AG:$AG,MATCH(D106,'Hotel Emissions'!$C:$C,0))="",INDEX('Hotel Emissions'!$AL:$AL,MATCH(D106,'Hotel Emissions'!$C:$C,0)),INDEX('Hotel Emissions'!$AG:$AG,MATCH(D106,'Hotel Emissions'!$C:$C,0)))</f>
        <v>94.792983435676007</v>
      </c>
      <c r="L106" s="31" t="s">
        <v>124</v>
      </c>
      <c r="M106" s="31" t="s">
        <v>266</v>
      </c>
    </row>
    <row r="107" spans="1:13" x14ac:dyDescent="0.65">
      <c r="A107" s="32"/>
      <c r="B107" s="32" t="s">
        <v>96</v>
      </c>
      <c r="C107" s="32" t="s">
        <v>477</v>
      </c>
      <c r="D107" s="32" t="str">
        <f t="shared" si="1"/>
        <v>Morocco</v>
      </c>
      <c r="E107" s="64">
        <f>INDEX('Hotel Emissions'!$G:$G,MATCH(D107,'Hotel Emissions'!$C:$C,0))</f>
        <v>64.786712103740001</v>
      </c>
      <c r="F107" s="64">
        <f>IF(INDEX('Hotel Emissions'!$O:$O,MATCH(D107,'Hotel Emissions'!$C:$C,0))="",INDEX('Hotel Emissions'!$T:$T,MATCH(D107,'Hotel Emissions'!$C:$C,0)),INDEX('Hotel Emissions'!$O:$O,MATCH(D107,'Hotel Emissions'!$C:$C,0)))</f>
        <v>22.421330805272362</v>
      </c>
      <c r="G107" s="64">
        <f>IF(INDEX('Hotel Emissions'!$X:$X,MATCH(D107,'Hotel Emissions'!$C:$C,0))="",INDEX('Hotel Emissions'!$AC:$AC,MATCH(D107,'Hotel Emissions'!$C:$C,0)),INDEX('Hotel Emissions'!$X:$X,MATCH(D107,'Hotel Emissions'!$C:$C,0)))</f>
        <v>81.787795373044702</v>
      </c>
      <c r="H107" s="64">
        <f>IF(INDEX('Hotel Emissions'!AG:$AG,MATCH(D107,'Hotel Emissions'!$C:$C,0))="",INDEX('Hotel Emissions'!$AL:$AL,MATCH(D107,'Hotel Emissions'!$C:$C,0)),INDEX('Hotel Emissions'!$AG:$AG,MATCH(D107,'Hotel Emissions'!$C:$C,0)))</f>
        <v>105.55113658157052</v>
      </c>
      <c r="L107" s="31" t="s">
        <v>125</v>
      </c>
      <c r="M107" s="31" t="s">
        <v>136</v>
      </c>
    </row>
    <row r="108" spans="1:13" x14ac:dyDescent="0.65">
      <c r="A108" s="32"/>
      <c r="B108" s="32" t="s">
        <v>97</v>
      </c>
      <c r="C108" s="32" t="s">
        <v>478</v>
      </c>
      <c r="D108" s="32" t="str">
        <f t="shared" si="1"/>
        <v>Tunisia</v>
      </c>
      <c r="E108" s="64">
        <f>INDEX('Hotel Emissions'!$G:$G,MATCH(D108,'Hotel Emissions'!$C:$C,0))</f>
        <v>67.710246080020212</v>
      </c>
      <c r="F108" s="64">
        <f>IF(INDEX('Hotel Emissions'!$O:$O,MATCH(D108,'Hotel Emissions'!$C:$C,0))="",INDEX('Hotel Emissions'!$T:$T,MATCH(D108,'Hotel Emissions'!$C:$C,0)),INDEX('Hotel Emissions'!$O:$O,MATCH(D108,'Hotel Emissions'!$C:$C,0)))</f>
        <v>16.910410780975194</v>
      </c>
      <c r="G108" s="64">
        <f>IF(INDEX('Hotel Emissions'!$X:$X,MATCH(D108,'Hotel Emissions'!$C:$C,0))="",INDEX('Hotel Emissions'!$AC:$AC,MATCH(D108,'Hotel Emissions'!$C:$C,0)),INDEX('Hotel Emissions'!$X:$X,MATCH(D108,'Hotel Emissions'!$C:$C,0)))</f>
        <v>41.238180878421765</v>
      </c>
      <c r="H108" s="64">
        <f>IF(INDEX('Hotel Emissions'!AG:$AG,MATCH(D108,'Hotel Emissions'!$C:$C,0))="",INDEX('Hotel Emissions'!$AL:$AL,MATCH(D108,'Hotel Emissions'!$C:$C,0)),INDEX('Hotel Emissions'!$AG:$AG,MATCH(D108,'Hotel Emissions'!$C:$C,0)))</f>
        <v>94.792983435676007</v>
      </c>
      <c r="L108" s="31" t="s">
        <v>126</v>
      </c>
      <c r="M108" s="31" t="s">
        <v>65</v>
      </c>
    </row>
    <row r="109" spans="1:13" x14ac:dyDescent="0.65">
      <c r="A109" s="32"/>
      <c r="B109" s="32" t="s">
        <v>98</v>
      </c>
      <c r="C109" s="32" t="s">
        <v>479</v>
      </c>
      <c r="D109" s="32" t="str">
        <f t="shared" si="1"/>
        <v>Switzerland</v>
      </c>
      <c r="E109" s="64">
        <f>INDEX('Hotel Emissions'!$G:$G,MATCH(D109,'Hotel Emissions'!$C:$C,0))</f>
        <v>6.4944922861504804</v>
      </c>
      <c r="F109" s="64">
        <f>IF(INDEX('Hotel Emissions'!$O:$O,MATCH(D109,'Hotel Emissions'!$C:$C,0))="",INDEX('Hotel Emissions'!$T:$T,MATCH(D109,'Hotel Emissions'!$C:$C,0)),INDEX('Hotel Emissions'!$O:$O,MATCH(D109,'Hotel Emissions'!$C:$C,0)))</f>
        <v>3.9154587277794062</v>
      </c>
      <c r="G109" s="64">
        <f>IF(INDEX('Hotel Emissions'!$X:$X,MATCH(D109,'Hotel Emissions'!$C:$C,0))="",INDEX('Hotel Emissions'!$AC:$AC,MATCH(D109,'Hotel Emissions'!$C:$C,0)),INDEX('Hotel Emissions'!$X:$X,MATCH(D109,'Hotel Emissions'!$C:$C,0)))</f>
        <v>6.9640031228488679</v>
      </c>
      <c r="H109" s="64">
        <f>IF(INDEX('Hotel Emissions'!AG:$AG,MATCH(D109,'Hotel Emissions'!$C:$C,0))="",INDEX('Hotel Emissions'!$AL:$AL,MATCH(D109,'Hotel Emissions'!$C:$C,0)),INDEX('Hotel Emissions'!$AG:$AG,MATCH(D109,'Hotel Emissions'!$C:$C,0)))</f>
        <v>16.819133631902631</v>
      </c>
      <c r="L109" s="31" t="s">
        <v>128</v>
      </c>
      <c r="M109" s="31" t="s">
        <v>78</v>
      </c>
    </row>
    <row r="110" spans="1:13" x14ac:dyDescent="0.65">
      <c r="A110" s="32"/>
      <c r="B110" s="32" t="s">
        <v>99</v>
      </c>
      <c r="C110" s="32" t="s">
        <v>480</v>
      </c>
      <c r="D110" s="32" t="str">
        <f t="shared" si="1"/>
        <v>Poland</v>
      </c>
      <c r="E110" s="64">
        <f>INDEX('Hotel Emissions'!$G:$G,MATCH(D110,'Hotel Emissions'!$C:$C,0))</f>
        <v>37.616564741588029</v>
      </c>
      <c r="F110" s="64">
        <f>IF(INDEX('Hotel Emissions'!$O:$O,MATCH(D110,'Hotel Emissions'!$C:$C,0))="",INDEX('Hotel Emissions'!$T:$T,MATCH(D110,'Hotel Emissions'!$C:$C,0)),INDEX('Hotel Emissions'!$O:$O,MATCH(D110,'Hotel Emissions'!$C:$C,0)))</f>
        <v>26.102263630661465</v>
      </c>
      <c r="G110" s="64">
        <f>IF(INDEX('Hotel Emissions'!$X:$X,MATCH(D110,'Hotel Emissions'!$C:$C,0))="",INDEX('Hotel Emissions'!$AC:$AC,MATCH(D110,'Hotel Emissions'!$C:$C,0)),INDEX('Hotel Emissions'!$X:$X,MATCH(D110,'Hotel Emissions'!$C:$C,0)))</f>
        <v>38.117914630559298</v>
      </c>
      <c r="H110" s="64">
        <f>IF(INDEX('Hotel Emissions'!AG:$AG,MATCH(D110,'Hotel Emissions'!$C:$C,0))="",INDEX('Hotel Emissions'!$AL:$AL,MATCH(D110,'Hotel Emissions'!$C:$C,0)),INDEX('Hotel Emissions'!$AG:$AG,MATCH(D110,'Hotel Emissions'!$C:$C,0)))</f>
        <v>75.497386001437874</v>
      </c>
      <c r="L110" s="31" t="s">
        <v>574</v>
      </c>
      <c r="M110" s="31" t="s">
        <v>78</v>
      </c>
    </row>
    <row r="111" spans="1:13" x14ac:dyDescent="0.65">
      <c r="A111" s="32"/>
      <c r="B111" s="32" t="s">
        <v>100</v>
      </c>
      <c r="C111" s="32" t="s">
        <v>100</v>
      </c>
      <c r="D111" s="32" t="str">
        <f t="shared" si="1"/>
        <v>Belgium</v>
      </c>
      <c r="E111" s="64">
        <f>INDEX('Hotel Emissions'!$G:$G,MATCH(D111,'Hotel Emissions'!$C:$C,0))</f>
        <v>16.824282319589727</v>
      </c>
      <c r="F111" s="64">
        <f>IF(INDEX('Hotel Emissions'!$O:$O,MATCH(D111,'Hotel Emissions'!$C:$C,0))="",INDEX('Hotel Emissions'!$T:$T,MATCH(D111,'Hotel Emissions'!$C:$C,0)),INDEX('Hotel Emissions'!$O:$O,MATCH(D111,'Hotel Emissions'!$C:$C,0)))</f>
        <v>10.028240168358705</v>
      </c>
      <c r="G111" s="64">
        <f>IF(INDEX('Hotel Emissions'!$X:$X,MATCH(D111,'Hotel Emissions'!$C:$C,0))="",INDEX('Hotel Emissions'!$AC:$AC,MATCH(D111,'Hotel Emissions'!$C:$C,0)),INDEX('Hotel Emissions'!$X:$X,MATCH(D111,'Hotel Emissions'!$C:$C,0)))</f>
        <v>25.064402333141373</v>
      </c>
      <c r="H111" s="64">
        <f>IF(INDEX('Hotel Emissions'!AG:$AG,MATCH(D111,'Hotel Emissions'!$C:$C,0))="",INDEX('Hotel Emissions'!$AL:$AL,MATCH(D111,'Hotel Emissions'!$C:$C,0)),INDEX('Hotel Emissions'!$AG:$AG,MATCH(D111,'Hotel Emissions'!$C:$C,0)))</f>
        <v>94.792983435676007</v>
      </c>
      <c r="L111" s="31" t="s">
        <v>130</v>
      </c>
      <c r="M111" s="31" t="s">
        <v>9</v>
      </c>
    </row>
    <row r="112" spans="1:13" x14ac:dyDescent="0.65">
      <c r="A112" s="32"/>
      <c r="B112" s="32" t="s">
        <v>38</v>
      </c>
      <c r="C112" s="32" t="s">
        <v>315</v>
      </c>
      <c r="D112" s="32" t="str">
        <f t="shared" si="1"/>
        <v>China</v>
      </c>
      <c r="E112" s="64">
        <f>INDEX('Hotel Emissions'!$G:$G,MATCH(D112,'Hotel Emissions'!$C:$C,0))</f>
        <v>63.917131895306049</v>
      </c>
      <c r="F112" s="64">
        <f>IF(INDEX('Hotel Emissions'!$O:$O,MATCH(D112,'Hotel Emissions'!$C:$C,0))="",INDEX('Hotel Emissions'!$T:$T,MATCH(D112,'Hotel Emissions'!$C:$C,0)),INDEX('Hotel Emissions'!$O:$O,MATCH(D112,'Hotel Emissions'!$C:$C,0)))</f>
        <v>46.509414509985085</v>
      </c>
      <c r="G112" s="64">
        <f>IF(INDEX('Hotel Emissions'!$X:$X,MATCH(D112,'Hotel Emissions'!$C:$C,0))="",INDEX('Hotel Emissions'!$AC:$AC,MATCH(D112,'Hotel Emissions'!$C:$C,0)),INDEX('Hotel Emissions'!$X:$X,MATCH(D112,'Hotel Emissions'!$C:$C,0)))</f>
        <v>68.926915948163128</v>
      </c>
      <c r="H112" s="64">
        <f>IF(INDEX('Hotel Emissions'!AG:$AG,MATCH(D112,'Hotel Emissions'!$C:$C,0))="",INDEX('Hotel Emissions'!$AL:$AL,MATCH(D112,'Hotel Emissions'!$C:$C,0)),INDEX('Hotel Emissions'!$AG:$AG,MATCH(D112,'Hotel Emissions'!$C:$C,0)))</f>
        <v>92.091654166824938</v>
      </c>
      <c r="L112" s="31" t="s">
        <v>137</v>
      </c>
      <c r="M112" s="31" t="s">
        <v>267</v>
      </c>
    </row>
    <row r="113" spans="1:13" x14ac:dyDescent="0.65">
      <c r="A113" s="32"/>
      <c r="B113" s="32" t="s">
        <v>101</v>
      </c>
      <c r="C113" s="32" t="s">
        <v>481</v>
      </c>
      <c r="D113" s="32" t="str">
        <f t="shared" si="1"/>
        <v>South Africa</v>
      </c>
      <c r="E113" s="64">
        <f>INDEX('Hotel Emissions'!$G:$G,MATCH(D113,'Hotel Emissions'!$C:$C,0))</f>
        <v>103.55037750960224</v>
      </c>
      <c r="F113" s="64">
        <f>IF(INDEX('Hotel Emissions'!$O:$O,MATCH(D113,'Hotel Emissions'!$C:$C,0))="",INDEX('Hotel Emissions'!$T:$T,MATCH(D113,'Hotel Emissions'!$C:$C,0)),INDEX('Hotel Emissions'!$O:$O,MATCH(D113,'Hotel Emissions'!$C:$C,0)))</f>
        <v>16.910410780975194</v>
      </c>
      <c r="G113" s="64">
        <f>IF(INDEX('Hotel Emissions'!$X:$X,MATCH(D113,'Hotel Emissions'!$C:$C,0))="",INDEX('Hotel Emissions'!$AC:$AC,MATCH(D113,'Hotel Emissions'!$C:$C,0)),INDEX('Hotel Emissions'!$X:$X,MATCH(D113,'Hotel Emissions'!$C:$C,0)))</f>
        <v>66.543957384996915</v>
      </c>
      <c r="H113" s="64">
        <f>IF(INDEX('Hotel Emissions'!AG:$AG,MATCH(D113,'Hotel Emissions'!$C:$C,0))="",INDEX('Hotel Emissions'!$AL:$AL,MATCH(D113,'Hotel Emissions'!$C:$C,0)),INDEX('Hotel Emissions'!$AG:$AG,MATCH(D113,'Hotel Emissions'!$C:$C,0)))</f>
        <v>94.792983435676007</v>
      </c>
      <c r="L113" s="31" t="s">
        <v>138</v>
      </c>
      <c r="M113" s="31" t="s">
        <v>152</v>
      </c>
    </row>
    <row r="114" spans="1:13" x14ac:dyDescent="0.65">
      <c r="A114" s="32"/>
      <c r="B114" s="32" t="s">
        <v>102</v>
      </c>
      <c r="C114" s="32" t="s">
        <v>482</v>
      </c>
      <c r="D114" s="32" t="str">
        <f t="shared" si="1"/>
        <v>South Africa</v>
      </c>
      <c r="E114" s="64">
        <f>INDEX('Hotel Emissions'!$G:$G,MATCH(D114,'Hotel Emissions'!$C:$C,0))</f>
        <v>103.55037750960224</v>
      </c>
      <c r="F114" s="64">
        <f>IF(INDEX('Hotel Emissions'!$O:$O,MATCH(D114,'Hotel Emissions'!$C:$C,0))="",INDEX('Hotel Emissions'!$T:$T,MATCH(D114,'Hotel Emissions'!$C:$C,0)),INDEX('Hotel Emissions'!$O:$O,MATCH(D114,'Hotel Emissions'!$C:$C,0)))</f>
        <v>16.910410780975194</v>
      </c>
      <c r="G114" s="64">
        <f>IF(INDEX('Hotel Emissions'!$X:$X,MATCH(D114,'Hotel Emissions'!$C:$C,0))="",INDEX('Hotel Emissions'!$AC:$AC,MATCH(D114,'Hotel Emissions'!$C:$C,0)),INDEX('Hotel Emissions'!$X:$X,MATCH(D114,'Hotel Emissions'!$C:$C,0)))</f>
        <v>66.543957384996915</v>
      </c>
      <c r="H114" s="64">
        <f>IF(INDEX('Hotel Emissions'!AG:$AG,MATCH(D114,'Hotel Emissions'!$C:$C,0))="",INDEX('Hotel Emissions'!$AL:$AL,MATCH(D114,'Hotel Emissions'!$C:$C,0)),INDEX('Hotel Emissions'!$AG:$AG,MATCH(D114,'Hotel Emissions'!$C:$C,0)))</f>
        <v>94.792983435676007</v>
      </c>
      <c r="L114" s="31" t="s">
        <v>139</v>
      </c>
      <c r="M114" s="31" t="s">
        <v>50</v>
      </c>
    </row>
    <row r="115" spans="1:13" x14ac:dyDescent="0.65">
      <c r="A115" s="32"/>
      <c r="B115" s="32" t="s">
        <v>103</v>
      </c>
      <c r="C115" s="32" t="s">
        <v>312</v>
      </c>
      <c r="D115" s="32" t="str">
        <f t="shared" si="1"/>
        <v>Malaysia</v>
      </c>
      <c r="E115" s="64">
        <f>INDEX('Hotel Emissions'!$G:$G,MATCH(D115,'Hotel Emissions'!$C:$C,0))</f>
        <v>94.440624517876273</v>
      </c>
      <c r="F115" s="64">
        <f>IF(INDEX('Hotel Emissions'!$O:$O,MATCH(D115,'Hotel Emissions'!$C:$C,0))="",INDEX('Hotel Emissions'!$T:$T,MATCH(D115,'Hotel Emissions'!$C:$C,0)),INDEX('Hotel Emissions'!$O:$O,MATCH(D115,'Hotel Emissions'!$C:$C,0)))</f>
        <v>50.392437478984704</v>
      </c>
      <c r="G115" s="64">
        <f>IF(INDEX('Hotel Emissions'!$X:$X,MATCH(D115,'Hotel Emissions'!$C:$C,0))="",INDEX('Hotel Emissions'!$AC:$AC,MATCH(D115,'Hotel Emissions'!$C:$C,0)),INDEX('Hotel Emissions'!$X:$X,MATCH(D115,'Hotel Emissions'!$C:$C,0)))</f>
        <v>80.787705240745836</v>
      </c>
      <c r="H115" s="64">
        <f>IF(INDEX('Hotel Emissions'!AG:$AG,MATCH(D115,'Hotel Emissions'!$C:$C,0))="",INDEX('Hotel Emissions'!$AL:$AL,MATCH(D115,'Hotel Emissions'!$C:$C,0)),INDEX('Hotel Emissions'!$AG:$AG,MATCH(D115,'Hotel Emissions'!$C:$C,0)))</f>
        <v>159.16481018320451</v>
      </c>
      <c r="L115" s="31" t="s">
        <v>140</v>
      </c>
      <c r="M115" s="31" t="s">
        <v>50</v>
      </c>
    </row>
    <row r="116" spans="1:13" x14ac:dyDescent="0.65">
      <c r="A116" s="32"/>
      <c r="B116" s="32" t="s">
        <v>104</v>
      </c>
      <c r="C116" s="32" t="s">
        <v>538</v>
      </c>
      <c r="D116" s="32" t="str">
        <f t="shared" si="1"/>
        <v>India</v>
      </c>
      <c r="E116" s="64">
        <f>INDEX('Hotel Emissions'!$G:$G,MATCH(D116,'Hotel Emissions'!$C:$C,0))</f>
        <v>60.039227102791394</v>
      </c>
      <c r="F116" s="64">
        <f>IF(INDEX('Hotel Emissions'!$O:$O,MATCH(D116,'Hotel Emissions'!$C:$C,0))="",INDEX('Hotel Emissions'!$T:$T,MATCH(D116,'Hotel Emissions'!$C:$C,0)),INDEX('Hotel Emissions'!$O:$O,MATCH(D116,'Hotel Emissions'!$C:$C,0)))</f>
        <v>44.760847828132114</v>
      </c>
      <c r="G116" s="64">
        <f>IF(INDEX('Hotel Emissions'!$X:$X,MATCH(D116,'Hotel Emissions'!$C:$C,0))="",INDEX('Hotel Emissions'!$AC:$AC,MATCH(D116,'Hotel Emissions'!$C:$C,0)),INDEX('Hotel Emissions'!$X:$X,MATCH(D116,'Hotel Emissions'!$C:$C,0)))</f>
        <v>64.625315927390787</v>
      </c>
      <c r="H116" s="64">
        <f>IF(INDEX('Hotel Emissions'!AG:$AG,MATCH(D116,'Hotel Emissions'!$C:$C,0))="",INDEX('Hotel Emissions'!$AL:$AL,MATCH(D116,'Hotel Emissions'!$C:$C,0)),INDEX('Hotel Emissions'!$AG:$AG,MATCH(D116,'Hotel Emissions'!$C:$C,0)))</f>
        <v>87.695610816492447</v>
      </c>
      <c r="L116" s="31" t="s">
        <v>141</v>
      </c>
      <c r="M116" s="31" t="s">
        <v>50</v>
      </c>
    </row>
    <row r="117" spans="1:13" x14ac:dyDescent="0.65">
      <c r="A117" s="32"/>
      <c r="B117" s="32" t="s">
        <v>105</v>
      </c>
      <c r="C117" s="32" t="s">
        <v>483</v>
      </c>
      <c r="D117" s="32" t="str">
        <f t="shared" si="1"/>
        <v>Morocco</v>
      </c>
      <c r="E117" s="64">
        <f>INDEX('Hotel Emissions'!$G:$G,MATCH(D117,'Hotel Emissions'!$C:$C,0))</f>
        <v>64.786712103740001</v>
      </c>
      <c r="F117" s="64">
        <f>IF(INDEX('Hotel Emissions'!$O:$O,MATCH(D117,'Hotel Emissions'!$C:$C,0))="",INDEX('Hotel Emissions'!$T:$T,MATCH(D117,'Hotel Emissions'!$C:$C,0)),INDEX('Hotel Emissions'!$O:$O,MATCH(D117,'Hotel Emissions'!$C:$C,0)))</f>
        <v>22.421330805272362</v>
      </c>
      <c r="G117" s="64">
        <f>IF(INDEX('Hotel Emissions'!$X:$X,MATCH(D117,'Hotel Emissions'!$C:$C,0))="",INDEX('Hotel Emissions'!$AC:$AC,MATCH(D117,'Hotel Emissions'!$C:$C,0)),INDEX('Hotel Emissions'!$X:$X,MATCH(D117,'Hotel Emissions'!$C:$C,0)))</f>
        <v>81.787795373044702</v>
      </c>
      <c r="H117" s="64">
        <f>IF(INDEX('Hotel Emissions'!AG:$AG,MATCH(D117,'Hotel Emissions'!$C:$C,0))="",INDEX('Hotel Emissions'!$AL:$AL,MATCH(D117,'Hotel Emissions'!$C:$C,0)),INDEX('Hotel Emissions'!$AG:$AG,MATCH(D117,'Hotel Emissions'!$C:$C,0)))</f>
        <v>105.55113658157052</v>
      </c>
      <c r="L117" s="31" t="s">
        <v>142</v>
      </c>
      <c r="M117" s="31" t="s">
        <v>84</v>
      </c>
    </row>
    <row r="118" spans="1:13" x14ac:dyDescent="0.65">
      <c r="A118" s="32"/>
      <c r="B118" s="32" t="s">
        <v>106</v>
      </c>
      <c r="C118" s="32" t="s">
        <v>484</v>
      </c>
      <c r="D118" s="32" t="str">
        <f t="shared" si="1"/>
        <v>Italy</v>
      </c>
      <c r="E118" s="64">
        <f>INDEX('Hotel Emissions'!$G:$G,MATCH(D118,'Hotel Emissions'!$C:$C,0))</f>
        <v>27.98939788200596</v>
      </c>
      <c r="F118" s="64">
        <f>IF(INDEX('Hotel Emissions'!$O:$O,MATCH(D118,'Hotel Emissions'!$C:$C,0))="",INDEX('Hotel Emissions'!$T:$T,MATCH(D118,'Hotel Emissions'!$C:$C,0)),INDEX('Hotel Emissions'!$O:$O,MATCH(D118,'Hotel Emissions'!$C:$C,0)))</f>
        <v>12.873281233478671</v>
      </c>
      <c r="G118" s="64">
        <f>IF(INDEX('Hotel Emissions'!$X:$X,MATCH(D118,'Hotel Emissions'!$C:$C,0))="",INDEX('Hotel Emissions'!$AC:$AC,MATCH(D118,'Hotel Emissions'!$C:$C,0)),INDEX('Hotel Emissions'!$X:$X,MATCH(D118,'Hotel Emissions'!$C:$C,0)))</f>
        <v>20.311051113560406</v>
      </c>
      <c r="H118" s="64">
        <f>IF(INDEX('Hotel Emissions'!AG:$AG,MATCH(D118,'Hotel Emissions'!$C:$C,0))="",INDEX('Hotel Emissions'!$AL:$AL,MATCH(D118,'Hotel Emissions'!$C:$C,0)),INDEX('Hotel Emissions'!$AG:$AG,MATCH(D118,'Hotel Emissions'!$C:$C,0)))</f>
        <v>86.727744977654595</v>
      </c>
      <c r="L118" s="31" t="s">
        <v>143</v>
      </c>
      <c r="M118" s="31" t="s">
        <v>114</v>
      </c>
    </row>
    <row r="119" spans="1:13" x14ac:dyDescent="0.65">
      <c r="A119" s="32"/>
      <c r="B119" s="32" t="s">
        <v>107</v>
      </c>
      <c r="C119" s="32" t="s">
        <v>485</v>
      </c>
      <c r="D119" s="32" t="str">
        <f t="shared" si="1"/>
        <v>Morocco</v>
      </c>
      <c r="E119" s="64">
        <f>INDEX('Hotel Emissions'!$G:$G,MATCH(D119,'Hotel Emissions'!$C:$C,0))</f>
        <v>64.786712103740001</v>
      </c>
      <c r="F119" s="64">
        <f>IF(INDEX('Hotel Emissions'!$O:$O,MATCH(D119,'Hotel Emissions'!$C:$C,0))="",INDEX('Hotel Emissions'!$T:$T,MATCH(D119,'Hotel Emissions'!$C:$C,0)),INDEX('Hotel Emissions'!$O:$O,MATCH(D119,'Hotel Emissions'!$C:$C,0)))</f>
        <v>22.421330805272362</v>
      </c>
      <c r="G119" s="64">
        <f>IF(INDEX('Hotel Emissions'!$X:$X,MATCH(D119,'Hotel Emissions'!$C:$C,0))="",INDEX('Hotel Emissions'!$AC:$AC,MATCH(D119,'Hotel Emissions'!$C:$C,0)),INDEX('Hotel Emissions'!$X:$X,MATCH(D119,'Hotel Emissions'!$C:$C,0)))</f>
        <v>81.787795373044702</v>
      </c>
      <c r="H119" s="64">
        <f>IF(INDEX('Hotel Emissions'!AG:$AG,MATCH(D119,'Hotel Emissions'!$C:$C,0))="",INDEX('Hotel Emissions'!$AL:$AL,MATCH(D119,'Hotel Emissions'!$C:$C,0)),INDEX('Hotel Emissions'!$AG:$AG,MATCH(D119,'Hotel Emissions'!$C:$C,0)))</f>
        <v>105.55113658157052</v>
      </c>
      <c r="L119" s="31" t="s">
        <v>145</v>
      </c>
      <c r="M119" s="31" t="s">
        <v>114</v>
      </c>
    </row>
    <row r="120" spans="1:13" x14ac:dyDescent="0.65">
      <c r="A120" s="32"/>
      <c r="B120" s="32" t="s">
        <v>108</v>
      </c>
      <c r="C120" s="32" t="s">
        <v>486</v>
      </c>
      <c r="D120" s="32" t="str">
        <f t="shared" si="1"/>
        <v>South Africa</v>
      </c>
      <c r="E120" s="64">
        <f>INDEX('Hotel Emissions'!$G:$G,MATCH(D120,'Hotel Emissions'!$C:$C,0))</f>
        <v>103.55037750960224</v>
      </c>
      <c r="F120" s="64">
        <f>IF(INDEX('Hotel Emissions'!$O:$O,MATCH(D120,'Hotel Emissions'!$C:$C,0))="",INDEX('Hotel Emissions'!$T:$T,MATCH(D120,'Hotel Emissions'!$C:$C,0)),INDEX('Hotel Emissions'!$O:$O,MATCH(D120,'Hotel Emissions'!$C:$C,0)))</f>
        <v>16.910410780975194</v>
      </c>
      <c r="G120" s="64">
        <f>IF(INDEX('Hotel Emissions'!$X:$X,MATCH(D120,'Hotel Emissions'!$C:$C,0))="",INDEX('Hotel Emissions'!$AC:$AC,MATCH(D120,'Hotel Emissions'!$C:$C,0)),INDEX('Hotel Emissions'!$X:$X,MATCH(D120,'Hotel Emissions'!$C:$C,0)))</f>
        <v>66.543957384996915</v>
      </c>
      <c r="H120" s="64">
        <f>IF(INDEX('Hotel Emissions'!AG:$AG,MATCH(D120,'Hotel Emissions'!$C:$C,0))="",INDEX('Hotel Emissions'!$AL:$AL,MATCH(D120,'Hotel Emissions'!$C:$C,0)),INDEX('Hotel Emissions'!$AG:$AG,MATCH(D120,'Hotel Emissions'!$C:$C,0)))</f>
        <v>94.792983435676007</v>
      </c>
      <c r="L120" s="31" t="s">
        <v>146</v>
      </c>
      <c r="M120" s="31" t="s">
        <v>136</v>
      </c>
    </row>
    <row r="121" spans="1:13" x14ac:dyDescent="0.65">
      <c r="A121" s="32"/>
      <c r="B121" s="32" t="s">
        <v>109</v>
      </c>
      <c r="C121" s="32" t="s">
        <v>109</v>
      </c>
      <c r="D121" s="32" t="str">
        <f t="shared" si="1"/>
        <v>Mexico</v>
      </c>
      <c r="E121" s="64">
        <f>INDEX('Hotel Emissions'!$G:$G,MATCH(D121,'Hotel Emissions'!$C:$C,0))</f>
        <v>30.779133888536702</v>
      </c>
      <c r="F121" s="64">
        <f>IF(INDEX('Hotel Emissions'!$O:$O,MATCH(D121,'Hotel Emissions'!$C:$C,0))="",INDEX('Hotel Emissions'!$T:$T,MATCH(D121,'Hotel Emissions'!$C:$C,0)),INDEX('Hotel Emissions'!$O:$O,MATCH(D121,'Hotel Emissions'!$C:$C,0)))</f>
        <v>18.709360976764113</v>
      </c>
      <c r="G121" s="64">
        <f>IF(INDEX('Hotel Emissions'!$X:$X,MATCH(D121,'Hotel Emissions'!$C:$C,0))="",INDEX('Hotel Emissions'!$AC:$AC,MATCH(D121,'Hotel Emissions'!$C:$C,0)),INDEX('Hotel Emissions'!$X:$X,MATCH(D121,'Hotel Emissions'!$C:$C,0)))</f>
        <v>42.81768863459552</v>
      </c>
      <c r="H121" s="64">
        <f>IF(INDEX('Hotel Emissions'!AG:$AG,MATCH(D121,'Hotel Emissions'!$C:$C,0))="",INDEX('Hotel Emissions'!$AL:$AL,MATCH(D121,'Hotel Emissions'!$C:$C,0)),INDEX('Hotel Emissions'!$AG:$AG,MATCH(D121,'Hotel Emissions'!$C:$C,0)))</f>
        <v>117.93078758383798</v>
      </c>
      <c r="L121" s="31" t="s">
        <v>147</v>
      </c>
      <c r="M121" s="31" t="s">
        <v>114</v>
      </c>
    </row>
    <row r="122" spans="1:13" x14ac:dyDescent="0.65">
      <c r="A122" s="32"/>
      <c r="B122" s="32" t="s">
        <v>110</v>
      </c>
      <c r="C122" s="32" t="s">
        <v>548</v>
      </c>
      <c r="D122" s="32" t="str">
        <f t="shared" si="1"/>
        <v>Romania</v>
      </c>
      <c r="E122" s="64">
        <f>INDEX('Hotel Emissions'!$G:$G,MATCH(D122,'Hotel Emissions'!$C:$C,0))</f>
        <v>23.759309432044105</v>
      </c>
      <c r="F122" s="64">
        <f>IF(INDEX('Hotel Emissions'!$O:$O,MATCH(D122,'Hotel Emissions'!$C:$C,0))="",INDEX('Hotel Emissions'!$T:$T,MATCH(D122,'Hotel Emissions'!$C:$C,0)),INDEX('Hotel Emissions'!$O:$O,MATCH(D122,'Hotel Emissions'!$C:$C,0)))</f>
        <v>16.910410780975194</v>
      </c>
      <c r="G122" s="64">
        <f>IF(INDEX('Hotel Emissions'!$X:$X,MATCH(D122,'Hotel Emissions'!$C:$C,0))="",INDEX('Hotel Emissions'!$AC:$AC,MATCH(D122,'Hotel Emissions'!$C:$C,0)),INDEX('Hotel Emissions'!$X:$X,MATCH(D122,'Hotel Emissions'!$C:$C,0)))</f>
        <v>41.238180878421765</v>
      </c>
      <c r="H122" s="64">
        <f>IF(INDEX('Hotel Emissions'!AG:$AG,MATCH(D122,'Hotel Emissions'!$C:$C,0))="",INDEX('Hotel Emissions'!$AL:$AL,MATCH(D122,'Hotel Emissions'!$C:$C,0)),INDEX('Hotel Emissions'!$AG:$AG,MATCH(D122,'Hotel Emissions'!$C:$C,0)))</f>
        <v>94.792983435676007</v>
      </c>
      <c r="L122" s="31" t="s">
        <v>149</v>
      </c>
      <c r="M122" s="31" t="s">
        <v>612</v>
      </c>
    </row>
    <row r="123" spans="1:13" x14ac:dyDescent="0.65">
      <c r="A123" s="32"/>
      <c r="B123" s="32" t="s">
        <v>111</v>
      </c>
      <c r="C123" s="32" t="s">
        <v>111</v>
      </c>
      <c r="D123" s="32" t="str">
        <f t="shared" si="1"/>
        <v>France</v>
      </c>
      <c r="E123" s="64">
        <f>INDEX('Hotel Emissions'!$G:$G,MATCH(D123,'Hotel Emissions'!$C:$C,0))</f>
        <v>3.7660270256402018</v>
      </c>
      <c r="F123" s="64">
        <f>IF(INDEX('Hotel Emissions'!$O:$O,MATCH(D123,'Hotel Emissions'!$C:$C,0))="",INDEX('Hotel Emissions'!$T:$T,MATCH(D123,'Hotel Emissions'!$C:$C,0)),INDEX('Hotel Emissions'!$O:$O,MATCH(D123,'Hotel Emissions'!$C:$C,0)))</f>
        <v>2.7748674174320778</v>
      </c>
      <c r="G123" s="64">
        <f>IF(INDEX('Hotel Emissions'!$X:$X,MATCH(D123,'Hotel Emissions'!$C:$C,0))="",INDEX('Hotel Emissions'!$AC:$AC,MATCH(D123,'Hotel Emissions'!$C:$C,0)),INDEX('Hotel Emissions'!$X:$X,MATCH(D123,'Hotel Emissions'!$C:$C,0)))</f>
        <v>5.8332126774348358</v>
      </c>
      <c r="H123" s="64">
        <f>IF(INDEX('Hotel Emissions'!AG:$AG,MATCH(D123,'Hotel Emissions'!$C:$C,0))="",INDEX('Hotel Emissions'!$AL:$AL,MATCH(D123,'Hotel Emissions'!$C:$C,0)),INDEX('Hotel Emissions'!$AG:$AG,MATCH(D123,'Hotel Emissions'!$C:$C,0)))</f>
        <v>15.554217731357131</v>
      </c>
      <c r="L123" s="31" t="s">
        <v>150</v>
      </c>
      <c r="M123" s="31" t="s">
        <v>12</v>
      </c>
    </row>
    <row r="124" spans="1:13" x14ac:dyDescent="0.65">
      <c r="A124" s="32"/>
      <c r="B124" s="32" t="s">
        <v>112</v>
      </c>
      <c r="C124" s="32" t="s">
        <v>549</v>
      </c>
      <c r="D124" s="32" t="str">
        <f t="shared" si="1"/>
        <v>China</v>
      </c>
      <c r="E124" s="64">
        <f>INDEX('Hotel Emissions'!$G:$G,MATCH(D124,'Hotel Emissions'!$C:$C,0))</f>
        <v>63.917131895306049</v>
      </c>
      <c r="F124" s="64">
        <f>IF(INDEX('Hotel Emissions'!$O:$O,MATCH(D124,'Hotel Emissions'!$C:$C,0))="",INDEX('Hotel Emissions'!$T:$T,MATCH(D124,'Hotel Emissions'!$C:$C,0)),INDEX('Hotel Emissions'!$O:$O,MATCH(D124,'Hotel Emissions'!$C:$C,0)))</f>
        <v>46.509414509985085</v>
      </c>
      <c r="G124" s="64">
        <f>IF(INDEX('Hotel Emissions'!$X:$X,MATCH(D124,'Hotel Emissions'!$C:$C,0))="",INDEX('Hotel Emissions'!$AC:$AC,MATCH(D124,'Hotel Emissions'!$C:$C,0)),INDEX('Hotel Emissions'!$X:$X,MATCH(D124,'Hotel Emissions'!$C:$C,0)))</f>
        <v>68.926915948163128</v>
      </c>
      <c r="H124" s="64">
        <f>IF(INDEX('Hotel Emissions'!AG:$AG,MATCH(D124,'Hotel Emissions'!$C:$C,0))="",INDEX('Hotel Emissions'!$AL:$AL,MATCH(D124,'Hotel Emissions'!$C:$C,0)),INDEX('Hotel Emissions'!$AG:$AG,MATCH(D124,'Hotel Emissions'!$C:$C,0)))</f>
        <v>92.091654166824938</v>
      </c>
      <c r="L124" s="31" t="s">
        <v>151</v>
      </c>
      <c r="M124" s="31" t="s">
        <v>53</v>
      </c>
    </row>
    <row r="125" spans="1:13" x14ac:dyDescent="0.65">
      <c r="A125" s="32"/>
      <c r="B125" s="32" t="s">
        <v>113</v>
      </c>
      <c r="C125" s="32" t="s">
        <v>487</v>
      </c>
      <c r="D125" s="32" t="str">
        <f t="shared" si="1"/>
        <v>Romania</v>
      </c>
      <c r="E125" s="64">
        <f>INDEX('Hotel Emissions'!$G:$G,MATCH(D125,'Hotel Emissions'!$C:$C,0))</f>
        <v>23.759309432044105</v>
      </c>
      <c r="F125" s="64">
        <f>IF(INDEX('Hotel Emissions'!$O:$O,MATCH(D125,'Hotel Emissions'!$C:$C,0))="",INDEX('Hotel Emissions'!$T:$T,MATCH(D125,'Hotel Emissions'!$C:$C,0)),INDEX('Hotel Emissions'!$O:$O,MATCH(D125,'Hotel Emissions'!$C:$C,0)))</f>
        <v>16.910410780975194</v>
      </c>
      <c r="G125" s="64">
        <f>IF(INDEX('Hotel Emissions'!$X:$X,MATCH(D125,'Hotel Emissions'!$C:$C,0))="",INDEX('Hotel Emissions'!$AC:$AC,MATCH(D125,'Hotel Emissions'!$C:$C,0)),INDEX('Hotel Emissions'!$X:$X,MATCH(D125,'Hotel Emissions'!$C:$C,0)))</f>
        <v>41.238180878421765</v>
      </c>
      <c r="H125" s="64">
        <f>IF(INDEX('Hotel Emissions'!AG:$AG,MATCH(D125,'Hotel Emissions'!$C:$C,0))="",INDEX('Hotel Emissions'!$AL:$AL,MATCH(D125,'Hotel Emissions'!$C:$C,0)),INDEX('Hotel Emissions'!$AG:$AG,MATCH(D125,'Hotel Emissions'!$C:$C,0)))</f>
        <v>94.792983435676007</v>
      </c>
      <c r="L125" s="31" t="s">
        <v>153</v>
      </c>
      <c r="M125" s="31" t="s">
        <v>266</v>
      </c>
    </row>
    <row r="126" spans="1:13" x14ac:dyDescent="0.65">
      <c r="A126" s="32"/>
      <c r="B126" s="32" t="s">
        <v>114</v>
      </c>
      <c r="C126" s="32" t="s">
        <v>488</v>
      </c>
      <c r="D126" s="32" t="str">
        <f t="shared" si="1"/>
        <v>Morocco</v>
      </c>
      <c r="E126" s="64">
        <f>INDEX('Hotel Emissions'!$G:$G,MATCH(D126,'Hotel Emissions'!$C:$C,0))</f>
        <v>64.786712103740001</v>
      </c>
      <c r="F126" s="64">
        <f>IF(INDEX('Hotel Emissions'!$O:$O,MATCH(D126,'Hotel Emissions'!$C:$C,0))="",INDEX('Hotel Emissions'!$T:$T,MATCH(D126,'Hotel Emissions'!$C:$C,0)),INDEX('Hotel Emissions'!$O:$O,MATCH(D126,'Hotel Emissions'!$C:$C,0)))</f>
        <v>22.421330805272362</v>
      </c>
      <c r="G126" s="64">
        <f>IF(INDEX('Hotel Emissions'!$X:$X,MATCH(D126,'Hotel Emissions'!$C:$C,0))="",INDEX('Hotel Emissions'!$AC:$AC,MATCH(D126,'Hotel Emissions'!$C:$C,0)),INDEX('Hotel Emissions'!$X:$X,MATCH(D126,'Hotel Emissions'!$C:$C,0)))</f>
        <v>81.787795373044702</v>
      </c>
      <c r="H126" s="64">
        <f>IF(INDEX('Hotel Emissions'!AG:$AG,MATCH(D126,'Hotel Emissions'!$C:$C,0))="",INDEX('Hotel Emissions'!$AL:$AL,MATCH(D126,'Hotel Emissions'!$C:$C,0)),INDEX('Hotel Emissions'!$AG:$AG,MATCH(D126,'Hotel Emissions'!$C:$C,0)))</f>
        <v>105.55113658157052</v>
      </c>
      <c r="L126" s="31" t="s">
        <v>154</v>
      </c>
      <c r="M126" s="31" t="s">
        <v>53</v>
      </c>
    </row>
    <row r="127" spans="1:13" x14ac:dyDescent="0.65">
      <c r="A127" s="32"/>
      <c r="B127" s="32" t="s">
        <v>115</v>
      </c>
      <c r="C127" s="32" t="s">
        <v>489</v>
      </c>
      <c r="D127" s="32" t="str">
        <f t="shared" si="1"/>
        <v>South Africa</v>
      </c>
      <c r="E127" s="64">
        <f>INDEX('Hotel Emissions'!$G:$G,MATCH(D127,'Hotel Emissions'!$C:$C,0))</f>
        <v>103.55037750960224</v>
      </c>
      <c r="F127" s="64">
        <f>IF(INDEX('Hotel Emissions'!$O:$O,MATCH(D127,'Hotel Emissions'!$C:$C,0))="",INDEX('Hotel Emissions'!$T:$T,MATCH(D127,'Hotel Emissions'!$C:$C,0)),INDEX('Hotel Emissions'!$O:$O,MATCH(D127,'Hotel Emissions'!$C:$C,0)))</f>
        <v>16.910410780975194</v>
      </c>
      <c r="G127" s="64">
        <f>IF(INDEX('Hotel Emissions'!$X:$X,MATCH(D127,'Hotel Emissions'!$C:$C,0))="",INDEX('Hotel Emissions'!$AC:$AC,MATCH(D127,'Hotel Emissions'!$C:$C,0)),INDEX('Hotel Emissions'!$X:$X,MATCH(D127,'Hotel Emissions'!$C:$C,0)))</f>
        <v>66.543957384996915</v>
      </c>
      <c r="H127" s="64">
        <f>IF(INDEX('Hotel Emissions'!AG:$AG,MATCH(D127,'Hotel Emissions'!$C:$C,0))="",INDEX('Hotel Emissions'!$AL:$AL,MATCH(D127,'Hotel Emissions'!$C:$C,0)),INDEX('Hotel Emissions'!$AG:$AG,MATCH(D127,'Hotel Emissions'!$C:$C,0)))</f>
        <v>94.792983435676007</v>
      </c>
      <c r="L127" s="31" t="s">
        <v>156</v>
      </c>
      <c r="M127" s="31" t="s">
        <v>78</v>
      </c>
    </row>
    <row r="128" spans="1:13" x14ac:dyDescent="0.65">
      <c r="A128" s="32"/>
      <c r="B128" s="32" t="s">
        <v>116</v>
      </c>
      <c r="C128" s="32" t="s">
        <v>539</v>
      </c>
      <c r="D128" s="32" t="str">
        <f t="shared" si="1"/>
        <v>Thailand</v>
      </c>
      <c r="E128" s="64">
        <f>INDEX('Hotel Emissions'!$G:$G,MATCH(D128,'Hotel Emissions'!$C:$C,0))</f>
        <v>104.67175654633746</v>
      </c>
      <c r="F128" s="64">
        <f>IF(INDEX('Hotel Emissions'!$O:$O,MATCH(D128,'Hotel Emissions'!$C:$C,0))="",INDEX('Hotel Emissions'!$T:$T,MATCH(D128,'Hotel Emissions'!$C:$C,0)),INDEX('Hotel Emissions'!$O:$O,MATCH(D128,'Hotel Emissions'!$C:$C,0)))</f>
        <v>43.770449087281946</v>
      </c>
      <c r="G128" s="64">
        <f>IF(INDEX('Hotel Emissions'!$X:$X,MATCH(D128,'Hotel Emissions'!$C:$C,0))="",INDEX('Hotel Emissions'!$AC:$AC,MATCH(D128,'Hotel Emissions'!$C:$C,0)),INDEX('Hotel Emissions'!$X:$X,MATCH(D128,'Hotel Emissions'!$C:$C,0)))</f>
        <v>88.402614542542324</v>
      </c>
      <c r="H128" s="64">
        <f>IF(INDEX('Hotel Emissions'!AG:$AG,MATCH(D128,'Hotel Emissions'!$C:$C,0))="",INDEX('Hotel Emissions'!$AL:$AL,MATCH(D128,'Hotel Emissions'!$C:$C,0)),INDEX('Hotel Emissions'!$AG:$AG,MATCH(D128,'Hotel Emissions'!$C:$C,0)))</f>
        <v>156.99818737165143</v>
      </c>
      <c r="L128" s="31" t="s">
        <v>157</v>
      </c>
      <c r="M128" s="31" t="s">
        <v>53</v>
      </c>
    </row>
    <row r="129" spans="1:13" x14ac:dyDescent="0.65">
      <c r="A129" s="32"/>
      <c r="B129" s="32" t="s">
        <v>117</v>
      </c>
      <c r="C129" s="32" t="s">
        <v>490</v>
      </c>
      <c r="D129" s="32" t="str">
        <f t="shared" si="1"/>
        <v>South Africa</v>
      </c>
      <c r="E129" s="64">
        <f>INDEX('Hotel Emissions'!$G:$G,MATCH(D129,'Hotel Emissions'!$C:$C,0))</f>
        <v>103.55037750960224</v>
      </c>
      <c r="F129" s="64">
        <f>IF(INDEX('Hotel Emissions'!$O:$O,MATCH(D129,'Hotel Emissions'!$C:$C,0))="",INDEX('Hotel Emissions'!$T:$T,MATCH(D129,'Hotel Emissions'!$C:$C,0)),INDEX('Hotel Emissions'!$O:$O,MATCH(D129,'Hotel Emissions'!$C:$C,0)))</f>
        <v>16.910410780975194</v>
      </c>
      <c r="G129" s="64">
        <f>IF(INDEX('Hotel Emissions'!$X:$X,MATCH(D129,'Hotel Emissions'!$C:$C,0))="",INDEX('Hotel Emissions'!$AC:$AC,MATCH(D129,'Hotel Emissions'!$C:$C,0)),INDEX('Hotel Emissions'!$X:$X,MATCH(D129,'Hotel Emissions'!$C:$C,0)))</f>
        <v>66.543957384996915</v>
      </c>
      <c r="H129" s="64">
        <f>IF(INDEX('Hotel Emissions'!AG:$AG,MATCH(D129,'Hotel Emissions'!$C:$C,0))="",INDEX('Hotel Emissions'!$AL:$AL,MATCH(D129,'Hotel Emissions'!$C:$C,0)),INDEX('Hotel Emissions'!$AG:$AG,MATCH(D129,'Hotel Emissions'!$C:$C,0)))</f>
        <v>94.792983435676007</v>
      </c>
      <c r="L129" s="31" t="s">
        <v>158</v>
      </c>
      <c r="M129" s="31" t="s">
        <v>39</v>
      </c>
    </row>
    <row r="130" spans="1:13" x14ac:dyDescent="0.65">
      <c r="A130" s="32"/>
      <c r="B130" s="32" t="s">
        <v>118</v>
      </c>
      <c r="C130" s="32" t="s">
        <v>491</v>
      </c>
      <c r="D130" s="32" t="str">
        <f t="shared" si="1"/>
        <v>India</v>
      </c>
      <c r="E130" s="64">
        <f>INDEX('Hotel Emissions'!$G:$G,MATCH(D130,'Hotel Emissions'!$C:$C,0))</f>
        <v>60.039227102791394</v>
      </c>
      <c r="F130" s="64">
        <f>IF(INDEX('Hotel Emissions'!$O:$O,MATCH(D130,'Hotel Emissions'!$C:$C,0))="",INDEX('Hotel Emissions'!$T:$T,MATCH(D130,'Hotel Emissions'!$C:$C,0)),INDEX('Hotel Emissions'!$O:$O,MATCH(D130,'Hotel Emissions'!$C:$C,0)))</f>
        <v>44.760847828132114</v>
      </c>
      <c r="G130" s="64">
        <f>IF(INDEX('Hotel Emissions'!$X:$X,MATCH(D130,'Hotel Emissions'!$C:$C,0))="",INDEX('Hotel Emissions'!$AC:$AC,MATCH(D130,'Hotel Emissions'!$C:$C,0)),INDEX('Hotel Emissions'!$X:$X,MATCH(D130,'Hotel Emissions'!$C:$C,0)))</f>
        <v>64.625315927390787</v>
      </c>
      <c r="H130" s="64">
        <f>IF(INDEX('Hotel Emissions'!AG:$AG,MATCH(D130,'Hotel Emissions'!$C:$C,0))="",INDEX('Hotel Emissions'!$AL:$AL,MATCH(D130,'Hotel Emissions'!$C:$C,0)),INDEX('Hotel Emissions'!$AG:$AG,MATCH(D130,'Hotel Emissions'!$C:$C,0)))</f>
        <v>87.695610816492447</v>
      </c>
      <c r="L130" s="31" t="s">
        <v>159</v>
      </c>
      <c r="M130" s="31" t="s">
        <v>65</v>
      </c>
    </row>
    <row r="131" spans="1:13" x14ac:dyDescent="0.65">
      <c r="A131" s="32"/>
      <c r="B131" s="32" t="s">
        <v>119</v>
      </c>
      <c r="C131" s="32" t="s">
        <v>294</v>
      </c>
      <c r="D131" s="32" t="str">
        <f t="shared" si="1"/>
        <v>Netherlands</v>
      </c>
      <c r="E131" s="64">
        <f>INDEX('Hotel Emissions'!$G:$G,MATCH(D131,'Hotel Emissions'!$C:$C,0))</f>
        <v>28.476935756801247</v>
      </c>
      <c r="F131" s="64">
        <f>IF(INDEX('Hotel Emissions'!$O:$O,MATCH(D131,'Hotel Emissions'!$C:$C,0))="",INDEX('Hotel Emissions'!$T:$T,MATCH(D131,'Hotel Emissions'!$C:$C,0)),INDEX('Hotel Emissions'!$O:$O,MATCH(D131,'Hotel Emissions'!$C:$C,0)))</f>
        <v>16.012884300532274</v>
      </c>
      <c r="G131" s="64">
        <f>IF(INDEX('Hotel Emissions'!$X:$X,MATCH(D131,'Hotel Emissions'!$C:$C,0))="",INDEX('Hotel Emissions'!$AC:$AC,MATCH(D131,'Hotel Emissions'!$C:$C,0)),INDEX('Hotel Emissions'!$X:$X,MATCH(D131,'Hotel Emissions'!$C:$C,0)))</f>
        <v>29.962460639909771</v>
      </c>
      <c r="H131" s="64">
        <f>IF(INDEX('Hotel Emissions'!AG:$AG,MATCH(D131,'Hotel Emissions'!$C:$C,0))="",INDEX('Hotel Emissions'!$AL:$AL,MATCH(D131,'Hotel Emissions'!$C:$C,0)),INDEX('Hotel Emissions'!$AG:$AG,MATCH(D131,'Hotel Emissions'!$C:$C,0)))</f>
        <v>94.792983435676007</v>
      </c>
      <c r="L131" s="31" t="s">
        <v>161</v>
      </c>
      <c r="M131" s="31" t="s">
        <v>87</v>
      </c>
    </row>
    <row r="132" spans="1:13" x14ac:dyDescent="0.65">
      <c r="A132" s="32"/>
      <c r="B132" s="32" t="s">
        <v>120</v>
      </c>
      <c r="C132" s="32" t="s">
        <v>296</v>
      </c>
      <c r="D132" s="32" t="str">
        <f t="shared" si="1"/>
        <v>New Zealand</v>
      </c>
      <c r="E132" s="64">
        <f>INDEX('Hotel Emissions'!$G:$G,MATCH(D132,'Hotel Emissions'!$C:$C,0))</f>
        <v>11.734673341881743</v>
      </c>
      <c r="F132" s="64">
        <f>IF(INDEX('Hotel Emissions'!$O:$O,MATCH(D132,'Hotel Emissions'!$C:$C,0))="",INDEX('Hotel Emissions'!$T:$T,MATCH(D132,'Hotel Emissions'!$C:$C,0)),INDEX('Hotel Emissions'!$O:$O,MATCH(D132,'Hotel Emissions'!$C:$C,0)))</f>
        <v>16.910410780975194</v>
      </c>
      <c r="G132" s="64">
        <f>IF(INDEX('Hotel Emissions'!$X:$X,MATCH(D132,'Hotel Emissions'!$C:$C,0))="",INDEX('Hotel Emissions'!$AC:$AC,MATCH(D132,'Hotel Emissions'!$C:$C,0)),INDEX('Hotel Emissions'!$X:$X,MATCH(D132,'Hotel Emissions'!$C:$C,0)))</f>
        <v>9.5617153398973951</v>
      </c>
      <c r="H132" s="64">
        <f>IF(INDEX('Hotel Emissions'!AG:$AG,MATCH(D132,'Hotel Emissions'!$C:$C,0))="",INDEX('Hotel Emissions'!$AL:$AL,MATCH(D132,'Hotel Emissions'!$C:$C,0)),INDEX('Hotel Emissions'!$AG:$AG,MATCH(D132,'Hotel Emissions'!$C:$C,0)))</f>
        <v>17.35002743710335</v>
      </c>
      <c r="L132" s="31" t="s">
        <v>162</v>
      </c>
      <c r="M132" s="31" t="s">
        <v>268</v>
      </c>
    </row>
    <row r="133" spans="1:13" x14ac:dyDescent="0.65">
      <c r="A133" s="32"/>
      <c r="B133" s="32" t="s">
        <v>120</v>
      </c>
      <c r="C133" s="32" t="s">
        <v>492</v>
      </c>
      <c r="D133" s="32" t="str">
        <f t="shared" si="1"/>
        <v>New Zealand</v>
      </c>
      <c r="E133" s="64">
        <f>INDEX('Hotel Emissions'!$G:$G,MATCH(D133,'Hotel Emissions'!$C:$C,0))</f>
        <v>11.734673341881743</v>
      </c>
      <c r="F133" s="64">
        <f>IF(INDEX('Hotel Emissions'!$O:$O,MATCH(D133,'Hotel Emissions'!$C:$C,0))="",INDEX('Hotel Emissions'!$T:$T,MATCH(D133,'Hotel Emissions'!$C:$C,0)),INDEX('Hotel Emissions'!$O:$O,MATCH(D133,'Hotel Emissions'!$C:$C,0)))</f>
        <v>16.910410780975194</v>
      </c>
      <c r="G133" s="64">
        <f>IF(INDEX('Hotel Emissions'!$X:$X,MATCH(D133,'Hotel Emissions'!$C:$C,0))="",INDEX('Hotel Emissions'!$AC:$AC,MATCH(D133,'Hotel Emissions'!$C:$C,0)),INDEX('Hotel Emissions'!$X:$X,MATCH(D133,'Hotel Emissions'!$C:$C,0)))</f>
        <v>9.5617153398973951</v>
      </c>
      <c r="H133" s="64">
        <f>IF(INDEX('Hotel Emissions'!AG:$AG,MATCH(D133,'Hotel Emissions'!$C:$C,0))="",INDEX('Hotel Emissions'!$AL:$AL,MATCH(D133,'Hotel Emissions'!$C:$C,0)),INDEX('Hotel Emissions'!$AG:$AG,MATCH(D133,'Hotel Emissions'!$C:$C,0)))</f>
        <v>17.35002743710335</v>
      </c>
      <c r="L133" s="31" t="s">
        <v>163</v>
      </c>
      <c r="M133" s="31" t="s">
        <v>88</v>
      </c>
    </row>
    <row r="134" spans="1:13" x14ac:dyDescent="0.65">
      <c r="A134" s="32"/>
      <c r="B134" s="32" t="s">
        <v>121</v>
      </c>
      <c r="C134" s="32" t="s">
        <v>493</v>
      </c>
      <c r="D134" s="32" t="str">
        <f t="shared" ref="D134:D197" si="2">_xlfn.IFNA(INDEX($M$19:$M$149,MATCH(B134,$L$19:$L$149,0)),B134)</f>
        <v>Costa Rica</v>
      </c>
      <c r="E134" s="64">
        <f>INDEX('Hotel Emissions'!$G:$G,MATCH(D134,'Hotel Emissions'!$C:$C,0))</f>
        <v>11.133538864398535</v>
      </c>
      <c r="F134" s="64">
        <f>IF(INDEX('Hotel Emissions'!$O:$O,MATCH(D134,'Hotel Emissions'!$C:$C,0))="",INDEX('Hotel Emissions'!$T:$T,MATCH(D134,'Hotel Emissions'!$C:$C,0)),INDEX('Hotel Emissions'!$O:$O,MATCH(D134,'Hotel Emissions'!$C:$C,0)))</f>
        <v>6.0947986768733706</v>
      </c>
      <c r="G134" s="64">
        <f>IF(INDEX('Hotel Emissions'!$X:$X,MATCH(D134,'Hotel Emissions'!$C:$C,0))="",INDEX('Hotel Emissions'!$AC:$AC,MATCH(D134,'Hotel Emissions'!$C:$C,0)),INDEX('Hotel Emissions'!$X:$X,MATCH(D134,'Hotel Emissions'!$C:$C,0)))</f>
        <v>14.502350330546598</v>
      </c>
      <c r="H134" s="64">
        <f>IF(INDEX('Hotel Emissions'!AG:$AG,MATCH(D134,'Hotel Emissions'!$C:$C,0))="",INDEX('Hotel Emissions'!$AL:$AL,MATCH(D134,'Hotel Emissions'!$C:$C,0)),INDEX('Hotel Emissions'!$AG:$AG,MATCH(D134,'Hotel Emissions'!$C:$C,0)))</f>
        <v>94.792983435676007</v>
      </c>
      <c r="L134" s="31" t="s">
        <v>164</v>
      </c>
      <c r="M134" s="31" t="s">
        <v>152</v>
      </c>
    </row>
    <row r="135" spans="1:13" x14ac:dyDescent="0.65">
      <c r="A135" s="32"/>
      <c r="B135" s="32" t="s">
        <v>122</v>
      </c>
      <c r="C135" s="32" t="s">
        <v>494</v>
      </c>
      <c r="D135" s="32" t="str">
        <f t="shared" si="2"/>
        <v>Morocco</v>
      </c>
      <c r="E135" s="64">
        <f>INDEX('Hotel Emissions'!$G:$G,MATCH(D135,'Hotel Emissions'!$C:$C,0))</f>
        <v>64.786712103740001</v>
      </c>
      <c r="F135" s="64">
        <f>IF(INDEX('Hotel Emissions'!$O:$O,MATCH(D135,'Hotel Emissions'!$C:$C,0))="",INDEX('Hotel Emissions'!$T:$T,MATCH(D135,'Hotel Emissions'!$C:$C,0)),INDEX('Hotel Emissions'!$O:$O,MATCH(D135,'Hotel Emissions'!$C:$C,0)))</f>
        <v>22.421330805272362</v>
      </c>
      <c r="G135" s="64">
        <f>IF(INDEX('Hotel Emissions'!$X:$X,MATCH(D135,'Hotel Emissions'!$C:$C,0))="",INDEX('Hotel Emissions'!$AC:$AC,MATCH(D135,'Hotel Emissions'!$C:$C,0)),INDEX('Hotel Emissions'!$X:$X,MATCH(D135,'Hotel Emissions'!$C:$C,0)))</f>
        <v>81.787795373044702</v>
      </c>
      <c r="H135" s="64">
        <f>IF(INDEX('Hotel Emissions'!AG:$AG,MATCH(D135,'Hotel Emissions'!$C:$C,0))="",INDEX('Hotel Emissions'!$AL:$AL,MATCH(D135,'Hotel Emissions'!$C:$C,0)),INDEX('Hotel Emissions'!$AG:$AG,MATCH(D135,'Hotel Emissions'!$C:$C,0)))</f>
        <v>105.55113658157052</v>
      </c>
      <c r="L135" s="31" t="s">
        <v>166</v>
      </c>
      <c r="M135" s="31" t="s">
        <v>79</v>
      </c>
    </row>
    <row r="136" spans="1:13" x14ac:dyDescent="0.65">
      <c r="A136" s="32"/>
      <c r="B136" s="32" t="s">
        <v>123</v>
      </c>
      <c r="C136" s="32" t="s">
        <v>495</v>
      </c>
      <c r="D136" s="32" t="str">
        <f t="shared" si="2"/>
        <v>Morocco</v>
      </c>
      <c r="E136" s="64">
        <f>INDEX('Hotel Emissions'!$G:$G,MATCH(D136,'Hotel Emissions'!$C:$C,0))</f>
        <v>64.786712103740001</v>
      </c>
      <c r="F136" s="64">
        <f>IF(INDEX('Hotel Emissions'!$O:$O,MATCH(D136,'Hotel Emissions'!$C:$C,0))="",INDEX('Hotel Emissions'!$T:$T,MATCH(D136,'Hotel Emissions'!$C:$C,0)),INDEX('Hotel Emissions'!$O:$O,MATCH(D136,'Hotel Emissions'!$C:$C,0)))</f>
        <v>22.421330805272362</v>
      </c>
      <c r="G136" s="64">
        <f>IF(INDEX('Hotel Emissions'!$X:$X,MATCH(D136,'Hotel Emissions'!$C:$C,0))="",INDEX('Hotel Emissions'!$AC:$AC,MATCH(D136,'Hotel Emissions'!$C:$C,0)),INDEX('Hotel Emissions'!$X:$X,MATCH(D136,'Hotel Emissions'!$C:$C,0)))</f>
        <v>81.787795373044702</v>
      </c>
      <c r="H136" s="64">
        <f>IF(INDEX('Hotel Emissions'!AG:$AG,MATCH(D136,'Hotel Emissions'!$C:$C,0))="",INDEX('Hotel Emissions'!$AL:$AL,MATCH(D136,'Hotel Emissions'!$C:$C,0)),INDEX('Hotel Emissions'!$AG:$AG,MATCH(D136,'Hotel Emissions'!$C:$C,0)))</f>
        <v>105.55113658157052</v>
      </c>
      <c r="L136" s="31" t="s">
        <v>167</v>
      </c>
      <c r="M136" s="31" t="s">
        <v>114</v>
      </c>
    </row>
    <row r="137" spans="1:13" x14ac:dyDescent="0.65">
      <c r="A137" s="32"/>
      <c r="B137" s="32" t="s">
        <v>124</v>
      </c>
      <c r="C137" s="32" t="s">
        <v>496</v>
      </c>
      <c r="D137" s="32" t="str">
        <f t="shared" si="2"/>
        <v>Korea</v>
      </c>
      <c r="E137" s="64">
        <f>INDEX('Hotel Emissions'!$G:$G,MATCH(D137,'Hotel Emissions'!$C:$C,0))</f>
        <v>74.301854031669805</v>
      </c>
      <c r="F137" s="64">
        <f>IF(INDEX('Hotel Emissions'!$O:$O,MATCH(D137,'Hotel Emissions'!$C:$C,0))="",INDEX('Hotel Emissions'!$T:$T,MATCH(D137,'Hotel Emissions'!$C:$C,0)),INDEX('Hotel Emissions'!$O:$O,MATCH(D137,'Hotel Emissions'!$C:$C,0)))</f>
        <v>30.58101935297476</v>
      </c>
      <c r="G137" s="64">
        <f>IF(INDEX('Hotel Emissions'!$X:$X,MATCH(D137,'Hotel Emissions'!$C:$C,0))="",INDEX('Hotel Emissions'!$AC:$AC,MATCH(D137,'Hotel Emissions'!$C:$C,0)),INDEX('Hotel Emissions'!$X:$X,MATCH(D137,'Hotel Emissions'!$C:$C,0)))</f>
        <v>70.992477051243014</v>
      </c>
      <c r="H137" s="64">
        <f>IF(INDEX('Hotel Emissions'!AG:$AG,MATCH(D137,'Hotel Emissions'!$C:$C,0))="",INDEX('Hotel Emissions'!$AL:$AL,MATCH(D137,'Hotel Emissions'!$C:$C,0)),INDEX('Hotel Emissions'!$AG:$AG,MATCH(D137,'Hotel Emissions'!$C:$C,0)))</f>
        <v>118.87969300459788</v>
      </c>
      <c r="L137" s="31" t="s">
        <v>168</v>
      </c>
      <c r="M137" s="31" t="s">
        <v>50</v>
      </c>
    </row>
    <row r="138" spans="1:13" x14ac:dyDescent="0.65">
      <c r="A138" s="32"/>
      <c r="B138" s="32" t="s">
        <v>125</v>
      </c>
      <c r="C138" s="32" t="s">
        <v>497</v>
      </c>
      <c r="D138" s="32" t="str">
        <f t="shared" si="2"/>
        <v>Romania</v>
      </c>
      <c r="E138" s="64">
        <f>INDEX('Hotel Emissions'!$G:$G,MATCH(D138,'Hotel Emissions'!$C:$C,0))</f>
        <v>23.759309432044105</v>
      </c>
      <c r="F138" s="64">
        <f>IF(INDEX('Hotel Emissions'!$O:$O,MATCH(D138,'Hotel Emissions'!$C:$C,0))="",INDEX('Hotel Emissions'!$T:$T,MATCH(D138,'Hotel Emissions'!$C:$C,0)),INDEX('Hotel Emissions'!$O:$O,MATCH(D138,'Hotel Emissions'!$C:$C,0)))</f>
        <v>16.910410780975194</v>
      </c>
      <c r="G138" s="64">
        <f>IF(INDEX('Hotel Emissions'!$X:$X,MATCH(D138,'Hotel Emissions'!$C:$C,0))="",INDEX('Hotel Emissions'!$AC:$AC,MATCH(D138,'Hotel Emissions'!$C:$C,0)),INDEX('Hotel Emissions'!$X:$X,MATCH(D138,'Hotel Emissions'!$C:$C,0)))</f>
        <v>41.238180878421765</v>
      </c>
      <c r="H138" s="64">
        <f>IF(INDEX('Hotel Emissions'!AG:$AG,MATCH(D138,'Hotel Emissions'!$C:$C,0))="",INDEX('Hotel Emissions'!$AL:$AL,MATCH(D138,'Hotel Emissions'!$C:$C,0)),INDEX('Hotel Emissions'!$AG:$AG,MATCH(D138,'Hotel Emissions'!$C:$C,0)))</f>
        <v>94.792983435676007</v>
      </c>
      <c r="L138" s="31" t="s">
        <v>171</v>
      </c>
      <c r="M138" s="31" t="s">
        <v>88</v>
      </c>
    </row>
    <row r="139" spans="1:13" x14ac:dyDescent="0.65">
      <c r="A139" s="32"/>
      <c r="B139" s="32" t="s">
        <v>126</v>
      </c>
      <c r="C139" s="32" t="s">
        <v>498</v>
      </c>
      <c r="D139" s="32" t="str">
        <f t="shared" si="2"/>
        <v>Germany</v>
      </c>
      <c r="E139" s="64">
        <f>INDEX('Hotel Emissions'!$G:$G,MATCH(D139,'Hotel Emissions'!$C:$C,0))</f>
        <v>17.719702319351065</v>
      </c>
      <c r="F139" s="64">
        <f>IF(INDEX('Hotel Emissions'!$O:$O,MATCH(D139,'Hotel Emissions'!$C:$C,0))="",INDEX('Hotel Emissions'!$T:$T,MATCH(D139,'Hotel Emissions'!$C:$C,0)),INDEX('Hotel Emissions'!$O:$O,MATCH(D139,'Hotel Emissions'!$C:$C,0)))</f>
        <v>12.883417456204036</v>
      </c>
      <c r="G139" s="64">
        <f>IF(INDEX('Hotel Emissions'!$X:$X,MATCH(D139,'Hotel Emissions'!$C:$C,0))="",INDEX('Hotel Emissions'!$AC:$AC,MATCH(D139,'Hotel Emissions'!$C:$C,0)),INDEX('Hotel Emissions'!$X:$X,MATCH(D139,'Hotel Emissions'!$C:$C,0)))</f>
        <v>23.02905018770592</v>
      </c>
      <c r="H139" s="64">
        <f>IF(INDEX('Hotel Emissions'!AG:$AG,MATCH(D139,'Hotel Emissions'!$C:$C,0))="",INDEX('Hotel Emissions'!$AL:$AL,MATCH(D139,'Hotel Emissions'!$C:$C,0)),INDEX('Hotel Emissions'!$AG:$AG,MATCH(D139,'Hotel Emissions'!$C:$C,0)))</f>
        <v>46.341049687331989</v>
      </c>
      <c r="L139" s="31" t="s">
        <v>172</v>
      </c>
      <c r="M139" s="31" t="s">
        <v>152</v>
      </c>
    </row>
    <row r="140" spans="1:13" x14ac:dyDescent="0.65">
      <c r="A140" s="32"/>
      <c r="B140" s="32" t="s">
        <v>127</v>
      </c>
      <c r="C140" s="32" t="s">
        <v>540</v>
      </c>
      <c r="D140" s="32" t="str">
        <f t="shared" si="2"/>
        <v>Oman</v>
      </c>
      <c r="E140" s="64">
        <f>INDEX('Hotel Emissions'!$G:$G,MATCH(D140,'Hotel Emissions'!$C:$C,0))</f>
        <v>68.801301202559458</v>
      </c>
      <c r="F140" s="64">
        <f>IF(INDEX('Hotel Emissions'!$O:$O,MATCH(D140,'Hotel Emissions'!$C:$C,0))="",INDEX('Hotel Emissions'!$T:$T,MATCH(D140,'Hotel Emissions'!$C:$C,0)),INDEX('Hotel Emissions'!$O:$O,MATCH(D140,'Hotel Emissions'!$C:$C,0)))</f>
        <v>16.910410780975194</v>
      </c>
      <c r="G140" s="64">
        <f>IF(INDEX('Hotel Emissions'!$X:$X,MATCH(D140,'Hotel Emissions'!$C:$C,0))="",INDEX('Hotel Emissions'!$AC:$AC,MATCH(D140,'Hotel Emissions'!$C:$C,0)),INDEX('Hotel Emissions'!$X:$X,MATCH(D140,'Hotel Emissions'!$C:$C,0)))</f>
        <v>68.147533352347992</v>
      </c>
      <c r="H140" s="64">
        <f>IF(INDEX('Hotel Emissions'!AG:$AG,MATCH(D140,'Hotel Emissions'!$C:$C,0))="",INDEX('Hotel Emissions'!$AL:$AL,MATCH(D140,'Hotel Emissions'!$C:$C,0)),INDEX('Hotel Emissions'!$AG:$AG,MATCH(D140,'Hotel Emissions'!$C:$C,0)))</f>
        <v>94.792983435676007</v>
      </c>
      <c r="L140" s="31" t="s">
        <v>173</v>
      </c>
      <c r="M140" s="31" t="s">
        <v>133</v>
      </c>
    </row>
    <row r="141" spans="1:13" x14ac:dyDescent="0.65">
      <c r="A141" s="32"/>
      <c r="B141" s="32" t="s">
        <v>128</v>
      </c>
      <c r="C141" s="32" t="s">
        <v>557</v>
      </c>
      <c r="D141" s="32" t="str">
        <f t="shared" si="2"/>
        <v>India</v>
      </c>
      <c r="E141" s="64">
        <f>INDEX('Hotel Emissions'!$G:$G,MATCH(D141,'Hotel Emissions'!$C:$C,0))</f>
        <v>60.039227102791394</v>
      </c>
      <c r="F141" s="64">
        <f>IF(INDEX('Hotel Emissions'!$O:$O,MATCH(D141,'Hotel Emissions'!$C:$C,0))="",INDEX('Hotel Emissions'!$T:$T,MATCH(D141,'Hotel Emissions'!$C:$C,0)),INDEX('Hotel Emissions'!$O:$O,MATCH(D141,'Hotel Emissions'!$C:$C,0)))</f>
        <v>44.760847828132114</v>
      </c>
      <c r="G141" s="64">
        <f>IF(INDEX('Hotel Emissions'!$X:$X,MATCH(D141,'Hotel Emissions'!$C:$C,0))="",INDEX('Hotel Emissions'!$AC:$AC,MATCH(D141,'Hotel Emissions'!$C:$C,0)),INDEX('Hotel Emissions'!$X:$X,MATCH(D141,'Hotel Emissions'!$C:$C,0)))</f>
        <v>64.625315927390787</v>
      </c>
      <c r="H141" s="64">
        <f>IF(INDEX('Hotel Emissions'!AG:$AG,MATCH(D141,'Hotel Emissions'!$C:$C,0))="",INDEX('Hotel Emissions'!$AL:$AL,MATCH(D141,'Hotel Emissions'!$C:$C,0)),INDEX('Hotel Emissions'!$AG:$AG,MATCH(D141,'Hotel Emissions'!$C:$C,0)))</f>
        <v>87.695610816492447</v>
      </c>
      <c r="L141" s="31" t="s">
        <v>178</v>
      </c>
      <c r="M141" s="31" t="s">
        <v>88</v>
      </c>
    </row>
    <row r="142" spans="1:13" x14ac:dyDescent="0.65">
      <c r="A142" s="32"/>
      <c r="B142" s="32" t="s">
        <v>128</v>
      </c>
      <c r="C142" s="32" t="s">
        <v>499</v>
      </c>
      <c r="D142" s="32" t="str">
        <f t="shared" si="2"/>
        <v>India</v>
      </c>
      <c r="E142" s="64">
        <f>INDEX('Hotel Emissions'!$G:$G,MATCH(D142,'Hotel Emissions'!$C:$C,0))</f>
        <v>60.039227102791394</v>
      </c>
      <c r="F142" s="64">
        <f>IF(INDEX('Hotel Emissions'!$O:$O,MATCH(D142,'Hotel Emissions'!$C:$C,0))="",INDEX('Hotel Emissions'!$T:$T,MATCH(D142,'Hotel Emissions'!$C:$C,0)),INDEX('Hotel Emissions'!$O:$O,MATCH(D142,'Hotel Emissions'!$C:$C,0)))</f>
        <v>44.760847828132114</v>
      </c>
      <c r="G142" s="64">
        <f>IF(INDEX('Hotel Emissions'!$X:$X,MATCH(D142,'Hotel Emissions'!$C:$C,0))="",INDEX('Hotel Emissions'!$AC:$AC,MATCH(D142,'Hotel Emissions'!$C:$C,0)),INDEX('Hotel Emissions'!$X:$X,MATCH(D142,'Hotel Emissions'!$C:$C,0)))</f>
        <v>64.625315927390787</v>
      </c>
      <c r="H142" s="64">
        <f>IF(INDEX('Hotel Emissions'!AG:$AG,MATCH(D142,'Hotel Emissions'!$C:$C,0))="",INDEX('Hotel Emissions'!$AL:$AL,MATCH(D142,'Hotel Emissions'!$C:$C,0)),INDEX('Hotel Emissions'!$AG:$AG,MATCH(D142,'Hotel Emissions'!$C:$C,0)))</f>
        <v>87.695610816492447</v>
      </c>
      <c r="L142" s="31" t="s">
        <v>179</v>
      </c>
      <c r="M142" s="31" t="s">
        <v>39</v>
      </c>
    </row>
    <row r="143" spans="1:13" x14ac:dyDescent="0.65">
      <c r="A143" s="32"/>
      <c r="B143" s="32" t="s">
        <v>129</v>
      </c>
      <c r="C143" s="32" t="s">
        <v>129</v>
      </c>
      <c r="D143" s="32" t="str">
        <f t="shared" si="2"/>
        <v>Panama</v>
      </c>
      <c r="E143" s="64">
        <f>INDEX('Hotel Emissions'!$G:$G,MATCH(D143,'Hotel Emissions'!$C:$C,0))</f>
        <v>43.959545187472443</v>
      </c>
      <c r="F143" s="64">
        <f>IF(INDEX('Hotel Emissions'!$O:$O,MATCH(D143,'Hotel Emissions'!$C:$C,0))="",INDEX('Hotel Emissions'!$T:$T,MATCH(D143,'Hotel Emissions'!$C:$C,0)),INDEX('Hotel Emissions'!$O:$O,MATCH(D143,'Hotel Emissions'!$C:$C,0)))</f>
        <v>16.910410780975194</v>
      </c>
      <c r="G143" s="64">
        <f>IF(INDEX('Hotel Emissions'!$X:$X,MATCH(D143,'Hotel Emissions'!$C:$C,0))="",INDEX('Hotel Emissions'!$AC:$AC,MATCH(D143,'Hotel Emissions'!$C:$C,0)),INDEX('Hotel Emissions'!$X:$X,MATCH(D143,'Hotel Emissions'!$C:$C,0)))</f>
        <v>53.991589617061287</v>
      </c>
      <c r="H143" s="64">
        <f>IF(INDEX('Hotel Emissions'!AG:$AG,MATCH(D143,'Hotel Emissions'!$C:$C,0))="",INDEX('Hotel Emissions'!$AL:$AL,MATCH(D143,'Hotel Emissions'!$C:$C,0)),INDEX('Hotel Emissions'!$AG:$AG,MATCH(D143,'Hotel Emissions'!$C:$C,0)))</f>
        <v>94.792983435676007</v>
      </c>
      <c r="L143" s="31" t="s">
        <v>181</v>
      </c>
      <c r="M143" s="31" t="s">
        <v>144</v>
      </c>
    </row>
    <row r="144" spans="1:13" x14ac:dyDescent="0.65">
      <c r="A144" s="32"/>
      <c r="B144" s="32" t="s">
        <v>130</v>
      </c>
      <c r="C144" s="32" t="s">
        <v>541</v>
      </c>
      <c r="D144" s="32" t="str">
        <f t="shared" si="2"/>
        <v>Argentina</v>
      </c>
      <c r="E144" s="64">
        <f>INDEX('Hotel Emissions'!$G:$G,MATCH(D144,'Hotel Emissions'!$C:$C,0))</f>
        <v>47.241980003419165</v>
      </c>
      <c r="F144" s="64">
        <f>IF(INDEX('Hotel Emissions'!$O:$O,MATCH(D144,'Hotel Emissions'!$C:$C,0))="",INDEX('Hotel Emissions'!$T:$T,MATCH(D144,'Hotel Emissions'!$C:$C,0)),INDEX('Hotel Emissions'!$O:$O,MATCH(D144,'Hotel Emissions'!$C:$C,0)))</f>
        <v>18.034723158578732</v>
      </c>
      <c r="G144" s="64">
        <f>IF(INDEX('Hotel Emissions'!$X:$X,MATCH(D144,'Hotel Emissions'!$C:$C,0))="",INDEX('Hotel Emissions'!$AC:$AC,MATCH(D144,'Hotel Emissions'!$C:$C,0)),INDEX('Hotel Emissions'!$X:$X,MATCH(D144,'Hotel Emissions'!$C:$C,0)))</f>
        <v>45.499477255356972</v>
      </c>
      <c r="H144" s="64">
        <f>IF(INDEX('Hotel Emissions'!AG:$AG,MATCH(D144,'Hotel Emissions'!$C:$C,0))="",INDEX('Hotel Emissions'!$AL:$AL,MATCH(D144,'Hotel Emissions'!$C:$C,0)),INDEX('Hotel Emissions'!$AG:$AG,MATCH(D144,'Hotel Emissions'!$C:$C,0)))</f>
        <v>94.792983435676007</v>
      </c>
      <c r="L144" s="31" t="s">
        <v>182</v>
      </c>
      <c r="M144" s="31" t="s">
        <v>152</v>
      </c>
    </row>
    <row r="145" spans="1:13" x14ac:dyDescent="0.65">
      <c r="A145" s="32"/>
      <c r="B145" s="32" t="s">
        <v>131</v>
      </c>
      <c r="C145" s="32" t="s">
        <v>313</v>
      </c>
      <c r="D145" s="32" t="str">
        <f t="shared" si="2"/>
        <v>Peru</v>
      </c>
      <c r="E145" s="64">
        <f>INDEX('Hotel Emissions'!$G:$G,MATCH(D145,'Hotel Emissions'!$C:$C,0))</f>
        <v>18.53500263652829</v>
      </c>
      <c r="F145" s="64">
        <f>IF(INDEX('Hotel Emissions'!$O:$O,MATCH(D145,'Hotel Emissions'!$C:$C,0))="",INDEX('Hotel Emissions'!$T:$T,MATCH(D145,'Hotel Emissions'!$C:$C,0)),INDEX('Hotel Emissions'!$O:$O,MATCH(D145,'Hotel Emissions'!$C:$C,0)))</f>
        <v>10.068740964366617</v>
      </c>
      <c r="G145" s="64">
        <f>IF(INDEX('Hotel Emissions'!$X:$X,MATCH(D145,'Hotel Emissions'!$C:$C,0))="",INDEX('Hotel Emissions'!$AC:$AC,MATCH(D145,'Hotel Emissions'!$C:$C,0)),INDEX('Hotel Emissions'!$X:$X,MATCH(D145,'Hotel Emissions'!$C:$C,0)))</f>
        <v>41.238180878421765</v>
      </c>
      <c r="H145" s="64">
        <f>IF(INDEX('Hotel Emissions'!AG:$AG,MATCH(D145,'Hotel Emissions'!$C:$C,0))="",INDEX('Hotel Emissions'!$AL:$AL,MATCH(D145,'Hotel Emissions'!$C:$C,0)),INDEX('Hotel Emissions'!$AG:$AG,MATCH(D145,'Hotel Emissions'!$C:$C,0)))</f>
        <v>42.013859320286336</v>
      </c>
      <c r="L145" s="31" t="s">
        <v>183</v>
      </c>
      <c r="M145" s="31" t="s">
        <v>152</v>
      </c>
    </row>
    <row r="146" spans="1:13" x14ac:dyDescent="0.65">
      <c r="A146" s="32"/>
      <c r="B146" s="32" t="s">
        <v>132</v>
      </c>
      <c r="C146" s="32" t="s">
        <v>318</v>
      </c>
      <c r="D146" s="32" t="str">
        <f t="shared" si="2"/>
        <v>Philippines</v>
      </c>
      <c r="E146" s="64">
        <f>INDEX('Hotel Emissions'!$G:$G,MATCH(D146,'Hotel Emissions'!$C:$C,0))</f>
        <v>66.883172369839244</v>
      </c>
      <c r="F146" s="64">
        <f>IF(INDEX('Hotel Emissions'!$O:$O,MATCH(D146,'Hotel Emissions'!$C:$C,0))="",INDEX('Hotel Emissions'!$T:$T,MATCH(D146,'Hotel Emissions'!$C:$C,0)),INDEX('Hotel Emissions'!$O:$O,MATCH(D146,'Hotel Emissions'!$C:$C,0)))</f>
        <v>16.910410780975194</v>
      </c>
      <c r="G146" s="64">
        <f>IF(INDEX('Hotel Emissions'!$X:$X,MATCH(D146,'Hotel Emissions'!$C:$C,0))="",INDEX('Hotel Emissions'!$AC:$AC,MATCH(D146,'Hotel Emissions'!$C:$C,0)),INDEX('Hotel Emissions'!$X:$X,MATCH(D146,'Hotel Emissions'!$C:$C,0)))</f>
        <v>53.779383418940867</v>
      </c>
      <c r="H146" s="64">
        <f>IF(INDEX('Hotel Emissions'!AG:$AG,MATCH(D146,'Hotel Emissions'!$C:$C,0))="",INDEX('Hotel Emissions'!$AL:$AL,MATCH(D146,'Hotel Emissions'!$C:$C,0)),INDEX('Hotel Emissions'!$AG:$AG,MATCH(D146,'Hotel Emissions'!$C:$C,0)))</f>
        <v>104.52855828480675</v>
      </c>
      <c r="L146" s="31" t="s">
        <v>60</v>
      </c>
      <c r="M146" s="31" t="s">
        <v>65</v>
      </c>
    </row>
    <row r="147" spans="1:13" x14ac:dyDescent="0.65">
      <c r="A147" s="32"/>
      <c r="B147" s="32" t="s">
        <v>133</v>
      </c>
      <c r="C147" s="32" t="s">
        <v>336</v>
      </c>
      <c r="D147" s="32" t="str">
        <f t="shared" si="2"/>
        <v>Poland</v>
      </c>
      <c r="E147" s="64">
        <f>INDEX('Hotel Emissions'!$G:$G,MATCH(D147,'Hotel Emissions'!$C:$C,0))</f>
        <v>37.616564741588029</v>
      </c>
      <c r="F147" s="64">
        <f>IF(INDEX('Hotel Emissions'!$O:$O,MATCH(D147,'Hotel Emissions'!$C:$C,0))="",INDEX('Hotel Emissions'!$T:$T,MATCH(D147,'Hotel Emissions'!$C:$C,0)),INDEX('Hotel Emissions'!$O:$O,MATCH(D147,'Hotel Emissions'!$C:$C,0)))</f>
        <v>26.102263630661465</v>
      </c>
      <c r="G147" s="64">
        <f>IF(INDEX('Hotel Emissions'!$X:$X,MATCH(D147,'Hotel Emissions'!$C:$C,0))="",INDEX('Hotel Emissions'!$AC:$AC,MATCH(D147,'Hotel Emissions'!$C:$C,0)),INDEX('Hotel Emissions'!$X:$X,MATCH(D147,'Hotel Emissions'!$C:$C,0)))</f>
        <v>38.117914630559298</v>
      </c>
      <c r="H147" s="64">
        <f>IF(INDEX('Hotel Emissions'!AG:$AG,MATCH(D147,'Hotel Emissions'!$C:$C,0))="",INDEX('Hotel Emissions'!$AL:$AL,MATCH(D147,'Hotel Emissions'!$C:$C,0)),INDEX('Hotel Emissions'!$AG:$AG,MATCH(D147,'Hotel Emissions'!$C:$C,0)))</f>
        <v>75.497386001437874</v>
      </c>
      <c r="L147" s="31" t="s">
        <v>83</v>
      </c>
      <c r="M147" s="31" t="s">
        <v>87</v>
      </c>
    </row>
    <row r="148" spans="1:13" x14ac:dyDescent="0.65">
      <c r="A148" s="32"/>
      <c r="B148" s="32" t="s">
        <v>134</v>
      </c>
      <c r="C148" s="32" t="s">
        <v>314</v>
      </c>
      <c r="D148" s="32" t="str">
        <f t="shared" si="2"/>
        <v>Portugal</v>
      </c>
      <c r="E148" s="64">
        <f>INDEX('Hotel Emissions'!$G:$G,MATCH(D148,'Hotel Emissions'!$C:$C,0))</f>
        <v>22.827199705602695</v>
      </c>
      <c r="F148" s="64">
        <f>IF(INDEX('Hotel Emissions'!$O:$O,MATCH(D148,'Hotel Emissions'!$C:$C,0))="",INDEX('Hotel Emissions'!$T:$T,MATCH(D148,'Hotel Emissions'!$C:$C,0)),INDEX('Hotel Emissions'!$O:$O,MATCH(D148,'Hotel Emissions'!$C:$C,0)))</f>
        <v>11.509951176962211</v>
      </c>
      <c r="G148" s="64">
        <f>IF(INDEX('Hotel Emissions'!$X:$X,MATCH(D148,'Hotel Emissions'!$C:$C,0))="",INDEX('Hotel Emissions'!$AC:$AC,MATCH(D148,'Hotel Emissions'!$C:$C,0)),INDEX('Hotel Emissions'!$X:$X,MATCH(D148,'Hotel Emissions'!$C:$C,0)))</f>
        <v>25.954488706005392</v>
      </c>
      <c r="H148" s="64">
        <f>IF(INDEX('Hotel Emissions'!AG:$AG,MATCH(D148,'Hotel Emissions'!$C:$C,0))="",INDEX('Hotel Emissions'!$AL:$AL,MATCH(D148,'Hotel Emissions'!$C:$C,0)),INDEX('Hotel Emissions'!$AG:$AG,MATCH(D148,'Hotel Emissions'!$C:$C,0)))</f>
        <v>94.792983435676007</v>
      </c>
      <c r="L148" s="31" t="s">
        <v>90</v>
      </c>
      <c r="M148" s="31" t="s">
        <v>144</v>
      </c>
    </row>
    <row r="149" spans="1:13" x14ac:dyDescent="0.65">
      <c r="A149" s="32"/>
      <c r="B149" s="32" t="s">
        <v>135</v>
      </c>
      <c r="C149" s="32" t="s">
        <v>305</v>
      </c>
      <c r="D149" s="32" t="str">
        <f t="shared" si="2"/>
        <v>Qatar</v>
      </c>
      <c r="E149" s="64">
        <f>INDEX('Hotel Emissions'!$G:$G,MATCH(D149,'Hotel Emissions'!$C:$C,0))</f>
        <v>83.331856042620046</v>
      </c>
      <c r="F149" s="64">
        <f>IF(INDEX('Hotel Emissions'!$O:$O,MATCH(D149,'Hotel Emissions'!$C:$C,0))="",INDEX('Hotel Emissions'!$T:$T,MATCH(D149,'Hotel Emissions'!$C:$C,0)),INDEX('Hotel Emissions'!$O:$O,MATCH(D149,'Hotel Emissions'!$C:$C,0)))</f>
        <v>16.910410780975194</v>
      </c>
      <c r="G149" s="64">
        <f>IF(INDEX('Hotel Emissions'!$X:$X,MATCH(D149,'Hotel Emissions'!$C:$C,0))="",INDEX('Hotel Emissions'!$AC:$AC,MATCH(D149,'Hotel Emissions'!$C:$C,0)),INDEX('Hotel Emissions'!$X:$X,MATCH(D149,'Hotel Emissions'!$C:$C,0)))</f>
        <v>48.329537641096962</v>
      </c>
      <c r="H149" s="64">
        <f>IF(INDEX('Hotel Emissions'!AG:$AG,MATCH(D149,'Hotel Emissions'!$C:$C,0))="",INDEX('Hotel Emissions'!$AL:$AL,MATCH(D149,'Hotel Emissions'!$C:$C,0)),INDEX('Hotel Emissions'!$AG:$AG,MATCH(D149,'Hotel Emissions'!$C:$C,0)))</f>
        <v>110.29362568739614</v>
      </c>
      <c r="L149" s="31" t="s">
        <v>104</v>
      </c>
      <c r="M149" s="31" t="s">
        <v>78</v>
      </c>
    </row>
    <row r="150" spans="1:13" x14ac:dyDescent="0.65">
      <c r="A150" s="32"/>
      <c r="B150" s="32" t="s">
        <v>136</v>
      </c>
      <c r="C150" s="32" t="s">
        <v>302</v>
      </c>
      <c r="D150" s="32" t="str">
        <f t="shared" si="2"/>
        <v>Romania</v>
      </c>
      <c r="E150" s="64">
        <f>INDEX('Hotel Emissions'!$G:$G,MATCH(D150,'Hotel Emissions'!$C:$C,0))</f>
        <v>23.759309432044105</v>
      </c>
      <c r="F150" s="64">
        <f>IF(INDEX('Hotel Emissions'!$O:$O,MATCH(D150,'Hotel Emissions'!$C:$C,0))="",INDEX('Hotel Emissions'!$T:$T,MATCH(D150,'Hotel Emissions'!$C:$C,0)),INDEX('Hotel Emissions'!$O:$O,MATCH(D150,'Hotel Emissions'!$C:$C,0)))</f>
        <v>16.910410780975194</v>
      </c>
      <c r="G150" s="64">
        <f>IF(INDEX('Hotel Emissions'!$X:$X,MATCH(D150,'Hotel Emissions'!$C:$C,0))="",INDEX('Hotel Emissions'!$AC:$AC,MATCH(D150,'Hotel Emissions'!$C:$C,0)),INDEX('Hotel Emissions'!$X:$X,MATCH(D150,'Hotel Emissions'!$C:$C,0)))</f>
        <v>41.238180878421765</v>
      </c>
      <c r="H150" s="64">
        <f>IF(INDEX('Hotel Emissions'!AG:$AG,MATCH(D150,'Hotel Emissions'!$C:$C,0))="",INDEX('Hotel Emissions'!$AL:$AL,MATCH(D150,'Hotel Emissions'!$C:$C,0)),INDEX('Hotel Emissions'!$AG:$AG,MATCH(D150,'Hotel Emissions'!$C:$C,0)))</f>
        <v>94.792983435676007</v>
      </c>
    </row>
    <row r="151" spans="1:13" x14ac:dyDescent="0.65">
      <c r="A151" s="32"/>
      <c r="B151" s="32" t="s">
        <v>137</v>
      </c>
      <c r="C151" s="32" t="s">
        <v>321</v>
      </c>
      <c r="D151" s="32" t="str">
        <f t="shared" si="2"/>
        <v>Russian Federation</v>
      </c>
      <c r="E151" s="64">
        <f>INDEX('Hotel Emissions'!$G:$G,MATCH(D151,'Hotel Emissions'!$C:$C,0))</f>
        <v>52.189753165951878</v>
      </c>
      <c r="F151" s="64">
        <f>IF(INDEX('Hotel Emissions'!$O:$O,MATCH(D151,'Hotel Emissions'!$C:$C,0))="",INDEX('Hotel Emissions'!$T:$T,MATCH(D151,'Hotel Emissions'!$C:$C,0)),INDEX('Hotel Emissions'!$O:$O,MATCH(D151,'Hotel Emissions'!$C:$C,0)))</f>
        <v>13.430119793810729</v>
      </c>
      <c r="G151" s="64">
        <f>IF(INDEX('Hotel Emissions'!$X:$X,MATCH(D151,'Hotel Emissions'!$C:$C,0))="",INDEX('Hotel Emissions'!$AC:$AC,MATCH(D151,'Hotel Emissions'!$C:$C,0)),INDEX('Hotel Emissions'!$X:$X,MATCH(D151,'Hotel Emissions'!$C:$C,0)))</f>
        <v>74.966706282452108</v>
      </c>
      <c r="H151" s="64">
        <f>IF(INDEX('Hotel Emissions'!AG:$AG,MATCH(D151,'Hotel Emissions'!$C:$C,0))="",INDEX('Hotel Emissions'!$AL:$AL,MATCH(D151,'Hotel Emissions'!$C:$C,0)),INDEX('Hotel Emissions'!$AG:$AG,MATCH(D151,'Hotel Emissions'!$C:$C,0)))</f>
        <v>60.290135118556876</v>
      </c>
    </row>
    <row r="152" spans="1:13" x14ac:dyDescent="0.65">
      <c r="A152" s="32"/>
      <c r="B152" s="32" t="s">
        <v>138</v>
      </c>
      <c r="C152" s="32" t="s">
        <v>500</v>
      </c>
      <c r="D152" s="32" t="str">
        <f t="shared" si="2"/>
        <v>South Africa</v>
      </c>
      <c r="E152" s="64">
        <f>INDEX('Hotel Emissions'!$G:$G,MATCH(D152,'Hotel Emissions'!$C:$C,0))</f>
        <v>103.55037750960224</v>
      </c>
      <c r="F152" s="64">
        <f>IF(INDEX('Hotel Emissions'!$O:$O,MATCH(D152,'Hotel Emissions'!$C:$C,0))="",INDEX('Hotel Emissions'!$T:$T,MATCH(D152,'Hotel Emissions'!$C:$C,0)),INDEX('Hotel Emissions'!$O:$O,MATCH(D152,'Hotel Emissions'!$C:$C,0)))</f>
        <v>16.910410780975194</v>
      </c>
      <c r="G152" s="64">
        <f>IF(INDEX('Hotel Emissions'!$X:$X,MATCH(D152,'Hotel Emissions'!$C:$C,0))="",INDEX('Hotel Emissions'!$AC:$AC,MATCH(D152,'Hotel Emissions'!$C:$C,0)),INDEX('Hotel Emissions'!$X:$X,MATCH(D152,'Hotel Emissions'!$C:$C,0)))</f>
        <v>66.543957384996915</v>
      </c>
      <c r="H152" s="64">
        <f>IF(INDEX('Hotel Emissions'!AG:$AG,MATCH(D152,'Hotel Emissions'!$C:$C,0))="",INDEX('Hotel Emissions'!$AL:$AL,MATCH(D152,'Hotel Emissions'!$C:$C,0)),INDEX('Hotel Emissions'!$AG:$AG,MATCH(D152,'Hotel Emissions'!$C:$C,0)))</f>
        <v>94.792983435676007</v>
      </c>
    </row>
    <row r="153" spans="1:13" x14ac:dyDescent="0.65">
      <c r="A153" s="32"/>
      <c r="B153" s="32" t="s">
        <v>139</v>
      </c>
      <c r="C153" s="32" t="s">
        <v>501</v>
      </c>
      <c r="D153" s="32" t="str">
        <f t="shared" si="2"/>
        <v>Dominican Republic</v>
      </c>
      <c r="E153" s="64">
        <f>INDEX('Hotel Emissions'!$G:$G,MATCH(D153,'Hotel Emissions'!$C:$C,0))</f>
        <v>49.703220941619364</v>
      </c>
      <c r="F153" s="64">
        <f>IF(INDEX('Hotel Emissions'!$O:$O,MATCH(D153,'Hotel Emissions'!$C:$C,0))="",INDEX('Hotel Emissions'!$T:$T,MATCH(D153,'Hotel Emissions'!$C:$C,0)),INDEX('Hotel Emissions'!$O:$O,MATCH(D153,'Hotel Emissions'!$C:$C,0)))</f>
        <v>16.910410780975194</v>
      </c>
      <c r="G153" s="64">
        <f>IF(INDEX('Hotel Emissions'!$X:$X,MATCH(D153,'Hotel Emissions'!$C:$C,0))="",INDEX('Hotel Emissions'!$AC:$AC,MATCH(D153,'Hotel Emissions'!$C:$C,0)),INDEX('Hotel Emissions'!$X:$X,MATCH(D153,'Hotel Emissions'!$C:$C,0)))</f>
        <v>41.238180878421765</v>
      </c>
      <c r="H153" s="64">
        <f>IF(INDEX('Hotel Emissions'!AG:$AG,MATCH(D153,'Hotel Emissions'!$C:$C,0))="",INDEX('Hotel Emissions'!$AL:$AL,MATCH(D153,'Hotel Emissions'!$C:$C,0)),INDEX('Hotel Emissions'!$AG:$AG,MATCH(D153,'Hotel Emissions'!$C:$C,0)))</f>
        <v>94.792983435676007</v>
      </c>
    </row>
    <row r="154" spans="1:13" x14ac:dyDescent="0.65">
      <c r="A154" s="32"/>
      <c r="B154" s="32" t="s">
        <v>140</v>
      </c>
      <c r="C154" s="32" t="s">
        <v>502</v>
      </c>
      <c r="D154" s="32" t="str">
        <f t="shared" si="2"/>
        <v>Dominican Republic</v>
      </c>
      <c r="E154" s="64">
        <f>INDEX('Hotel Emissions'!$G:$G,MATCH(D154,'Hotel Emissions'!$C:$C,0))</f>
        <v>49.703220941619364</v>
      </c>
      <c r="F154" s="64">
        <f>IF(INDEX('Hotel Emissions'!$O:$O,MATCH(D154,'Hotel Emissions'!$C:$C,0))="",INDEX('Hotel Emissions'!$T:$T,MATCH(D154,'Hotel Emissions'!$C:$C,0)),INDEX('Hotel Emissions'!$O:$O,MATCH(D154,'Hotel Emissions'!$C:$C,0)))</f>
        <v>16.910410780975194</v>
      </c>
      <c r="G154" s="64">
        <f>IF(INDEX('Hotel Emissions'!$X:$X,MATCH(D154,'Hotel Emissions'!$C:$C,0))="",INDEX('Hotel Emissions'!$AC:$AC,MATCH(D154,'Hotel Emissions'!$C:$C,0)),INDEX('Hotel Emissions'!$X:$X,MATCH(D154,'Hotel Emissions'!$C:$C,0)))</f>
        <v>41.238180878421765</v>
      </c>
      <c r="H154" s="64">
        <f>IF(INDEX('Hotel Emissions'!AG:$AG,MATCH(D154,'Hotel Emissions'!$C:$C,0))="",INDEX('Hotel Emissions'!$AL:$AL,MATCH(D154,'Hotel Emissions'!$C:$C,0)),INDEX('Hotel Emissions'!$AG:$AG,MATCH(D154,'Hotel Emissions'!$C:$C,0)))</f>
        <v>94.792983435676007</v>
      </c>
    </row>
    <row r="155" spans="1:13" x14ac:dyDescent="0.65">
      <c r="A155" s="32"/>
      <c r="B155" s="32" t="s">
        <v>141</v>
      </c>
      <c r="C155" s="32" t="s">
        <v>503</v>
      </c>
      <c r="D155" s="32" t="str">
        <f t="shared" si="2"/>
        <v>Dominican Republic</v>
      </c>
      <c r="E155" s="64">
        <f>INDEX('Hotel Emissions'!$G:$G,MATCH(D155,'Hotel Emissions'!$C:$C,0))</f>
        <v>49.703220941619364</v>
      </c>
      <c r="F155" s="64">
        <f>IF(INDEX('Hotel Emissions'!$O:$O,MATCH(D155,'Hotel Emissions'!$C:$C,0))="",INDEX('Hotel Emissions'!$T:$T,MATCH(D155,'Hotel Emissions'!$C:$C,0)),INDEX('Hotel Emissions'!$O:$O,MATCH(D155,'Hotel Emissions'!$C:$C,0)))</f>
        <v>16.910410780975194</v>
      </c>
      <c r="G155" s="64">
        <f>IF(INDEX('Hotel Emissions'!$X:$X,MATCH(D155,'Hotel Emissions'!$C:$C,0))="",INDEX('Hotel Emissions'!$AC:$AC,MATCH(D155,'Hotel Emissions'!$C:$C,0)),INDEX('Hotel Emissions'!$X:$X,MATCH(D155,'Hotel Emissions'!$C:$C,0)))</f>
        <v>41.238180878421765</v>
      </c>
      <c r="H155" s="64">
        <f>IF(INDEX('Hotel Emissions'!AG:$AG,MATCH(D155,'Hotel Emissions'!$C:$C,0))="",INDEX('Hotel Emissions'!$AL:$AL,MATCH(D155,'Hotel Emissions'!$C:$C,0)),INDEX('Hotel Emissions'!$AG:$AG,MATCH(D155,'Hotel Emissions'!$C:$C,0)))</f>
        <v>94.792983435676007</v>
      </c>
    </row>
    <row r="156" spans="1:13" x14ac:dyDescent="0.65">
      <c r="A156" s="32"/>
      <c r="B156" s="32" t="s">
        <v>142</v>
      </c>
      <c r="C156" s="32" t="s">
        <v>142</v>
      </c>
      <c r="D156" s="32" t="str">
        <f t="shared" si="2"/>
        <v>Italy</v>
      </c>
      <c r="E156" s="64">
        <f>INDEX('Hotel Emissions'!$G:$G,MATCH(D156,'Hotel Emissions'!$C:$C,0))</f>
        <v>27.98939788200596</v>
      </c>
      <c r="F156" s="64">
        <f>IF(INDEX('Hotel Emissions'!$O:$O,MATCH(D156,'Hotel Emissions'!$C:$C,0))="",INDEX('Hotel Emissions'!$T:$T,MATCH(D156,'Hotel Emissions'!$C:$C,0)),INDEX('Hotel Emissions'!$O:$O,MATCH(D156,'Hotel Emissions'!$C:$C,0)))</f>
        <v>12.873281233478671</v>
      </c>
      <c r="G156" s="64">
        <f>IF(INDEX('Hotel Emissions'!$X:$X,MATCH(D156,'Hotel Emissions'!$C:$C,0))="",INDEX('Hotel Emissions'!$AC:$AC,MATCH(D156,'Hotel Emissions'!$C:$C,0)),INDEX('Hotel Emissions'!$X:$X,MATCH(D156,'Hotel Emissions'!$C:$C,0)))</f>
        <v>20.311051113560406</v>
      </c>
      <c r="H156" s="64">
        <f>IF(INDEX('Hotel Emissions'!AG:$AG,MATCH(D156,'Hotel Emissions'!$C:$C,0))="",INDEX('Hotel Emissions'!$AL:$AL,MATCH(D156,'Hotel Emissions'!$C:$C,0)),INDEX('Hotel Emissions'!$AG:$AG,MATCH(D156,'Hotel Emissions'!$C:$C,0)))</f>
        <v>86.727744977654595</v>
      </c>
    </row>
    <row r="157" spans="1:13" x14ac:dyDescent="0.65">
      <c r="A157" s="32"/>
      <c r="B157" s="32" t="s">
        <v>143</v>
      </c>
      <c r="C157" s="32" t="s">
        <v>542</v>
      </c>
      <c r="D157" s="32" t="str">
        <f t="shared" si="2"/>
        <v>Morocco</v>
      </c>
      <c r="E157" s="64">
        <f>INDEX('Hotel Emissions'!$G:$G,MATCH(D157,'Hotel Emissions'!$C:$C,0))</f>
        <v>64.786712103740001</v>
      </c>
      <c r="F157" s="64">
        <f>IF(INDEX('Hotel Emissions'!$O:$O,MATCH(D157,'Hotel Emissions'!$C:$C,0))="",INDEX('Hotel Emissions'!$T:$T,MATCH(D157,'Hotel Emissions'!$C:$C,0)),INDEX('Hotel Emissions'!$O:$O,MATCH(D157,'Hotel Emissions'!$C:$C,0)))</f>
        <v>22.421330805272362</v>
      </c>
      <c r="G157" s="64">
        <f>IF(INDEX('Hotel Emissions'!$X:$X,MATCH(D157,'Hotel Emissions'!$C:$C,0))="",INDEX('Hotel Emissions'!$AC:$AC,MATCH(D157,'Hotel Emissions'!$C:$C,0)),INDEX('Hotel Emissions'!$X:$X,MATCH(D157,'Hotel Emissions'!$C:$C,0)))</f>
        <v>81.787795373044702</v>
      </c>
      <c r="H157" s="64">
        <f>IF(INDEX('Hotel Emissions'!AG:$AG,MATCH(D157,'Hotel Emissions'!$C:$C,0))="",INDEX('Hotel Emissions'!$AL:$AL,MATCH(D157,'Hotel Emissions'!$C:$C,0)),INDEX('Hotel Emissions'!$AG:$AG,MATCH(D157,'Hotel Emissions'!$C:$C,0)))</f>
        <v>105.55113658157052</v>
      </c>
    </row>
    <row r="158" spans="1:13" x14ac:dyDescent="0.65">
      <c r="A158" s="32"/>
      <c r="B158" s="32" t="s">
        <v>144</v>
      </c>
      <c r="C158" s="32" t="s">
        <v>324</v>
      </c>
      <c r="D158" s="32" t="str">
        <f t="shared" si="2"/>
        <v>Saudi Arabia</v>
      </c>
      <c r="E158" s="64">
        <f>INDEX('Hotel Emissions'!$G:$G,MATCH(D158,'Hotel Emissions'!$C:$C,0))</f>
        <v>115.93364863820152</v>
      </c>
      <c r="F158" s="64">
        <f>IF(INDEX('Hotel Emissions'!$O:$O,MATCH(D158,'Hotel Emissions'!$C:$C,0))="",INDEX('Hotel Emissions'!$T:$T,MATCH(D158,'Hotel Emissions'!$C:$C,0)),INDEX('Hotel Emissions'!$O:$O,MATCH(D158,'Hotel Emissions'!$C:$C,0)))</f>
        <v>47.451413821239164</v>
      </c>
      <c r="G158" s="64">
        <f>IF(INDEX('Hotel Emissions'!$X:$X,MATCH(D158,'Hotel Emissions'!$C:$C,0))="",INDEX('Hotel Emissions'!$AC:$AC,MATCH(D158,'Hotel Emissions'!$C:$C,0)),INDEX('Hotel Emissions'!$X:$X,MATCH(D158,'Hotel Emissions'!$C:$C,0)))</f>
        <v>122.4268714852297</v>
      </c>
      <c r="H158" s="64">
        <f>IF(INDEX('Hotel Emissions'!AG:$AG,MATCH(D158,'Hotel Emissions'!$C:$C,0))="",INDEX('Hotel Emissions'!$AL:$AL,MATCH(D158,'Hotel Emissions'!$C:$C,0)),INDEX('Hotel Emissions'!$AG:$AG,MATCH(D158,'Hotel Emissions'!$C:$C,0)))</f>
        <v>147.7026973077889</v>
      </c>
    </row>
    <row r="159" spans="1:13" x14ac:dyDescent="0.65">
      <c r="A159" s="32"/>
      <c r="B159" s="32" t="s">
        <v>145</v>
      </c>
      <c r="C159" s="32" t="s">
        <v>504</v>
      </c>
      <c r="D159" s="32" t="str">
        <f t="shared" si="2"/>
        <v>Morocco</v>
      </c>
      <c r="E159" s="64">
        <f>INDEX('Hotel Emissions'!$G:$G,MATCH(D159,'Hotel Emissions'!$C:$C,0))</f>
        <v>64.786712103740001</v>
      </c>
      <c r="F159" s="64">
        <f>IF(INDEX('Hotel Emissions'!$O:$O,MATCH(D159,'Hotel Emissions'!$C:$C,0))="",INDEX('Hotel Emissions'!$T:$T,MATCH(D159,'Hotel Emissions'!$C:$C,0)),INDEX('Hotel Emissions'!$O:$O,MATCH(D159,'Hotel Emissions'!$C:$C,0)))</f>
        <v>22.421330805272362</v>
      </c>
      <c r="G159" s="64">
        <f>IF(INDEX('Hotel Emissions'!$X:$X,MATCH(D159,'Hotel Emissions'!$C:$C,0))="",INDEX('Hotel Emissions'!$AC:$AC,MATCH(D159,'Hotel Emissions'!$C:$C,0)),INDEX('Hotel Emissions'!$X:$X,MATCH(D159,'Hotel Emissions'!$C:$C,0)))</f>
        <v>81.787795373044702</v>
      </c>
      <c r="H159" s="64">
        <f>IF(INDEX('Hotel Emissions'!AG:$AG,MATCH(D159,'Hotel Emissions'!$C:$C,0))="",INDEX('Hotel Emissions'!$AL:$AL,MATCH(D159,'Hotel Emissions'!$C:$C,0)),INDEX('Hotel Emissions'!$AG:$AG,MATCH(D159,'Hotel Emissions'!$C:$C,0)))</f>
        <v>105.55113658157052</v>
      </c>
    </row>
    <row r="160" spans="1:13" x14ac:dyDescent="0.65">
      <c r="A160" s="32"/>
      <c r="B160" s="32" t="s">
        <v>146</v>
      </c>
      <c r="C160" s="32" t="s">
        <v>505</v>
      </c>
      <c r="D160" s="32" t="str">
        <f t="shared" si="2"/>
        <v>Romania</v>
      </c>
      <c r="E160" s="64">
        <f>INDEX('Hotel Emissions'!$G:$G,MATCH(D160,'Hotel Emissions'!$C:$C,0))</f>
        <v>23.759309432044105</v>
      </c>
      <c r="F160" s="64">
        <f>IF(INDEX('Hotel Emissions'!$O:$O,MATCH(D160,'Hotel Emissions'!$C:$C,0))="",INDEX('Hotel Emissions'!$T:$T,MATCH(D160,'Hotel Emissions'!$C:$C,0)),INDEX('Hotel Emissions'!$O:$O,MATCH(D160,'Hotel Emissions'!$C:$C,0)))</f>
        <v>16.910410780975194</v>
      </c>
      <c r="G160" s="64">
        <f>IF(INDEX('Hotel Emissions'!$X:$X,MATCH(D160,'Hotel Emissions'!$C:$C,0))="",INDEX('Hotel Emissions'!$AC:$AC,MATCH(D160,'Hotel Emissions'!$C:$C,0)),INDEX('Hotel Emissions'!$X:$X,MATCH(D160,'Hotel Emissions'!$C:$C,0)))</f>
        <v>41.238180878421765</v>
      </c>
      <c r="H160" s="64">
        <f>IF(INDEX('Hotel Emissions'!AG:$AG,MATCH(D160,'Hotel Emissions'!$C:$C,0))="",INDEX('Hotel Emissions'!$AL:$AL,MATCH(D160,'Hotel Emissions'!$C:$C,0)),INDEX('Hotel Emissions'!$AG:$AG,MATCH(D160,'Hotel Emissions'!$C:$C,0)))</f>
        <v>94.792983435676007</v>
      </c>
    </row>
    <row r="161" spans="1:8" x14ac:dyDescent="0.65">
      <c r="A161" s="32"/>
      <c r="B161" s="32" t="s">
        <v>147</v>
      </c>
      <c r="C161" s="32" t="s">
        <v>506</v>
      </c>
      <c r="D161" s="32" t="str">
        <f t="shared" si="2"/>
        <v>Morocco</v>
      </c>
      <c r="E161" s="64">
        <f>INDEX('Hotel Emissions'!$G:$G,MATCH(D161,'Hotel Emissions'!$C:$C,0))</f>
        <v>64.786712103740001</v>
      </c>
      <c r="F161" s="64">
        <f>IF(INDEX('Hotel Emissions'!$O:$O,MATCH(D161,'Hotel Emissions'!$C:$C,0))="",INDEX('Hotel Emissions'!$T:$T,MATCH(D161,'Hotel Emissions'!$C:$C,0)),INDEX('Hotel Emissions'!$O:$O,MATCH(D161,'Hotel Emissions'!$C:$C,0)))</f>
        <v>22.421330805272362</v>
      </c>
      <c r="G161" s="64">
        <f>IF(INDEX('Hotel Emissions'!$X:$X,MATCH(D161,'Hotel Emissions'!$C:$C,0))="",INDEX('Hotel Emissions'!$AC:$AC,MATCH(D161,'Hotel Emissions'!$C:$C,0)),INDEX('Hotel Emissions'!$X:$X,MATCH(D161,'Hotel Emissions'!$C:$C,0)))</f>
        <v>81.787795373044702</v>
      </c>
      <c r="H161" s="64">
        <f>IF(INDEX('Hotel Emissions'!AG:$AG,MATCH(D161,'Hotel Emissions'!$C:$C,0))="",INDEX('Hotel Emissions'!$AL:$AL,MATCH(D161,'Hotel Emissions'!$C:$C,0)),INDEX('Hotel Emissions'!$AG:$AG,MATCH(D161,'Hotel Emissions'!$C:$C,0)))</f>
        <v>105.55113658157052</v>
      </c>
    </row>
    <row r="162" spans="1:8" x14ac:dyDescent="0.65">
      <c r="A162" s="32"/>
      <c r="B162" s="32" t="s">
        <v>148</v>
      </c>
      <c r="C162" s="32" t="s">
        <v>148</v>
      </c>
      <c r="D162" s="32" t="str">
        <f t="shared" si="2"/>
        <v>Singapore</v>
      </c>
      <c r="E162" s="64">
        <f>INDEX('Hotel Emissions'!$G:$G,MATCH(D162,'Hotel Emissions'!$C:$C,0))</f>
        <v>32.902752831621505</v>
      </c>
      <c r="F162" s="64">
        <f>IF(INDEX('Hotel Emissions'!$O:$O,MATCH(D162,'Hotel Emissions'!$C:$C,0))="",INDEX('Hotel Emissions'!$T:$T,MATCH(D162,'Hotel Emissions'!$C:$C,0)),INDEX('Hotel Emissions'!$O:$O,MATCH(D162,'Hotel Emissions'!$C:$C,0)))</f>
        <v>15.641617852916632</v>
      </c>
      <c r="G162" s="64">
        <f>IF(INDEX('Hotel Emissions'!$X:$X,MATCH(D162,'Hotel Emissions'!$C:$C,0))="",INDEX('Hotel Emissions'!$AC:$AC,MATCH(D162,'Hotel Emissions'!$C:$C,0)),INDEX('Hotel Emissions'!$X:$X,MATCH(D162,'Hotel Emissions'!$C:$C,0)))</f>
        <v>27.235014072628346</v>
      </c>
      <c r="H162" s="64">
        <f>IF(INDEX('Hotel Emissions'!AG:$AG,MATCH(D162,'Hotel Emissions'!$C:$C,0))="",INDEX('Hotel Emissions'!$AL:$AL,MATCH(D162,'Hotel Emissions'!$C:$C,0)),INDEX('Hotel Emissions'!$AG:$AG,MATCH(D162,'Hotel Emissions'!$C:$C,0)))</f>
        <v>55.06893747020321</v>
      </c>
    </row>
    <row r="163" spans="1:8" x14ac:dyDescent="0.65">
      <c r="A163" s="32"/>
      <c r="B163" s="32" t="s">
        <v>149</v>
      </c>
      <c r="C163" s="32" t="s">
        <v>507</v>
      </c>
      <c r="D163" s="32" t="str">
        <f t="shared" si="2"/>
        <v>Czechia Republic</v>
      </c>
      <c r="E163" s="64">
        <f>INDEX('Hotel Emissions'!$G:$G,MATCH(D163,'Hotel Emissions'!$C:$C,0))</f>
        <v>53.879450672496056</v>
      </c>
      <c r="F163" s="64">
        <f>IF(INDEX('Hotel Emissions'!$O:$O,MATCH(D163,'Hotel Emissions'!$C:$C,0))="",INDEX('Hotel Emissions'!$T:$T,MATCH(D163,'Hotel Emissions'!$C:$C,0)),INDEX('Hotel Emissions'!$O:$O,MATCH(D163,'Hotel Emissions'!$C:$C,0)))</f>
        <v>16.910410780975194</v>
      </c>
      <c r="G163" s="64">
        <f>IF(INDEX('Hotel Emissions'!$X:$X,MATCH(D163,'Hotel Emissions'!$C:$C,0))="",INDEX('Hotel Emissions'!$AC:$AC,MATCH(D163,'Hotel Emissions'!$C:$C,0)),INDEX('Hotel Emissions'!$X:$X,MATCH(D163,'Hotel Emissions'!$C:$C,0)))</f>
        <v>41.238180878421765</v>
      </c>
      <c r="H163" s="64">
        <f>IF(INDEX('Hotel Emissions'!AG:$AG,MATCH(D163,'Hotel Emissions'!$C:$C,0))="",INDEX('Hotel Emissions'!$AL:$AL,MATCH(D163,'Hotel Emissions'!$C:$C,0)),INDEX('Hotel Emissions'!$AG:$AG,MATCH(D163,'Hotel Emissions'!$C:$C,0)))</f>
        <v>94.792983435676007</v>
      </c>
    </row>
    <row r="164" spans="1:8" x14ac:dyDescent="0.65">
      <c r="A164" s="32"/>
      <c r="B164" s="32" t="s">
        <v>150</v>
      </c>
      <c r="C164" s="32" t="s">
        <v>508</v>
      </c>
      <c r="D164" s="32" t="str">
        <f t="shared" si="2"/>
        <v>Austria</v>
      </c>
      <c r="E164" s="64">
        <f>INDEX('Hotel Emissions'!$G:$G,MATCH(D164,'Hotel Emissions'!$C:$C,0))</f>
        <v>11.841173534383454</v>
      </c>
      <c r="F164" s="64">
        <f>IF(INDEX('Hotel Emissions'!$O:$O,MATCH(D164,'Hotel Emissions'!$C:$C,0))="",INDEX('Hotel Emissions'!$T:$T,MATCH(D164,'Hotel Emissions'!$C:$C,0)),INDEX('Hotel Emissions'!$O:$O,MATCH(D164,'Hotel Emissions'!$C:$C,0)))</f>
        <v>7.6990803304492887</v>
      </c>
      <c r="G164" s="64">
        <f>IF(INDEX('Hotel Emissions'!$X:$X,MATCH(D164,'Hotel Emissions'!$C:$C,0))="",INDEX('Hotel Emissions'!$AC:$AC,MATCH(D164,'Hotel Emissions'!$C:$C,0)),INDEX('Hotel Emissions'!$X:$X,MATCH(D164,'Hotel Emissions'!$C:$C,0)))</f>
        <v>10.008290670757516</v>
      </c>
      <c r="H164" s="64">
        <f>IF(INDEX('Hotel Emissions'!AG:$AG,MATCH(D164,'Hotel Emissions'!$C:$C,0))="",INDEX('Hotel Emissions'!$AL:$AL,MATCH(D164,'Hotel Emissions'!$C:$C,0)),INDEX('Hotel Emissions'!$AG:$AG,MATCH(D164,'Hotel Emissions'!$C:$C,0)))</f>
        <v>94.792983435676007</v>
      </c>
    </row>
    <row r="165" spans="1:8" x14ac:dyDescent="0.65">
      <c r="A165" s="32"/>
      <c r="B165" s="32" t="s">
        <v>151</v>
      </c>
      <c r="C165" s="32" t="s">
        <v>509</v>
      </c>
      <c r="D165" s="32" t="str">
        <f t="shared" si="2"/>
        <v>Egypt</v>
      </c>
      <c r="E165" s="64">
        <f>INDEX('Hotel Emissions'!$G:$G,MATCH(D165,'Hotel Emissions'!$C:$C,0))</f>
        <v>70.842196018462928</v>
      </c>
      <c r="F165" s="64">
        <f>IF(INDEX('Hotel Emissions'!$O:$O,MATCH(D165,'Hotel Emissions'!$C:$C,0))="",INDEX('Hotel Emissions'!$T:$T,MATCH(D165,'Hotel Emissions'!$C:$C,0)),INDEX('Hotel Emissions'!$O:$O,MATCH(D165,'Hotel Emissions'!$C:$C,0)))</f>
        <v>16.910410780975194</v>
      </c>
      <c r="G165" s="64">
        <f>IF(INDEX('Hotel Emissions'!$X:$X,MATCH(D165,'Hotel Emissions'!$C:$C,0))="",INDEX('Hotel Emissions'!$AC:$AC,MATCH(D165,'Hotel Emissions'!$C:$C,0)),INDEX('Hotel Emissions'!$X:$X,MATCH(D165,'Hotel Emissions'!$C:$C,0)))</f>
        <v>57.545341500582353</v>
      </c>
      <c r="H165" s="64">
        <f>IF(INDEX('Hotel Emissions'!AG:$AG,MATCH(D165,'Hotel Emissions'!$C:$C,0))="",INDEX('Hotel Emissions'!$AL:$AL,MATCH(D165,'Hotel Emissions'!$C:$C,0)),INDEX('Hotel Emissions'!$AG:$AG,MATCH(D165,'Hotel Emissions'!$C:$C,0)))</f>
        <v>91.29950522874455</v>
      </c>
    </row>
    <row r="166" spans="1:8" x14ac:dyDescent="0.65">
      <c r="A166" s="32"/>
      <c r="B166" s="32" t="s">
        <v>152</v>
      </c>
      <c r="C166" s="32" t="s">
        <v>558</v>
      </c>
      <c r="D166" s="32" t="str">
        <f t="shared" si="2"/>
        <v>South Africa</v>
      </c>
      <c r="E166" s="64">
        <f>INDEX('Hotel Emissions'!$G:$G,MATCH(D166,'Hotel Emissions'!$C:$C,0))</f>
        <v>103.55037750960224</v>
      </c>
      <c r="F166" s="64">
        <f>IF(INDEX('Hotel Emissions'!$O:$O,MATCH(D166,'Hotel Emissions'!$C:$C,0))="",INDEX('Hotel Emissions'!$T:$T,MATCH(D166,'Hotel Emissions'!$C:$C,0)),INDEX('Hotel Emissions'!$O:$O,MATCH(D166,'Hotel Emissions'!$C:$C,0)))</f>
        <v>16.910410780975194</v>
      </c>
      <c r="G166" s="64">
        <f>IF(INDEX('Hotel Emissions'!$X:$X,MATCH(D166,'Hotel Emissions'!$C:$C,0))="",INDEX('Hotel Emissions'!$AC:$AC,MATCH(D166,'Hotel Emissions'!$C:$C,0)),INDEX('Hotel Emissions'!$X:$X,MATCH(D166,'Hotel Emissions'!$C:$C,0)))</f>
        <v>66.543957384996915</v>
      </c>
      <c r="H166" s="64">
        <f>IF(INDEX('Hotel Emissions'!AG:$AG,MATCH(D166,'Hotel Emissions'!$C:$C,0))="",INDEX('Hotel Emissions'!$AL:$AL,MATCH(D166,'Hotel Emissions'!$C:$C,0)),INDEX('Hotel Emissions'!$AG:$AG,MATCH(D166,'Hotel Emissions'!$C:$C,0)))</f>
        <v>94.792983435676007</v>
      </c>
    </row>
    <row r="167" spans="1:8" x14ac:dyDescent="0.65">
      <c r="A167" s="32"/>
      <c r="B167" s="32" t="s">
        <v>153</v>
      </c>
      <c r="C167" s="32" t="s">
        <v>329</v>
      </c>
      <c r="D167" s="32" t="str">
        <f t="shared" si="2"/>
        <v>Korea</v>
      </c>
      <c r="E167" s="64">
        <f>INDEX('Hotel Emissions'!$G:$G,MATCH(D167,'Hotel Emissions'!$C:$C,0))</f>
        <v>74.301854031669805</v>
      </c>
      <c r="F167" s="64">
        <f>IF(INDEX('Hotel Emissions'!$O:$O,MATCH(D167,'Hotel Emissions'!$C:$C,0))="",INDEX('Hotel Emissions'!$T:$T,MATCH(D167,'Hotel Emissions'!$C:$C,0)),INDEX('Hotel Emissions'!$O:$O,MATCH(D167,'Hotel Emissions'!$C:$C,0)))</f>
        <v>30.58101935297476</v>
      </c>
      <c r="G167" s="64">
        <f>IF(INDEX('Hotel Emissions'!$X:$X,MATCH(D167,'Hotel Emissions'!$C:$C,0))="",INDEX('Hotel Emissions'!$AC:$AC,MATCH(D167,'Hotel Emissions'!$C:$C,0)),INDEX('Hotel Emissions'!$X:$X,MATCH(D167,'Hotel Emissions'!$C:$C,0)))</f>
        <v>70.992477051243014</v>
      </c>
      <c r="H167" s="64">
        <f>IF(INDEX('Hotel Emissions'!AG:$AG,MATCH(D167,'Hotel Emissions'!$C:$C,0))="",INDEX('Hotel Emissions'!$AL:$AL,MATCH(D167,'Hotel Emissions'!$C:$C,0)),INDEX('Hotel Emissions'!$AG:$AG,MATCH(D167,'Hotel Emissions'!$C:$C,0)))</f>
        <v>118.87969300459788</v>
      </c>
    </row>
    <row r="168" spans="1:8" x14ac:dyDescent="0.65">
      <c r="A168" s="32"/>
      <c r="B168" s="32" t="s">
        <v>154</v>
      </c>
      <c r="C168" s="32" t="s">
        <v>510</v>
      </c>
      <c r="D168" s="32" t="str">
        <f t="shared" si="2"/>
        <v>Egypt</v>
      </c>
      <c r="E168" s="64">
        <f>INDEX('Hotel Emissions'!$G:$G,MATCH(D168,'Hotel Emissions'!$C:$C,0))</f>
        <v>70.842196018462928</v>
      </c>
      <c r="F168" s="64">
        <f>IF(INDEX('Hotel Emissions'!$O:$O,MATCH(D168,'Hotel Emissions'!$C:$C,0))="",INDEX('Hotel Emissions'!$T:$T,MATCH(D168,'Hotel Emissions'!$C:$C,0)),INDEX('Hotel Emissions'!$O:$O,MATCH(D168,'Hotel Emissions'!$C:$C,0)))</f>
        <v>16.910410780975194</v>
      </c>
      <c r="G168" s="64">
        <f>IF(INDEX('Hotel Emissions'!$X:$X,MATCH(D168,'Hotel Emissions'!$C:$C,0))="",INDEX('Hotel Emissions'!$AC:$AC,MATCH(D168,'Hotel Emissions'!$C:$C,0)),INDEX('Hotel Emissions'!$X:$X,MATCH(D168,'Hotel Emissions'!$C:$C,0)))</f>
        <v>57.545341500582353</v>
      </c>
      <c r="H168" s="64">
        <f>IF(INDEX('Hotel Emissions'!AG:$AG,MATCH(D168,'Hotel Emissions'!$C:$C,0))="",INDEX('Hotel Emissions'!$AL:$AL,MATCH(D168,'Hotel Emissions'!$C:$C,0)),INDEX('Hotel Emissions'!$AG:$AG,MATCH(D168,'Hotel Emissions'!$C:$C,0)))</f>
        <v>91.29950522874455</v>
      </c>
    </row>
    <row r="169" spans="1:8" x14ac:dyDescent="0.65">
      <c r="A169" s="32"/>
      <c r="B169" s="32" t="s">
        <v>155</v>
      </c>
      <c r="C169" s="32" t="s">
        <v>264</v>
      </c>
      <c r="D169" s="32" t="str">
        <f t="shared" si="2"/>
        <v>Spain</v>
      </c>
      <c r="E169" s="64">
        <f>INDEX('Hotel Emissions'!$G:$G,MATCH(D169,'Hotel Emissions'!$C:$C,0))</f>
        <v>14.49662151352249</v>
      </c>
      <c r="F169" s="64">
        <f>IF(INDEX('Hotel Emissions'!$O:$O,MATCH(D169,'Hotel Emissions'!$C:$C,0))="",INDEX('Hotel Emissions'!$T:$T,MATCH(D169,'Hotel Emissions'!$C:$C,0)),INDEX('Hotel Emissions'!$O:$O,MATCH(D169,'Hotel Emissions'!$C:$C,0)))</f>
        <v>7.7068430955575549</v>
      </c>
      <c r="G169" s="64">
        <f>IF(INDEX('Hotel Emissions'!$X:$X,MATCH(D169,'Hotel Emissions'!$C:$C,0))="",INDEX('Hotel Emissions'!$AC:$AC,MATCH(D169,'Hotel Emissions'!$C:$C,0)),INDEX('Hotel Emissions'!$X:$X,MATCH(D169,'Hotel Emissions'!$C:$C,0)))</f>
        <v>16.67473525193471</v>
      </c>
      <c r="H169" s="64">
        <f>IF(INDEX('Hotel Emissions'!AG:$AG,MATCH(D169,'Hotel Emissions'!$C:$C,0))="",INDEX('Hotel Emissions'!$AL:$AL,MATCH(D169,'Hotel Emissions'!$C:$C,0)),INDEX('Hotel Emissions'!$AG:$AG,MATCH(D169,'Hotel Emissions'!$C:$C,0)))</f>
        <v>38.209099160692382</v>
      </c>
    </row>
    <row r="170" spans="1:8" x14ac:dyDescent="0.65">
      <c r="A170" s="32"/>
      <c r="B170" s="32" t="s">
        <v>155</v>
      </c>
      <c r="C170" s="32" t="s">
        <v>298</v>
      </c>
      <c r="D170" s="32" t="str">
        <f t="shared" si="2"/>
        <v>Spain</v>
      </c>
      <c r="E170" s="64">
        <f>INDEX('Hotel Emissions'!$G:$G,MATCH(D170,'Hotel Emissions'!$C:$C,0))</f>
        <v>14.49662151352249</v>
      </c>
      <c r="F170" s="64">
        <f>IF(INDEX('Hotel Emissions'!$O:$O,MATCH(D170,'Hotel Emissions'!$C:$C,0))="",INDEX('Hotel Emissions'!$T:$T,MATCH(D170,'Hotel Emissions'!$C:$C,0)),INDEX('Hotel Emissions'!$O:$O,MATCH(D170,'Hotel Emissions'!$C:$C,0)))</f>
        <v>7.7068430955575549</v>
      </c>
      <c r="G170" s="64">
        <f>IF(INDEX('Hotel Emissions'!$X:$X,MATCH(D170,'Hotel Emissions'!$C:$C,0))="",INDEX('Hotel Emissions'!$AC:$AC,MATCH(D170,'Hotel Emissions'!$C:$C,0)),INDEX('Hotel Emissions'!$X:$X,MATCH(D170,'Hotel Emissions'!$C:$C,0)))</f>
        <v>16.67473525193471</v>
      </c>
      <c r="H170" s="64">
        <f>IF(INDEX('Hotel Emissions'!AG:$AG,MATCH(D170,'Hotel Emissions'!$C:$C,0))="",INDEX('Hotel Emissions'!$AL:$AL,MATCH(D170,'Hotel Emissions'!$C:$C,0)),INDEX('Hotel Emissions'!$AG:$AG,MATCH(D170,'Hotel Emissions'!$C:$C,0)))</f>
        <v>38.209099160692382</v>
      </c>
    </row>
    <row r="171" spans="1:8" x14ac:dyDescent="0.65">
      <c r="A171" s="32"/>
      <c r="B171" s="32" t="s">
        <v>156</v>
      </c>
      <c r="C171" s="32" t="s">
        <v>550</v>
      </c>
      <c r="D171" s="32" t="str">
        <f t="shared" si="2"/>
        <v>India</v>
      </c>
      <c r="E171" s="64">
        <f>INDEX('Hotel Emissions'!$G:$G,MATCH(D171,'Hotel Emissions'!$C:$C,0))</f>
        <v>60.039227102791394</v>
      </c>
      <c r="F171" s="64">
        <f>IF(INDEX('Hotel Emissions'!$O:$O,MATCH(D171,'Hotel Emissions'!$C:$C,0))="",INDEX('Hotel Emissions'!$T:$T,MATCH(D171,'Hotel Emissions'!$C:$C,0)),INDEX('Hotel Emissions'!$O:$O,MATCH(D171,'Hotel Emissions'!$C:$C,0)))</f>
        <v>44.760847828132114</v>
      </c>
      <c r="G171" s="64">
        <f>IF(INDEX('Hotel Emissions'!$X:$X,MATCH(D171,'Hotel Emissions'!$C:$C,0))="",INDEX('Hotel Emissions'!$AC:$AC,MATCH(D171,'Hotel Emissions'!$C:$C,0)),INDEX('Hotel Emissions'!$X:$X,MATCH(D171,'Hotel Emissions'!$C:$C,0)))</f>
        <v>64.625315927390787</v>
      </c>
      <c r="H171" s="64">
        <f>IF(INDEX('Hotel Emissions'!AG:$AG,MATCH(D171,'Hotel Emissions'!$C:$C,0))="",INDEX('Hotel Emissions'!$AL:$AL,MATCH(D171,'Hotel Emissions'!$C:$C,0)),INDEX('Hotel Emissions'!$AG:$AG,MATCH(D171,'Hotel Emissions'!$C:$C,0)))</f>
        <v>87.695610816492447</v>
      </c>
    </row>
    <row r="172" spans="1:8" x14ac:dyDescent="0.65">
      <c r="A172" s="32"/>
      <c r="B172" s="32" t="s">
        <v>157</v>
      </c>
      <c r="C172" s="32" t="s">
        <v>511</v>
      </c>
      <c r="D172" s="32" t="str">
        <f t="shared" si="2"/>
        <v>Egypt</v>
      </c>
      <c r="E172" s="64">
        <f>INDEX('Hotel Emissions'!$G:$G,MATCH(D172,'Hotel Emissions'!$C:$C,0))</f>
        <v>70.842196018462928</v>
      </c>
      <c r="F172" s="64">
        <f>IF(INDEX('Hotel Emissions'!$O:$O,MATCH(D172,'Hotel Emissions'!$C:$C,0))="",INDEX('Hotel Emissions'!$T:$T,MATCH(D172,'Hotel Emissions'!$C:$C,0)),INDEX('Hotel Emissions'!$O:$O,MATCH(D172,'Hotel Emissions'!$C:$C,0)))</f>
        <v>16.910410780975194</v>
      </c>
      <c r="G172" s="64">
        <f>IF(INDEX('Hotel Emissions'!$X:$X,MATCH(D172,'Hotel Emissions'!$C:$C,0))="",INDEX('Hotel Emissions'!$AC:$AC,MATCH(D172,'Hotel Emissions'!$C:$C,0)),INDEX('Hotel Emissions'!$X:$X,MATCH(D172,'Hotel Emissions'!$C:$C,0)))</f>
        <v>57.545341500582353</v>
      </c>
      <c r="H172" s="64">
        <f>IF(INDEX('Hotel Emissions'!AG:$AG,MATCH(D172,'Hotel Emissions'!$C:$C,0))="",INDEX('Hotel Emissions'!$AL:$AL,MATCH(D172,'Hotel Emissions'!$C:$C,0)),INDEX('Hotel Emissions'!$AG:$AG,MATCH(D172,'Hotel Emissions'!$C:$C,0)))</f>
        <v>91.29950522874455</v>
      </c>
    </row>
    <row r="173" spans="1:8" x14ac:dyDescent="0.65">
      <c r="A173" s="32"/>
      <c r="B173" s="32" t="s">
        <v>158</v>
      </c>
      <c r="C173" s="32" t="s">
        <v>512</v>
      </c>
      <c r="D173" s="32" t="str">
        <f t="shared" si="2"/>
        <v>Colombia</v>
      </c>
      <c r="E173" s="64">
        <f>INDEX('Hotel Emissions'!$G:$G,MATCH(D173,'Hotel Emissions'!$C:$C,0))</f>
        <v>14.267918673051788</v>
      </c>
      <c r="F173" s="64">
        <f>IF(INDEX('Hotel Emissions'!$O:$O,MATCH(D173,'Hotel Emissions'!$C:$C,0))="",INDEX('Hotel Emissions'!$T:$T,MATCH(D173,'Hotel Emissions'!$C:$C,0)),INDEX('Hotel Emissions'!$O:$O,MATCH(D173,'Hotel Emissions'!$C:$C,0)))</f>
        <v>8.9790894897367455</v>
      </c>
      <c r="G173" s="64">
        <f>IF(INDEX('Hotel Emissions'!$X:$X,MATCH(D173,'Hotel Emissions'!$C:$C,0))="",INDEX('Hotel Emissions'!$AC:$AC,MATCH(D173,'Hotel Emissions'!$C:$C,0)),INDEX('Hotel Emissions'!$X:$X,MATCH(D173,'Hotel Emissions'!$C:$C,0)))</f>
        <v>16.225718608370105</v>
      </c>
      <c r="H173" s="64">
        <f>IF(INDEX('Hotel Emissions'!AG:$AG,MATCH(D173,'Hotel Emissions'!$C:$C,0))="",INDEX('Hotel Emissions'!$AL:$AL,MATCH(D173,'Hotel Emissions'!$C:$C,0)),INDEX('Hotel Emissions'!$AG:$AG,MATCH(D173,'Hotel Emissions'!$C:$C,0)))</f>
        <v>31.301148694206912</v>
      </c>
    </row>
    <row r="174" spans="1:8" x14ac:dyDescent="0.65">
      <c r="A174" s="32"/>
      <c r="B174" s="32" t="s">
        <v>159</v>
      </c>
      <c r="C174" s="32" t="s">
        <v>513</v>
      </c>
      <c r="D174" s="32" t="str">
        <f t="shared" si="2"/>
        <v>Germany</v>
      </c>
      <c r="E174" s="64">
        <f>INDEX('Hotel Emissions'!$G:$G,MATCH(D174,'Hotel Emissions'!$C:$C,0))</f>
        <v>17.719702319351065</v>
      </c>
      <c r="F174" s="64">
        <f>IF(INDEX('Hotel Emissions'!$O:$O,MATCH(D174,'Hotel Emissions'!$C:$C,0))="",INDEX('Hotel Emissions'!$T:$T,MATCH(D174,'Hotel Emissions'!$C:$C,0)),INDEX('Hotel Emissions'!$O:$O,MATCH(D174,'Hotel Emissions'!$C:$C,0)))</f>
        <v>12.883417456204036</v>
      </c>
      <c r="G174" s="64">
        <f>IF(INDEX('Hotel Emissions'!$X:$X,MATCH(D174,'Hotel Emissions'!$C:$C,0))="",INDEX('Hotel Emissions'!$AC:$AC,MATCH(D174,'Hotel Emissions'!$C:$C,0)),INDEX('Hotel Emissions'!$X:$X,MATCH(D174,'Hotel Emissions'!$C:$C,0)))</f>
        <v>23.02905018770592</v>
      </c>
      <c r="H174" s="64">
        <f>IF(INDEX('Hotel Emissions'!AG:$AG,MATCH(D174,'Hotel Emissions'!$C:$C,0))="",INDEX('Hotel Emissions'!$AL:$AL,MATCH(D174,'Hotel Emissions'!$C:$C,0)),INDEX('Hotel Emissions'!$AG:$AG,MATCH(D174,'Hotel Emissions'!$C:$C,0)))</f>
        <v>46.341049687331989</v>
      </c>
    </row>
    <row r="175" spans="1:8" x14ac:dyDescent="0.65">
      <c r="A175" s="32"/>
      <c r="B175" s="32" t="s">
        <v>160</v>
      </c>
      <c r="C175" s="32" t="s">
        <v>514</v>
      </c>
      <c r="D175" s="32" t="str">
        <f t="shared" si="2"/>
        <v>Switzerland</v>
      </c>
      <c r="E175" s="64">
        <f>INDEX('Hotel Emissions'!$G:$G,MATCH(D175,'Hotel Emissions'!$C:$C,0))</f>
        <v>6.4944922861504804</v>
      </c>
      <c r="F175" s="64">
        <f>IF(INDEX('Hotel Emissions'!$O:$O,MATCH(D175,'Hotel Emissions'!$C:$C,0))="",INDEX('Hotel Emissions'!$T:$T,MATCH(D175,'Hotel Emissions'!$C:$C,0)),INDEX('Hotel Emissions'!$O:$O,MATCH(D175,'Hotel Emissions'!$C:$C,0)))</f>
        <v>3.9154587277794062</v>
      </c>
      <c r="G175" s="64">
        <f>IF(INDEX('Hotel Emissions'!$X:$X,MATCH(D175,'Hotel Emissions'!$C:$C,0))="",INDEX('Hotel Emissions'!$AC:$AC,MATCH(D175,'Hotel Emissions'!$C:$C,0)),INDEX('Hotel Emissions'!$X:$X,MATCH(D175,'Hotel Emissions'!$C:$C,0)))</f>
        <v>6.9640031228488679</v>
      </c>
      <c r="H175" s="64">
        <f>IF(INDEX('Hotel Emissions'!AG:$AG,MATCH(D175,'Hotel Emissions'!$C:$C,0))="",INDEX('Hotel Emissions'!$AL:$AL,MATCH(D175,'Hotel Emissions'!$C:$C,0)),INDEX('Hotel Emissions'!$AG:$AG,MATCH(D175,'Hotel Emissions'!$C:$C,0)))</f>
        <v>16.819133631902631</v>
      </c>
    </row>
    <row r="176" spans="1:8" x14ac:dyDescent="0.65">
      <c r="A176" s="32"/>
      <c r="B176" s="32" t="s">
        <v>161</v>
      </c>
      <c r="C176" s="32" t="s">
        <v>515</v>
      </c>
      <c r="D176" s="32" t="str">
        <f t="shared" si="2"/>
        <v>Jordan</v>
      </c>
      <c r="E176" s="64">
        <f>INDEX('Hotel Emissions'!$G:$G,MATCH(D176,'Hotel Emissions'!$C:$C,0))</f>
        <v>67.201564504155741</v>
      </c>
      <c r="F176" s="64">
        <f>IF(INDEX('Hotel Emissions'!$O:$O,MATCH(D176,'Hotel Emissions'!$C:$C,0))="",INDEX('Hotel Emissions'!$T:$T,MATCH(D176,'Hotel Emissions'!$C:$C,0)),INDEX('Hotel Emissions'!$O:$O,MATCH(D176,'Hotel Emissions'!$C:$C,0)))</f>
        <v>16.910410780975194</v>
      </c>
      <c r="G176" s="64">
        <f>IF(INDEX('Hotel Emissions'!$X:$X,MATCH(D176,'Hotel Emissions'!$C:$C,0))="",INDEX('Hotel Emissions'!$AC:$AC,MATCH(D176,'Hotel Emissions'!$C:$C,0)),INDEX('Hotel Emissions'!$X:$X,MATCH(D176,'Hotel Emissions'!$C:$C,0)))</f>
        <v>61.422751294897168</v>
      </c>
      <c r="H176" s="64">
        <f>IF(INDEX('Hotel Emissions'!AG:$AG,MATCH(D176,'Hotel Emissions'!$C:$C,0))="",INDEX('Hotel Emissions'!$AL:$AL,MATCH(D176,'Hotel Emissions'!$C:$C,0)),INDEX('Hotel Emissions'!$AG:$AG,MATCH(D176,'Hotel Emissions'!$C:$C,0)))</f>
        <v>73.275355652405764</v>
      </c>
    </row>
    <row r="177" spans="1:8" x14ac:dyDescent="0.65">
      <c r="A177" s="32"/>
      <c r="B177" s="32" t="s">
        <v>162</v>
      </c>
      <c r="C177" s="32" t="s">
        <v>551</v>
      </c>
      <c r="D177" s="32" t="str">
        <f t="shared" si="2"/>
        <v>Hong Kong, China</v>
      </c>
      <c r="E177" s="64">
        <f>INDEX('Hotel Emissions'!$G:$G,MATCH(D177,'Hotel Emissions'!$C:$C,0))</f>
        <v>121.42982879420187</v>
      </c>
      <c r="F177" s="64">
        <f>IF(INDEX('Hotel Emissions'!$O:$O,MATCH(D177,'Hotel Emissions'!$C:$C,0))="",INDEX('Hotel Emissions'!$T:$T,MATCH(D177,'Hotel Emissions'!$C:$C,0)),INDEX('Hotel Emissions'!$O:$O,MATCH(D177,'Hotel Emissions'!$C:$C,0)))</f>
        <v>28.277352733647316</v>
      </c>
      <c r="G177" s="64">
        <f>IF(INDEX('Hotel Emissions'!$X:$X,MATCH(D177,'Hotel Emissions'!$C:$C,0))="",INDEX('Hotel Emissions'!$AC:$AC,MATCH(D177,'Hotel Emissions'!$C:$C,0)),INDEX('Hotel Emissions'!$X:$X,MATCH(D177,'Hotel Emissions'!$C:$C,0)))</f>
        <v>97.475527405027975</v>
      </c>
      <c r="H177" s="64">
        <f>IF(INDEX('Hotel Emissions'!AG:$AG,MATCH(D177,'Hotel Emissions'!$C:$C,0))="",INDEX('Hotel Emissions'!$AL:$AL,MATCH(D177,'Hotel Emissions'!$C:$C,0)),INDEX('Hotel Emissions'!$AG:$AG,MATCH(D177,'Hotel Emissions'!$C:$C,0)))</f>
        <v>231.68635018762535</v>
      </c>
    </row>
    <row r="178" spans="1:8" x14ac:dyDescent="0.65">
      <c r="A178" s="32"/>
      <c r="B178" s="32" t="s">
        <v>163</v>
      </c>
      <c r="C178" s="32" t="s">
        <v>516</v>
      </c>
      <c r="D178" s="32" t="str">
        <f t="shared" si="2"/>
        <v>Kazakhstan</v>
      </c>
      <c r="E178" s="64">
        <f>INDEX('Hotel Emissions'!$G:$G,MATCH(D178,'Hotel Emissions'!$C:$C,0))</f>
        <v>75.344261830219864</v>
      </c>
      <c r="F178" s="64">
        <f>IF(INDEX('Hotel Emissions'!$O:$O,MATCH(D178,'Hotel Emissions'!$C:$C,0))="",INDEX('Hotel Emissions'!$T:$T,MATCH(D178,'Hotel Emissions'!$C:$C,0)),INDEX('Hotel Emissions'!$O:$O,MATCH(D178,'Hotel Emissions'!$C:$C,0)))</f>
        <v>16.910410780975194</v>
      </c>
      <c r="G178" s="64">
        <f>IF(INDEX('Hotel Emissions'!$X:$X,MATCH(D178,'Hotel Emissions'!$C:$C,0))="",INDEX('Hotel Emissions'!$AC:$AC,MATCH(D178,'Hotel Emissions'!$C:$C,0)),INDEX('Hotel Emissions'!$X:$X,MATCH(D178,'Hotel Emissions'!$C:$C,0)))</f>
        <v>41.238180878421765</v>
      </c>
      <c r="H178" s="64">
        <f>IF(INDEX('Hotel Emissions'!AG:$AG,MATCH(D178,'Hotel Emissions'!$C:$C,0))="",INDEX('Hotel Emissions'!$AL:$AL,MATCH(D178,'Hotel Emissions'!$C:$C,0)),INDEX('Hotel Emissions'!$AG:$AG,MATCH(D178,'Hotel Emissions'!$C:$C,0)))</f>
        <v>94.792983435676007</v>
      </c>
    </row>
    <row r="179" spans="1:8" x14ac:dyDescent="0.65">
      <c r="A179" s="32"/>
      <c r="B179" s="32" t="s">
        <v>164</v>
      </c>
      <c r="C179" s="32" t="s">
        <v>559</v>
      </c>
      <c r="D179" s="32" t="str">
        <f t="shared" si="2"/>
        <v>South Africa</v>
      </c>
      <c r="E179" s="64">
        <f>INDEX('Hotel Emissions'!$G:$G,MATCH(D179,'Hotel Emissions'!$C:$C,0))</f>
        <v>103.55037750960224</v>
      </c>
      <c r="F179" s="64">
        <f>IF(INDEX('Hotel Emissions'!$O:$O,MATCH(D179,'Hotel Emissions'!$C:$C,0))="",INDEX('Hotel Emissions'!$T:$T,MATCH(D179,'Hotel Emissions'!$C:$C,0)),INDEX('Hotel Emissions'!$O:$O,MATCH(D179,'Hotel Emissions'!$C:$C,0)))</f>
        <v>16.910410780975194</v>
      </c>
      <c r="G179" s="64">
        <f>IF(INDEX('Hotel Emissions'!$X:$X,MATCH(D179,'Hotel Emissions'!$C:$C,0))="",INDEX('Hotel Emissions'!$AC:$AC,MATCH(D179,'Hotel Emissions'!$C:$C,0)),INDEX('Hotel Emissions'!$X:$X,MATCH(D179,'Hotel Emissions'!$C:$C,0)))</f>
        <v>66.543957384996915</v>
      </c>
      <c r="H179" s="64">
        <f>IF(INDEX('Hotel Emissions'!AG:$AG,MATCH(D179,'Hotel Emissions'!$C:$C,0))="",INDEX('Hotel Emissions'!$AL:$AL,MATCH(D179,'Hotel Emissions'!$C:$C,0)),INDEX('Hotel Emissions'!$AG:$AG,MATCH(D179,'Hotel Emissions'!$C:$C,0)))</f>
        <v>94.792983435676007</v>
      </c>
    </row>
    <row r="180" spans="1:8" x14ac:dyDescent="0.65">
      <c r="A180" s="32"/>
      <c r="B180" s="31" t="s">
        <v>165</v>
      </c>
      <c r="C180" s="32" t="s">
        <v>297</v>
      </c>
      <c r="D180" s="32" t="str">
        <f t="shared" si="2"/>
        <v>Thailand</v>
      </c>
      <c r="E180" s="64">
        <f>INDEX('Hotel Emissions'!$G:$G,MATCH(D180,'Hotel Emissions'!$C:$C,0))</f>
        <v>104.67175654633746</v>
      </c>
      <c r="F180" s="64">
        <f>IF(INDEX('Hotel Emissions'!$O:$O,MATCH(D180,'Hotel Emissions'!$C:$C,0))="",INDEX('Hotel Emissions'!$T:$T,MATCH(D180,'Hotel Emissions'!$C:$C,0)),INDEX('Hotel Emissions'!$O:$O,MATCH(D180,'Hotel Emissions'!$C:$C,0)))</f>
        <v>43.770449087281946</v>
      </c>
      <c r="G180" s="64">
        <f>IF(INDEX('Hotel Emissions'!$X:$X,MATCH(D180,'Hotel Emissions'!$C:$C,0))="",INDEX('Hotel Emissions'!$AC:$AC,MATCH(D180,'Hotel Emissions'!$C:$C,0)),INDEX('Hotel Emissions'!$X:$X,MATCH(D180,'Hotel Emissions'!$C:$C,0)))</f>
        <v>88.402614542542324</v>
      </c>
      <c r="H180" s="64">
        <f>IF(INDEX('Hotel Emissions'!AG:$AG,MATCH(D180,'Hotel Emissions'!$C:$C,0))="",INDEX('Hotel Emissions'!$AL:$AL,MATCH(D180,'Hotel Emissions'!$C:$C,0)),INDEX('Hotel Emissions'!$AG:$AG,MATCH(D180,'Hotel Emissions'!$C:$C,0)))</f>
        <v>156.99818737165143</v>
      </c>
    </row>
    <row r="181" spans="1:8" x14ac:dyDescent="0.65">
      <c r="A181" s="32"/>
      <c r="B181" s="31" t="s">
        <v>166</v>
      </c>
      <c r="C181" s="32" t="s">
        <v>517</v>
      </c>
      <c r="D181" s="32" t="str">
        <f t="shared" si="2"/>
        <v>Indonesia</v>
      </c>
      <c r="E181" s="64">
        <f>INDEX('Hotel Emissions'!$G:$G,MATCH(D181,'Hotel Emissions'!$C:$C,0))</f>
        <v>80.036256097170437</v>
      </c>
      <c r="F181" s="64">
        <f>IF(INDEX('Hotel Emissions'!$O:$O,MATCH(D181,'Hotel Emissions'!$C:$C,0))="",INDEX('Hotel Emissions'!$T:$T,MATCH(D181,'Hotel Emissions'!$C:$C,0)),INDEX('Hotel Emissions'!$O:$O,MATCH(D181,'Hotel Emissions'!$C:$C,0)))</f>
        <v>40.129676534155031</v>
      </c>
      <c r="G181" s="64">
        <f>IF(INDEX('Hotel Emissions'!$X:$X,MATCH(D181,'Hotel Emissions'!$C:$C,0))="",INDEX('Hotel Emissions'!$AC:$AC,MATCH(D181,'Hotel Emissions'!$C:$C,0)),INDEX('Hotel Emissions'!$X:$X,MATCH(D181,'Hotel Emissions'!$C:$C,0)))</f>
        <v>72.917031956254306</v>
      </c>
      <c r="H181" s="64">
        <f>IF(INDEX('Hotel Emissions'!AG:$AG,MATCH(D181,'Hotel Emissions'!$C:$C,0))="",INDEX('Hotel Emissions'!$AL:$AL,MATCH(D181,'Hotel Emissions'!$C:$C,0)),INDEX('Hotel Emissions'!$AG:$AG,MATCH(D181,'Hotel Emissions'!$C:$C,0)))</f>
        <v>207.86323175228469</v>
      </c>
    </row>
    <row r="182" spans="1:8" x14ac:dyDescent="0.65">
      <c r="A182" s="32"/>
      <c r="B182" s="31" t="s">
        <v>167</v>
      </c>
      <c r="C182" s="32" t="s">
        <v>543</v>
      </c>
      <c r="D182" s="32" t="str">
        <f t="shared" si="2"/>
        <v>Morocco</v>
      </c>
      <c r="E182" s="64">
        <f>INDEX('Hotel Emissions'!$G:$G,MATCH(D182,'Hotel Emissions'!$C:$C,0))</f>
        <v>64.786712103740001</v>
      </c>
      <c r="F182" s="64">
        <f>IF(INDEX('Hotel Emissions'!$O:$O,MATCH(D182,'Hotel Emissions'!$C:$C,0))="",INDEX('Hotel Emissions'!$T:$T,MATCH(D182,'Hotel Emissions'!$C:$C,0)),INDEX('Hotel Emissions'!$O:$O,MATCH(D182,'Hotel Emissions'!$C:$C,0)))</f>
        <v>22.421330805272362</v>
      </c>
      <c r="G182" s="64">
        <f>IF(INDEX('Hotel Emissions'!$X:$X,MATCH(D182,'Hotel Emissions'!$C:$C,0))="",INDEX('Hotel Emissions'!$AC:$AC,MATCH(D182,'Hotel Emissions'!$C:$C,0)),INDEX('Hotel Emissions'!$X:$X,MATCH(D182,'Hotel Emissions'!$C:$C,0)))</f>
        <v>81.787795373044702</v>
      </c>
      <c r="H182" s="64">
        <f>IF(INDEX('Hotel Emissions'!AG:$AG,MATCH(D182,'Hotel Emissions'!$C:$C,0))="",INDEX('Hotel Emissions'!$AL:$AL,MATCH(D182,'Hotel Emissions'!$C:$C,0)),INDEX('Hotel Emissions'!$AG:$AG,MATCH(D182,'Hotel Emissions'!$C:$C,0)))</f>
        <v>105.55113658157052</v>
      </c>
    </row>
    <row r="183" spans="1:8" x14ac:dyDescent="0.65">
      <c r="B183" s="31" t="s">
        <v>168</v>
      </c>
      <c r="C183" s="32" t="s">
        <v>518</v>
      </c>
      <c r="D183" s="32" t="str">
        <f t="shared" si="2"/>
        <v>Dominican Republic</v>
      </c>
      <c r="E183" s="64">
        <f>INDEX('Hotel Emissions'!$G:$G,MATCH(D183,'Hotel Emissions'!$C:$C,0))</f>
        <v>49.703220941619364</v>
      </c>
      <c r="F183" s="64">
        <f>IF(INDEX('Hotel Emissions'!$O:$O,MATCH(D183,'Hotel Emissions'!$C:$C,0))="",INDEX('Hotel Emissions'!$T:$T,MATCH(D183,'Hotel Emissions'!$C:$C,0)),INDEX('Hotel Emissions'!$O:$O,MATCH(D183,'Hotel Emissions'!$C:$C,0)))</f>
        <v>16.910410780975194</v>
      </c>
      <c r="G183" s="64">
        <f>IF(INDEX('Hotel Emissions'!$X:$X,MATCH(D183,'Hotel Emissions'!$C:$C,0))="",INDEX('Hotel Emissions'!$AC:$AC,MATCH(D183,'Hotel Emissions'!$C:$C,0)),INDEX('Hotel Emissions'!$X:$X,MATCH(D183,'Hotel Emissions'!$C:$C,0)))</f>
        <v>41.238180878421765</v>
      </c>
      <c r="H183" s="64">
        <f>IF(INDEX('Hotel Emissions'!AG:$AG,MATCH(D183,'Hotel Emissions'!$C:$C,0))="",INDEX('Hotel Emissions'!$AL:$AL,MATCH(D183,'Hotel Emissions'!$C:$C,0)),INDEX('Hotel Emissions'!$AG:$AG,MATCH(D183,'Hotel Emissions'!$C:$C,0)))</f>
        <v>94.792983435676007</v>
      </c>
    </row>
    <row r="184" spans="1:8" x14ac:dyDescent="0.65">
      <c r="B184" s="31" t="s">
        <v>169</v>
      </c>
      <c r="C184" s="32" t="s">
        <v>519</v>
      </c>
      <c r="D184" s="32" t="str">
        <f t="shared" si="2"/>
        <v>Tunisia</v>
      </c>
      <c r="E184" s="64">
        <f>INDEX('Hotel Emissions'!$G:$G,MATCH(D184,'Hotel Emissions'!$C:$C,0))</f>
        <v>67.710246080020212</v>
      </c>
      <c r="F184" s="64">
        <f>IF(INDEX('Hotel Emissions'!$O:$O,MATCH(D184,'Hotel Emissions'!$C:$C,0))="",INDEX('Hotel Emissions'!$T:$T,MATCH(D184,'Hotel Emissions'!$C:$C,0)),INDEX('Hotel Emissions'!$O:$O,MATCH(D184,'Hotel Emissions'!$C:$C,0)))</f>
        <v>16.910410780975194</v>
      </c>
      <c r="G184" s="64">
        <f>IF(INDEX('Hotel Emissions'!$X:$X,MATCH(D184,'Hotel Emissions'!$C:$C,0))="",INDEX('Hotel Emissions'!$AC:$AC,MATCH(D184,'Hotel Emissions'!$C:$C,0)),INDEX('Hotel Emissions'!$X:$X,MATCH(D184,'Hotel Emissions'!$C:$C,0)))</f>
        <v>41.238180878421765</v>
      </c>
      <c r="H184" s="64">
        <f>IF(INDEX('Hotel Emissions'!AG:$AG,MATCH(D184,'Hotel Emissions'!$C:$C,0))="",INDEX('Hotel Emissions'!$AL:$AL,MATCH(D184,'Hotel Emissions'!$C:$C,0)),INDEX('Hotel Emissions'!$AG:$AG,MATCH(D184,'Hotel Emissions'!$C:$C,0)))</f>
        <v>94.792983435676007</v>
      </c>
    </row>
    <row r="185" spans="1:8" x14ac:dyDescent="0.65">
      <c r="B185" s="31" t="s">
        <v>170</v>
      </c>
      <c r="C185" s="32" t="s">
        <v>520</v>
      </c>
      <c r="D185" s="32" t="str">
        <f t="shared" si="2"/>
        <v>Turkey</v>
      </c>
      <c r="E185" s="64">
        <f>INDEX('Hotel Emissions'!$G:$G,MATCH(D185,'Hotel Emissions'!$C:$C,0))</f>
        <v>39.848766633134431</v>
      </c>
      <c r="F185" s="64">
        <f>IF(INDEX('Hotel Emissions'!$O:$O,MATCH(D185,'Hotel Emissions'!$C:$C,0))="",INDEX('Hotel Emissions'!$T:$T,MATCH(D185,'Hotel Emissions'!$C:$C,0)),INDEX('Hotel Emissions'!$O:$O,MATCH(D185,'Hotel Emissions'!$C:$C,0)))</f>
        <v>15.380150823335409</v>
      </c>
      <c r="G185" s="64">
        <f>IF(INDEX('Hotel Emissions'!$X:$X,MATCH(D185,'Hotel Emissions'!$C:$C,0))="",INDEX('Hotel Emissions'!$AC:$AC,MATCH(D185,'Hotel Emissions'!$C:$C,0)),INDEX('Hotel Emissions'!$X:$X,MATCH(D185,'Hotel Emissions'!$C:$C,0)))</f>
        <v>32.385195801724358</v>
      </c>
      <c r="H185" s="64">
        <f>IF(INDEX('Hotel Emissions'!AG:$AG,MATCH(D185,'Hotel Emissions'!$C:$C,0))="",INDEX('Hotel Emissions'!$AL:$AL,MATCH(D185,'Hotel Emissions'!$C:$C,0)),INDEX('Hotel Emissions'!$AG:$AG,MATCH(D185,'Hotel Emissions'!$C:$C,0)))</f>
        <v>73.030535930185451</v>
      </c>
    </row>
    <row r="186" spans="1:8" x14ac:dyDescent="0.65">
      <c r="B186" s="31" t="s">
        <v>171</v>
      </c>
      <c r="C186" s="32" t="s">
        <v>521</v>
      </c>
      <c r="D186" s="32" t="str">
        <f t="shared" si="2"/>
        <v>Kazakhstan</v>
      </c>
      <c r="E186" s="64">
        <f>INDEX('Hotel Emissions'!$G:$G,MATCH(D186,'Hotel Emissions'!$C:$C,0))</f>
        <v>75.344261830219864</v>
      </c>
      <c r="F186" s="64">
        <f>IF(INDEX('Hotel Emissions'!$O:$O,MATCH(D186,'Hotel Emissions'!$C:$C,0))="",INDEX('Hotel Emissions'!$T:$T,MATCH(D186,'Hotel Emissions'!$C:$C,0)),INDEX('Hotel Emissions'!$O:$O,MATCH(D186,'Hotel Emissions'!$C:$C,0)))</f>
        <v>16.910410780975194</v>
      </c>
      <c r="G186" s="64">
        <f>IF(INDEX('Hotel Emissions'!$X:$X,MATCH(D186,'Hotel Emissions'!$C:$C,0))="",INDEX('Hotel Emissions'!$AC:$AC,MATCH(D186,'Hotel Emissions'!$C:$C,0)),INDEX('Hotel Emissions'!$X:$X,MATCH(D186,'Hotel Emissions'!$C:$C,0)))</f>
        <v>41.238180878421765</v>
      </c>
      <c r="H186" s="64">
        <f>IF(INDEX('Hotel Emissions'!AG:$AG,MATCH(D186,'Hotel Emissions'!$C:$C,0))="",INDEX('Hotel Emissions'!$AL:$AL,MATCH(D186,'Hotel Emissions'!$C:$C,0)),INDEX('Hotel Emissions'!$AG:$AG,MATCH(D186,'Hotel Emissions'!$C:$C,0)))</f>
        <v>94.792983435676007</v>
      </c>
    </row>
    <row r="187" spans="1:8" x14ac:dyDescent="0.65">
      <c r="B187" s="31" t="s">
        <v>172</v>
      </c>
      <c r="C187" s="32" t="s">
        <v>522</v>
      </c>
      <c r="D187" s="32" t="str">
        <f t="shared" si="2"/>
        <v>South Africa</v>
      </c>
      <c r="E187" s="64">
        <f>INDEX('Hotel Emissions'!$G:$G,MATCH(D187,'Hotel Emissions'!$C:$C,0))</f>
        <v>103.55037750960224</v>
      </c>
      <c r="F187" s="64">
        <f>IF(INDEX('Hotel Emissions'!$O:$O,MATCH(D187,'Hotel Emissions'!$C:$C,0))="",INDEX('Hotel Emissions'!$T:$T,MATCH(D187,'Hotel Emissions'!$C:$C,0)),INDEX('Hotel Emissions'!$O:$O,MATCH(D187,'Hotel Emissions'!$C:$C,0)))</f>
        <v>16.910410780975194</v>
      </c>
      <c r="G187" s="64">
        <f>IF(INDEX('Hotel Emissions'!$X:$X,MATCH(D187,'Hotel Emissions'!$C:$C,0))="",INDEX('Hotel Emissions'!$AC:$AC,MATCH(D187,'Hotel Emissions'!$C:$C,0)),INDEX('Hotel Emissions'!$X:$X,MATCH(D187,'Hotel Emissions'!$C:$C,0)))</f>
        <v>66.543957384996915</v>
      </c>
      <c r="H187" s="64">
        <f>IF(INDEX('Hotel Emissions'!AG:$AG,MATCH(D187,'Hotel Emissions'!$C:$C,0))="",INDEX('Hotel Emissions'!$AL:$AL,MATCH(D187,'Hotel Emissions'!$C:$C,0)),INDEX('Hotel Emissions'!$AG:$AG,MATCH(D187,'Hotel Emissions'!$C:$C,0)))</f>
        <v>94.792983435676007</v>
      </c>
    </row>
    <row r="188" spans="1:8" x14ac:dyDescent="0.65">
      <c r="B188" s="31" t="s">
        <v>173</v>
      </c>
      <c r="C188" s="32" t="s">
        <v>544</v>
      </c>
      <c r="D188" s="32" t="str">
        <f t="shared" si="2"/>
        <v>Poland</v>
      </c>
      <c r="E188" s="64">
        <f>INDEX('Hotel Emissions'!$G:$G,MATCH(D188,'Hotel Emissions'!$C:$C,0))</f>
        <v>37.616564741588029</v>
      </c>
      <c r="F188" s="64">
        <f>IF(INDEX('Hotel Emissions'!$O:$O,MATCH(D188,'Hotel Emissions'!$C:$C,0))="",INDEX('Hotel Emissions'!$T:$T,MATCH(D188,'Hotel Emissions'!$C:$C,0)),INDEX('Hotel Emissions'!$O:$O,MATCH(D188,'Hotel Emissions'!$C:$C,0)))</f>
        <v>26.102263630661465</v>
      </c>
      <c r="G188" s="64">
        <f>IF(INDEX('Hotel Emissions'!$X:$X,MATCH(D188,'Hotel Emissions'!$C:$C,0))="",INDEX('Hotel Emissions'!$AC:$AC,MATCH(D188,'Hotel Emissions'!$C:$C,0)),INDEX('Hotel Emissions'!$X:$X,MATCH(D188,'Hotel Emissions'!$C:$C,0)))</f>
        <v>38.117914630559298</v>
      </c>
      <c r="H188" s="64">
        <f>IF(INDEX('Hotel Emissions'!AG:$AG,MATCH(D188,'Hotel Emissions'!$C:$C,0))="",INDEX('Hotel Emissions'!$AL:$AL,MATCH(D188,'Hotel Emissions'!$C:$C,0)),INDEX('Hotel Emissions'!$AG:$AG,MATCH(D188,'Hotel Emissions'!$C:$C,0)))</f>
        <v>75.497386001437874</v>
      </c>
    </row>
    <row r="189" spans="1:8" x14ac:dyDescent="0.65">
      <c r="B189" s="31" t="s">
        <v>174</v>
      </c>
      <c r="C189" s="32" t="s">
        <v>292</v>
      </c>
      <c r="D189" s="32" t="str">
        <f t="shared" si="2"/>
        <v>United Arab Emirates</v>
      </c>
      <c r="E189" s="64">
        <f>INDEX('Hotel Emissions'!$G:$G,MATCH(D189,'Hotel Emissions'!$C:$C,0))</f>
        <v>65.404778401055538</v>
      </c>
      <c r="F189" s="64">
        <f>IF(INDEX('Hotel Emissions'!$O:$O,MATCH(D189,'Hotel Emissions'!$C:$C,0))="",INDEX('Hotel Emissions'!$T:$T,MATCH(D189,'Hotel Emissions'!$C:$C,0)),INDEX('Hotel Emissions'!$O:$O,MATCH(D189,'Hotel Emissions'!$C:$C,0)))</f>
        <v>30.881961333738559</v>
      </c>
      <c r="G189" s="64">
        <f>IF(INDEX('Hotel Emissions'!$X:$X,MATCH(D189,'Hotel Emissions'!$C:$C,0))="",INDEX('Hotel Emissions'!$AC:$AC,MATCH(D189,'Hotel Emissions'!$C:$C,0)),INDEX('Hotel Emissions'!$X:$X,MATCH(D189,'Hotel Emissions'!$C:$C,0)))</f>
        <v>64.79485046343261</v>
      </c>
      <c r="H189" s="64">
        <f>IF(INDEX('Hotel Emissions'!AG:$AG,MATCH(D189,'Hotel Emissions'!$C:$C,0))="",INDEX('Hotel Emissions'!$AL:$AL,MATCH(D189,'Hotel Emissions'!$C:$C,0)),INDEX('Hotel Emissions'!$AG:$AG,MATCH(D189,'Hotel Emissions'!$C:$C,0)))</f>
        <v>91.913076505026268</v>
      </c>
    </row>
    <row r="190" spans="1:8" x14ac:dyDescent="0.65">
      <c r="B190" s="31" t="s">
        <v>175</v>
      </c>
      <c r="C190" s="32" t="s">
        <v>263</v>
      </c>
      <c r="D190" s="32" t="str">
        <f t="shared" si="2"/>
        <v>United Kingdom</v>
      </c>
      <c r="E190" s="64">
        <f>INDEX('Hotel Emissions'!$G:$G,MATCH(D190,'Hotel Emissions'!$C:$C,0))</f>
        <v>12.591941755204047</v>
      </c>
      <c r="F190" s="64">
        <f>IF(INDEX('Hotel Emissions'!$O:$O,MATCH(D190,'Hotel Emissions'!$C:$C,0))="",INDEX('Hotel Emissions'!$T:$T,MATCH(D190,'Hotel Emissions'!$C:$C,0)),INDEX('Hotel Emissions'!$O:$O,MATCH(D190,'Hotel Emissions'!$C:$C,0)))</f>
        <v>9.5434123326359739</v>
      </c>
      <c r="G190" s="64">
        <f>IF(INDEX('Hotel Emissions'!$X:$X,MATCH(D190,'Hotel Emissions'!$C:$C,0))="",INDEX('Hotel Emissions'!$AC:$AC,MATCH(D190,'Hotel Emissions'!$C:$C,0)),INDEX('Hotel Emissions'!$X:$X,MATCH(D190,'Hotel Emissions'!$C:$C,0)))</f>
        <v>16.064268482045598</v>
      </c>
      <c r="H190" s="64">
        <f>IF(INDEX('Hotel Emissions'!AG:$AG,MATCH(D190,'Hotel Emissions'!$C:$C,0))="",INDEX('Hotel Emissions'!$AL:$AL,MATCH(D190,'Hotel Emissions'!$C:$C,0)),INDEX('Hotel Emissions'!$AG:$AG,MATCH(D190,'Hotel Emissions'!$C:$C,0)))</f>
        <v>58.340785480072519</v>
      </c>
    </row>
    <row r="191" spans="1:8" x14ac:dyDescent="0.65">
      <c r="B191" s="31" t="s">
        <v>176</v>
      </c>
      <c r="C191" s="32" t="s">
        <v>528</v>
      </c>
      <c r="D191" s="32" t="str">
        <f t="shared" si="2"/>
        <v>United States</v>
      </c>
      <c r="E191" s="64">
        <f>INDEX('Hotel Emissions'!$G:$G,MATCH(D191,'Hotel Emissions'!$C:$C,0))</f>
        <v>15.02089850168875</v>
      </c>
      <c r="F191" s="64">
        <f>IF(INDEX('Hotel Emissions'!$O:$O,MATCH(D191,'Hotel Emissions'!$C:$C,0))="",INDEX('Hotel Emissions'!$T:$T,MATCH(D191,'Hotel Emissions'!$C:$C,0)),INDEX('Hotel Emissions'!$O:$O,MATCH(D191,'Hotel Emissions'!$C:$C,0)))</f>
        <v>15.549062024454551</v>
      </c>
      <c r="G191" s="64">
        <f>IF(INDEX('Hotel Emissions'!$X:$X,MATCH(D191,'Hotel Emissions'!$C:$C,0))="",INDEX('Hotel Emissions'!$AC:$AC,MATCH(D191,'Hotel Emissions'!$C:$C,0)),INDEX('Hotel Emissions'!$X:$X,MATCH(D191,'Hotel Emissions'!$C:$C,0)))</f>
        <v>28.960376449373108</v>
      </c>
      <c r="H191" s="64">
        <f>IF(INDEX('Hotel Emissions'!AG:$AG,MATCH(D191,'Hotel Emissions'!$C:$C,0))="",INDEX('Hotel Emissions'!$AL:$AL,MATCH(D191,'Hotel Emissions'!$C:$C,0)),INDEX('Hotel Emissions'!$AG:$AG,MATCH(D191,'Hotel Emissions'!$C:$C,0)))</f>
        <v>67.324023553512831</v>
      </c>
    </row>
    <row r="192" spans="1:8" x14ac:dyDescent="0.65">
      <c r="B192" s="31" t="s">
        <v>176</v>
      </c>
      <c r="C192" s="32" t="s">
        <v>529</v>
      </c>
      <c r="D192" s="32" t="str">
        <f t="shared" si="2"/>
        <v>United States</v>
      </c>
      <c r="E192" s="64">
        <f>INDEX('Hotel Emissions'!$G:$G,MATCH(D192,'Hotel Emissions'!$C:$C,0))</f>
        <v>15.02089850168875</v>
      </c>
      <c r="F192" s="64">
        <f>IF(INDEX('Hotel Emissions'!$O:$O,MATCH(D192,'Hotel Emissions'!$C:$C,0))="",INDEX('Hotel Emissions'!$T:$T,MATCH(D192,'Hotel Emissions'!$C:$C,0)),INDEX('Hotel Emissions'!$O:$O,MATCH(D192,'Hotel Emissions'!$C:$C,0)))</f>
        <v>15.549062024454551</v>
      </c>
      <c r="G192" s="64">
        <f>IF(INDEX('Hotel Emissions'!$X:$X,MATCH(D192,'Hotel Emissions'!$C:$C,0))="",INDEX('Hotel Emissions'!$AC:$AC,MATCH(D192,'Hotel Emissions'!$C:$C,0)),INDEX('Hotel Emissions'!$X:$X,MATCH(D192,'Hotel Emissions'!$C:$C,0)))</f>
        <v>28.960376449373108</v>
      </c>
      <c r="H192" s="64">
        <f>IF(INDEX('Hotel Emissions'!AG:$AG,MATCH(D192,'Hotel Emissions'!$C:$C,0))="",INDEX('Hotel Emissions'!$AL:$AL,MATCH(D192,'Hotel Emissions'!$C:$C,0)),INDEX('Hotel Emissions'!$AG:$AG,MATCH(D192,'Hotel Emissions'!$C:$C,0)))</f>
        <v>67.324023553512831</v>
      </c>
    </row>
    <row r="193" spans="2:8" x14ac:dyDescent="0.65">
      <c r="B193" s="31" t="s">
        <v>176</v>
      </c>
      <c r="C193" s="32" t="s">
        <v>530</v>
      </c>
      <c r="D193" s="32" t="str">
        <f t="shared" si="2"/>
        <v>United States</v>
      </c>
      <c r="E193" s="64">
        <f>INDEX('Hotel Emissions'!$G:$G,MATCH(D193,'Hotel Emissions'!$C:$C,0))</f>
        <v>15.02089850168875</v>
      </c>
      <c r="F193" s="64">
        <f>IF(INDEX('Hotel Emissions'!$O:$O,MATCH(D193,'Hotel Emissions'!$C:$C,0))="",INDEX('Hotel Emissions'!$T:$T,MATCH(D193,'Hotel Emissions'!$C:$C,0)),INDEX('Hotel Emissions'!$O:$O,MATCH(D193,'Hotel Emissions'!$C:$C,0)))</f>
        <v>15.549062024454551</v>
      </c>
      <c r="G193" s="64">
        <f>IF(INDEX('Hotel Emissions'!$X:$X,MATCH(D193,'Hotel Emissions'!$C:$C,0))="",INDEX('Hotel Emissions'!$AC:$AC,MATCH(D193,'Hotel Emissions'!$C:$C,0)),INDEX('Hotel Emissions'!$X:$X,MATCH(D193,'Hotel Emissions'!$C:$C,0)))</f>
        <v>28.960376449373108</v>
      </c>
      <c r="H193" s="64">
        <f>IF(INDEX('Hotel Emissions'!AG:$AG,MATCH(D193,'Hotel Emissions'!$C:$C,0))="",INDEX('Hotel Emissions'!$AL:$AL,MATCH(D193,'Hotel Emissions'!$C:$C,0)),INDEX('Hotel Emissions'!$AG:$AG,MATCH(D193,'Hotel Emissions'!$C:$C,0)))</f>
        <v>67.324023553512831</v>
      </c>
    </row>
    <row r="194" spans="2:8" x14ac:dyDescent="0.65">
      <c r="B194" s="31" t="s">
        <v>176</v>
      </c>
      <c r="C194" s="32" t="s">
        <v>552</v>
      </c>
      <c r="D194" s="32" t="str">
        <f t="shared" si="2"/>
        <v>United States</v>
      </c>
      <c r="E194" s="64">
        <f>INDEX('Hotel Emissions'!$G:$G,MATCH(D194,'Hotel Emissions'!$C:$C,0))</f>
        <v>15.02089850168875</v>
      </c>
      <c r="F194" s="64">
        <f>IF(INDEX('Hotel Emissions'!$O:$O,MATCH(D194,'Hotel Emissions'!$C:$C,0))="",INDEX('Hotel Emissions'!$T:$T,MATCH(D194,'Hotel Emissions'!$C:$C,0)),INDEX('Hotel Emissions'!$O:$O,MATCH(D194,'Hotel Emissions'!$C:$C,0)))</f>
        <v>15.549062024454551</v>
      </c>
      <c r="G194" s="64">
        <f>IF(INDEX('Hotel Emissions'!$X:$X,MATCH(D194,'Hotel Emissions'!$C:$C,0))="",INDEX('Hotel Emissions'!$AC:$AC,MATCH(D194,'Hotel Emissions'!$C:$C,0)),INDEX('Hotel Emissions'!$X:$X,MATCH(D194,'Hotel Emissions'!$C:$C,0)))</f>
        <v>28.960376449373108</v>
      </c>
      <c r="H194" s="64">
        <f>IF(INDEX('Hotel Emissions'!AG:$AG,MATCH(D194,'Hotel Emissions'!$C:$C,0))="",INDEX('Hotel Emissions'!$AL:$AL,MATCH(D194,'Hotel Emissions'!$C:$C,0)),INDEX('Hotel Emissions'!$AG:$AG,MATCH(D194,'Hotel Emissions'!$C:$C,0)))</f>
        <v>67.324023553512831</v>
      </c>
    </row>
    <row r="195" spans="2:8" x14ac:dyDescent="0.65">
      <c r="B195" s="31" t="s">
        <v>177</v>
      </c>
      <c r="C195" s="32" t="s">
        <v>320</v>
      </c>
      <c r="D195" s="32" t="str">
        <f t="shared" si="2"/>
        <v>Uruguay</v>
      </c>
      <c r="E195" s="64">
        <f>INDEX('Hotel Emissions'!$G:$G,MATCH(D195,'Hotel Emissions'!$C:$C,0))</f>
        <v>8.4171957285329242</v>
      </c>
      <c r="F195" s="64">
        <f>IF(INDEX('Hotel Emissions'!$O:$O,MATCH(D195,'Hotel Emissions'!$C:$C,0))="",INDEX('Hotel Emissions'!$T:$T,MATCH(D195,'Hotel Emissions'!$C:$C,0)),INDEX('Hotel Emissions'!$O:$O,MATCH(D195,'Hotel Emissions'!$C:$C,0)))</f>
        <v>16.910410780975194</v>
      </c>
      <c r="G195" s="64">
        <f>IF(INDEX('Hotel Emissions'!$X:$X,MATCH(D195,'Hotel Emissions'!$C:$C,0))="",INDEX('Hotel Emissions'!$AC:$AC,MATCH(D195,'Hotel Emissions'!$C:$C,0)),INDEX('Hotel Emissions'!$X:$X,MATCH(D195,'Hotel Emissions'!$C:$C,0)))</f>
        <v>41.238180878421765</v>
      </c>
      <c r="H195" s="64">
        <f>IF(INDEX('Hotel Emissions'!AG:$AG,MATCH(D195,'Hotel Emissions'!$C:$C,0))="",INDEX('Hotel Emissions'!$AL:$AL,MATCH(D195,'Hotel Emissions'!$C:$C,0)),INDEX('Hotel Emissions'!$AG:$AG,MATCH(D195,'Hotel Emissions'!$C:$C,0)))</f>
        <v>94.792983435676007</v>
      </c>
    </row>
    <row r="196" spans="2:8" x14ac:dyDescent="0.65">
      <c r="B196" s="31" t="s">
        <v>178</v>
      </c>
      <c r="C196" s="32" t="s">
        <v>523</v>
      </c>
      <c r="D196" s="32" t="str">
        <f t="shared" si="2"/>
        <v>Kazakhstan</v>
      </c>
      <c r="E196" s="64">
        <f>INDEX('Hotel Emissions'!$G:$G,MATCH(D196,'Hotel Emissions'!$C:$C,0))</f>
        <v>75.344261830219864</v>
      </c>
      <c r="F196" s="64">
        <f>IF(INDEX('Hotel Emissions'!$O:$O,MATCH(D196,'Hotel Emissions'!$C:$C,0))="",INDEX('Hotel Emissions'!$T:$T,MATCH(D196,'Hotel Emissions'!$C:$C,0)),INDEX('Hotel Emissions'!$O:$O,MATCH(D196,'Hotel Emissions'!$C:$C,0)))</f>
        <v>16.910410780975194</v>
      </c>
      <c r="G196" s="64">
        <f>IF(INDEX('Hotel Emissions'!$X:$X,MATCH(D196,'Hotel Emissions'!$C:$C,0))="",INDEX('Hotel Emissions'!$AC:$AC,MATCH(D196,'Hotel Emissions'!$C:$C,0)),INDEX('Hotel Emissions'!$X:$X,MATCH(D196,'Hotel Emissions'!$C:$C,0)))</f>
        <v>41.238180878421765</v>
      </c>
      <c r="H196" s="64">
        <f>IF(INDEX('Hotel Emissions'!AG:$AG,MATCH(D196,'Hotel Emissions'!$C:$C,0))="",INDEX('Hotel Emissions'!$AL:$AL,MATCH(D196,'Hotel Emissions'!$C:$C,0)),INDEX('Hotel Emissions'!$AG:$AG,MATCH(D196,'Hotel Emissions'!$C:$C,0)))</f>
        <v>94.792983435676007</v>
      </c>
    </row>
    <row r="197" spans="2:8" x14ac:dyDescent="0.65">
      <c r="B197" s="31" t="s">
        <v>179</v>
      </c>
      <c r="C197" s="32" t="s">
        <v>524</v>
      </c>
      <c r="D197" s="32" t="str">
        <f t="shared" si="2"/>
        <v>Colombia</v>
      </c>
      <c r="E197" s="64">
        <f>INDEX('Hotel Emissions'!$G:$G,MATCH(D197,'Hotel Emissions'!$C:$C,0))</f>
        <v>14.267918673051788</v>
      </c>
      <c r="F197" s="64">
        <f>IF(INDEX('Hotel Emissions'!$O:$O,MATCH(D197,'Hotel Emissions'!$C:$C,0))="",INDEX('Hotel Emissions'!$T:$T,MATCH(D197,'Hotel Emissions'!$C:$C,0)),INDEX('Hotel Emissions'!$O:$O,MATCH(D197,'Hotel Emissions'!$C:$C,0)))</f>
        <v>8.9790894897367455</v>
      </c>
      <c r="G197" s="64">
        <f>IF(INDEX('Hotel Emissions'!$X:$X,MATCH(D197,'Hotel Emissions'!$C:$C,0))="",INDEX('Hotel Emissions'!$AC:$AC,MATCH(D197,'Hotel Emissions'!$C:$C,0)),INDEX('Hotel Emissions'!$X:$X,MATCH(D197,'Hotel Emissions'!$C:$C,0)))</f>
        <v>16.225718608370105</v>
      </c>
      <c r="H197" s="64">
        <f>IF(INDEX('Hotel Emissions'!AG:$AG,MATCH(D197,'Hotel Emissions'!$C:$C,0))="",INDEX('Hotel Emissions'!$AL:$AL,MATCH(D197,'Hotel Emissions'!$C:$C,0)),INDEX('Hotel Emissions'!$AG:$AG,MATCH(D197,'Hotel Emissions'!$C:$C,0)))</f>
        <v>31.301148694206912</v>
      </c>
    </row>
    <row r="198" spans="2:8" x14ac:dyDescent="0.65">
      <c r="B198" s="31" t="s">
        <v>180</v>
      </c>
      <c r="C198" s="32" t="s">
        <v>308</v>
      </c>
      <c r="D198" s="32" t="str">
        <f t="shared" ref="D198:D205" si="3">_xlfn.IFNA(INDEX($M$19:$M$149,MATCH(B198,$L$19:$L$149,0)),B198)</f>
        <v>Vietnam</v>
      </c>
      <c r="E198" s="64">
        <f>INDEX('Hotel Emissions'!$G:$G,MATCH(D198,'Hotel Emissions'!$C:$C,0))</f>
        <v>124.99123159793373</v>
      </c>
      <c r="F198" s="64">
        <f>IF(INDEX('Hotel Emissions'!$O:$O,MATCH(D198,'Hotel Emissions'!$C:$C,0))="",INDEX('Hotel Emissions'!$T:$T,MATCH(D198,'Hotel Emissions'!$C:$C,0)),INDEX('Hotel Emissions'!$O:$O,MATCH(D198,'Hotel Emissions'!$C:$C,0)))</f>
        <v>16.910410780975194</v>
      </c>
      <c r="G198" s="64">
        <f>IF(INDEX('Hotel Emissions'!$X:$X,MATCH(D198,'Hotel Emissions'!$C:$C,0))="",INDEX('Hotel Emissions'!$AC:$AC,MATCH(D198,'Hotel Emissions'!$C:$C,0)),INDEX('Hotel Emissions'!$X:$X,MATCH(D198,'Hotel Emissions'!$C:$C,0)))</f>
        <v>93.011141050007311</v>
      </c>
      <c r="H198" s="64">
        <f>IF(INDEX('Hotel Emissions'!AG:$AG,MATCH(D198,'Hotel Emissions'!$C:$C,0))="",INDEX('Hotel Emissions'!$AL:$AL,MATCH(D198,'Hotel Emissions'!$C:$C,0)),INDEX('Hotel Emissions'!$AG:$AG,MATCH(D198,'Hotel Emissions'!$C:$C,0)))</f>
        <v>160.73845662149762</v>
      </c>
    </row>
    <row r="199" spans="2:8" x14ac:dyDescent="0.65">
      <c r="B199" s="31" t="s">
        <v>181</v>
      </c>
      <c r="C199" s="32" t="s">
        <v>553</v>
      </c>
      <c r="D199" s="32" t="str">
        <f t="shared" si="3"/>
        <v>Saudi Arabia</v>
      </c>
      <c r="E199" s="64">
        <f>INDEX('Hotel Emissions'!$G:$G,MATCH(D199,'Hotel Emissions'!$C:$C,0))</f>
        <v>115.93364863820152</v>
      </c>
      <c r="F199" s="64">
        <f>IF(INDEX('Hotel Emissions'!$O:$O,MATCH(D199,'Hotel Emissions'!$C:$C,0))="",INDEX('Hotel Emissions'!$T:$T,MATCH(D199,'Hotel Emissions'!$C:$C,0)),INDEX('Hotel Emissions'!$O:$O,MATCH(D199,'Hotel Emissions'!$C:$C,0)))</f>
        <v>47.451413821239164</v>
      </c>
      <c r="G199" s="64">
        <f>IF(INDEX('Hotel Emissions'!$X:$X,MATCH(D199,'Hotel Emissions'!$C:$C,0))="",INDEX('Hotel Emissions'!$AC:$AC,MATCH(D199,'Hotel Emissions'!$C:$C,0)),INDEX('Hotel Emissions'!$X:$X,MATCH(D199,'Hotel Emissions'!$C:$C,0)))</f>
        <v>122.4268714852297</v>
      </c>
      <c r="H199" s="64">
        <f>IF(INDEX('Hotel Emissions'!AG:$AG,MATCH(D199,'Hotel Emissions'!$C:$C,0))="",INDEX('Hotel Emissions'!$AL:$AL,MATCH(D199,'Hotel Emissions'!$C:$C,0)),INDEX('Hotel Emissions'!$AG:$AG,MATCH(D199,'Hotel Emissions'!$C:$C,0)))</f>
        <v>147.7026973077889</v>
      </c>
    </row>
    <row r="200" spans="2:8" x14ac:dyDescent="0.65">
      <c r="B200" s="31" t="s">
        <v>182</v>
      </c>
      <c r="C200" s="32" t="s">
        <v>525</v>
      </c>
      <c r="D200" s="32" t="str">
        <f t="shared" si="3"/>
        <v>South Africa</v>
      </c>
      <c r="E200" s="64">
        <f>INDEX('Hotel Emissions'!$G:$G,MATCH(D200,'Hotel Emissions'!$C:$C,0))</f>
        <v>103.55037750960224</v>
      </c>
      <c r="F200" s="64">
        <f>IF(INDEX('Hotel Emissions'!$O:$O,MATCH(D200,'Hotel Emissions'!$C:$C,0))="",INDEX('Hotel Emissions'!$T:$T,MATCH(D200,'Hotel Emissions'!$C:$C,0)),INDEX('Hotel Emissions'!$O:$O,MATCH(D200,'Hotel Emissions'!$C:$C,0)))</f>
        <v>16.910410780975194</v>
      </c>
      <c r="G200" s="64">
        <f>IF(INDEX('Hotel Emissions'!$X:$X,MATCH(D200,'Hotel Emissions'!$C:$C,0))="",INDEX('Hotel Emissions'!$AC:$AC,MATCH(D200,'Hotel Emissions'!$C:$C,0)),INDEX('Hotel Emissions'!$X:$X,MATCH(D200,'Hotel Emissions'!$C:$C,0)))</f>
        <v>66.543957384996915</v>
      </c>
      <c r="H200" s="64">
        <f>IF(INDEX('Hotel Emissions'!AG:$AG,MATCH(D200,'Hotel Emissions'!$C:$C,0))="",INDEX('Hotel Emissions'!$AL:$AL,MATCH(D200,'Hotel Emissions'!$C:$C,0)),INDEX('Hotel Emissions'!$AG:$AG,MATCH(D200,'Hotel Emissions'!$C:$C,0)))</f>
        <v>94.792983435676007</v>
      </c>
    </row>
    <row r="201" spans="2:8" x14ac:dyDescent="0.65">
      <c r="B201" s="31" t="s">
        <v>183</v>
      </c>
      <c r="C201" s="32" t="s">
        <v>526</v>
      </c>
      <c r="D201" s="32" t="str">
        <f t="shared" si="3"/>
        <v>South Africa</v>
      </c>
      <c r="E201" s="64">
        <f>INDEX('Hotel Emissions'!$G:$G,MATCH(D201,'Hotel Emissions'!$C:$C,0))</f>
        <v>103.55037750960224</v>
      </c>
      <c r="F201" s="64">
        <f>IF(INDEX('Hotel Emissions'!$O:$O,MATCH(D201,'Hotel Emissions'!$C:$C,0))="",INDEX('Hotel Emissions'!$T:$T,MATCH(D201,'Hotel Emissions'!$C:$C,0)),INDEX('Hotel Emissions'!$O:$O,MATCH(D201,'Hotel Emissions'!$C:$C,0)))</f>
        <v>16.910410780975194</v>
      </c>
      <c r="G201" s="64">
        <f>IF(INDEX('Hotel Emissions'!$X:$X,MATCH(D201,'Hotel Emissions'!$C:$C,0))="",INDEX('Hotel Emissions'!$AC:$AC,MATCH(D201,'Hotel Emissions'!$C:$C,0)),INDEX('Hotel Emissions'!$X:$X,MATCH(D201,'Hotel Emissions'!$C:$C,0)))</f>
        <v>66.543957384996915</v>
      </c>
      <c r="H201" s="64">
        <f>IF(INDEX('Hotel Emissions'!AG:$AG,MATCH(D201,'Hotel Emissions'!$C:$C,0))="",INDEX('Hotel Emissions'!$AL:$AL,MATCH(D201,'Hotel Emissions'!$C:$C,0)),INDEX('Hotel Emissions'!$AG:$AG,MATCH(D201,'Hotel Emissions'!$C:$C,0)))</f>
        <v>94.792983435676007</v>
      </c>
    </row>
    <row r="202" spans="2:8" x14ac:dyDescent="0.65">
      <c r="B202" s="31" t="s">
        <v>180</v>
      </c>
      <c r="C202" s="32" t="s">
        <v>309</v>
      </c>
      <c r="D202" s="32" t="str">
        <f t="shared" si="3"/>
        <v>Vietnam</v>
      </c>
      <c r="E202" s="64">
        <f>INDEX('Hotel Emissions'!$G:$G,MATCH(D202,'Hotel Emissions'!$C:$C,0))</f>
        <v>124.99123159793373</v>
      </c>
      <c r="F202" s="64">
        <f>IF(INDEX('Hotel Emissions'!$O:$O,MATCH(D202,'Hotel Emissions'!$C:$C,0))="",INDEX('Hotel Emissions'!$T:$T,MATCH(D202,'Hotel Emissions'!$C:$C,0)),INDEX('Hotel Emissions'!$O:$O,MATCH(D202,'Hotel Emissions'!$C:$C,0)))</f>
        <v>16.910410780975194</v>
      </c>
      <c r="G202" s="64">
        <f>IF(INDEX('Hotel Emissions'!$X:$X,MATCH(D202,'Hotel Emissions'!$C:$C,0))="",INDEX('Hotel Emissions'!$AC:$AC,MATCH(D202,'Hotel Emissions'!$C:$C,0)),INDEX('Hotel Emissions'!$X:$X,MATCH(D202,'Hotel Emissions'!$C:$C,0)))</f>
        <v>93.011141050007311</v>
      </c>
      <c r="H202" s="64">
        <f>IF(INDEX('Hotel Emissions'!AG:$AG,MATCH(D202,'Hotel Emissions'!$C:$C,0))="",INDEX('Hotel Emissions'!$AL:$AL,MATCH(D202,'Hotel Emissions'!$C:$C,0)),INDEX('Hotel Emissions'!$AG:$AG,MATCH(D202,'Hotel Emissions'!$C:$C,0)))</f>
        <v>160.73845662149762</v>
      </c>
    </row>
    <row r="203" spans="2:8" x14ac:dyDescent="0.65">
      <c r="B203" s="31" t="s">
        <v>11</v>
      </c>
      <c r="C203" s="32" t="s">
        <v>423</v>
      </c>
      <c r="D203" s="32" t="str">
        <f t="shared" si="3"/>
        <v>Australia</v>
      </c>
      <c r="E203" s="64">
        <f>INDEX('Hotel Emissions'!$G:$G,MATCH(D203,'Hotel Emissions'!$C:$C,0))</f>
        <v>48.758349380213609</v>
      </c>
      <c r="F203" s="64">
        <f>IF(INDEX('Hotel Emissions'!$O:$O,MATCH(D203,'Hotel Emissions'!$C:$C,0))="",INDEX('Hotel Emissions'!$T:$T,MATCH(D203,'Hotel Emissions'!$C:$C,0)),INDEX('Hotel Emissions'!$O:$O,MATCH(D203,'Hotel Emissions'!$C:$C,0)))</f>
        <v>29.652034813746539</v>
      </c>
      <c r="G203" s="64">
        <f>IF(INDEX('Hotel Emissions'!$X:$X,MATCH(D203,'Hotel Emissions'!$C:$C,0))="",INDEX('Hotel Emissions'!$AC:$AC,MATCH(D203,'Hotel Emissions'!$C:$C,0)),INDEX('Hotel Emissions'!$X:$X,MATCH(D203,'Hotel Emissions'!$C:$C,0)))</f>
        <v>44.474918047139411</v>
      </c>
      <c r="H203" s="64">
        <f>IF(INDEX('Hotel Emissions'!AG:$AG,MATCH(D203,'Hotel Emissions'!$C:$C,0))="",INDEX('Hotel Emissions'!$AL:$AL,MATCH(D203,'Hotel Emissions'!$C:$C,0)),INDEX('Hotel Emissions'!$AG:$AG,MATCH(D203,'Hotel Emissions'!$C:$C,0)))</f>
        <v>75.786918960267982</v>
      </c>
    </row>
    <row r="204" spans="2:8" x14ac:dyDescent="0.65">
      <c r="B204" s="31" t="s">
        <v>160</v>
      </c>
      <c r="C204" s="32" t="s">
        <v>337</v>
      </c>
      <c r="D204" s="32" t="str">
        <f t="shared" si="3"/>
        <v>Switzerland</v>
      </c>
      <c r="E204" s="64">
        <f>INDEX('Hotel Emissions'!$G:$G,MATCH(D204,'Hotel Emissions'!$C:$C,0))</f>
        <v>6.4944922861504804</v>
      </c>
      <c r="F204" s="64">
        <f>IF(INDEX('Hotel Emissions'!$O:$O,MATCH(D204,'Hotel Emissions'!$C:$C,0))="",INDEX('Hotel Emissions'!$T:$T,MATCH(D204,'Hotel Emissions'!$C:$C,0)),INDEX('Hotel Emissions'!$O:$O,MATCH(D204,'Hotel Emissions'!$C:$C,0)))</f>
        <v>3.9154587277794062</v>
      </c>
      <c r="G204" s="64">
        <f>IF(INDEX('Hotel Emissions'!$X:$X,MATCH(D204,'Hotel Emissions'!$C:$C,0))="",INDEX('Hotel Emissions'!$AC:$AC,MATCH(D204,'Hotel Emissions'!$C:$C,0)),INDEX('Hotel Emissions'!$X:$X,MATCH(D204,'Hotel Emissions'!$C:$C,0)))</f>
        <v>6.9640031228488679</v>
      </c>
      <c r="H204" s="64">
        <f>IF(INDEX('Hotel Emissions'!AG:$AG,MATCH(D204,'Hotel Emissions'!$C:$C,0))="",INDEX('Hotel Emissions'!$AL:$AL,MATCH(D204,'Hotel Emissions'!$C:$C,0)),INDEX('Hotel Emissions'!$AG:$AG,MATCH(D204,'Hotel Emissions'!$C:$C,0)))</f>
        <v>16.819133631902631</v>
      </c>
    </row>
    <row r="205" spans="2:8" x14ac:dyDescent="0.65">
      <c r="B205" s="31" t="s">
        <v>152</v>
      </c>
      <c r="C205" s="32" t="s">
        <v>560</v>
      </c>
      <c r="D205" s="32" t="str">
        <f t="shared" si="3"/>
        <v>South Africa</v>
      </c>
      <c r="E205" s="64">
        <f>INDEX('Hotel Emissions'!$G:$G,MATCH(D205,'Hotel Emissions'!$C:$C,0))</f>
        <v>103.55037750960224</v>
      </c>
      <c r="F205" s="64">
        <f>IF(INDEX('Hotel Emissions'!$O:$O,MATCH(D205,'Hotel Emissions'!$C:$C,0))="",INDEX('Hotel Emissions'!$T:$T,MATCH(D205,'Hotel Emissions'!$C:$C,0)),INDEX('Hotel Emissions'!$O:$O,MATCH(D205,'Hotel Emissions'!$C:$C,0)))</f>
        <v>16.910410780975194</v>
      </c>
      <c r="G205" s="64">
        <f>IF(INDEX('Hotel Emissions'!$X:$X,MATCH(D205,'Hotel Emissions'!$C:$C,0))="",INDEX('Hotel Emissions'!$AC:$AC,MATCH(D205,'Hotel Emissions'!$C:$C,0)),INDEX('Hotel Emissions'!$X:$X,MATCH(D205,'Hotel Emissions'!$C:$C,0)))</f>
        <v>66.543957384996915</v>
      </c>
      <c r="H205" s="64">
        <f>IF(INDEX('Hotel Emissions'!AG:$AG,MATCH(D205,'Hotel Emissions'!$C:$C,0))="",INDEX('Hotel Emissions'!$AL:$AL,MATCH(D205,'Hotel Emissions'!$C:$C,0)),INDEX('Hotel Emissions'!$AG:$AG,MATCH(D205,'Hotel Emissions'!$C:$C,0)))</f>
        <v>94.792983435676007</v>
      </c>
    </row>
  </sheetData>
  <autoFilter ref="B4:I205" xr:uid="{DC97E11D-3C55-4577-9B64-E87FDE75299A}"/>
  <phoneticPr fontId="3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F55C-41E3-4093-A479-B6EB7854DC15}">
  <dimension ref="B2:GT205"/>
  <sheetViews>
    <sheetView workbookViewId="0"/>
  </sheetViews>
  <sheetFormatPr defaultColWidth="8.7265625" defaultRowHeight="13" x14ac:dyDescent="0.6"/>
  <cols>
    <col min="1" max="1" width="5.08984375" style="54" bestFit="1" customWidth="1"/>
    <col min="2" max="2" width="16.40625" style="54" customWidth="1"/>
    <col min="3" max="3" width="32.26953125" style="54" bestFit="1" customWidth="1"/>
    <col min="4" max="25" width="13.04296875" style="54" bestFit="1" customWidth="1"/>
    <col min="26" max="26" width="17.2265625" style="54" bestFit="1" customWidth="1"/>
    <col min="27" max="140" width="13.04296875" style="54" bestFit="1" customWidth="1"/>
    <col min="141" max="141" width="18.6796875" style="54" bestFit="1" customWidth="1"/>
    <col min="142" max="156" width="13.04296875" style="54" bestFit="1" customWidth="1"/>
    <col min="157" max="157" width="13.7265625" style="54" bestFit="1" customWidth="1"/>
    <col min="158" max="172" width="13.04296875" style="54" bestFit="1" customWidth="1"/>
    <col min="173" max="173" width="16.54296875" style="54" bestFit="1" customWidth="1"/>
    <col min="174" max="174" width="18.26953125" style="54" bestFit="1" customWidth="1"/>
    <col min="175" max="175" width="13.1796875" style="54" bestFit="1" customWidth="1"/>
    <col min="176" max="177" width="13.04296875" style="54" bestFit="1" customWidth="1"/>
    <col min="178" max="178" width="13.1796875" style="54" bestFit="1" customWidth="1"/>
    <col min="179" max="179" width="17.08984375" style="54" bestFit="1" customWidth="1"/>
    <col min="180" max="180" width="17.2265625" style="54" bestFit="1" customWidth="1"/>
    <col min="181" max="181" width="13.04296875" style="54" bestFit="1" customWidth="1"/>
    <col min="182" max="182" width="17.08984375" style="54" bestFit="1" customWidth="1"/>
    <col min="183" max="183" width="13.04296875" style="54" bestFit="1" customWidth="1"/>
    <col min="184" max="184" width="15.7265625" style="54" bestFit="1" customWidth="1"/>
    <col min="185" max="191" width="13.04296875" style="54" bestFit="1" customWidth="1"/>
    <col min="192" max="192" width="13.86328125" style="54" bestFit="1" customWidth="1"/>
    <col min="193" max="193" width="20.7265625" style="54" bestFit="1" customWidth="1"/>
    <col min="194" max="195" width="12.5" style="54" bestFit="1" customWidth="1"/>
    <col min="196" max="196" width="14" style="54" bestFit="1" customWidth="1"/>
    <col min="197" max="198" width="12.5" style="54" bestFit="1" customWidth="1"/>
    <col min="199" max="199" width="14.1328125" style="54" bestFit="1" customWidth="1"/>
    <col min="200" max="201" width="12.5" style="54" bestFit="1" customWidth="1"/>
    <col min="202" max="202" width="23.54296875" style="54" bestFit="1" customWidth="1"/>
    <col min="203" max="203" width="9.40625" style="54" bestFit="1" customWidth="1"/>
    <col min="204" max="204" width="17.5" style="54" bestFit="1" customWidth="1"/>
    <col min="205" max="205" width="6.86328125" style="54" bestFit="1" customWidth="1"/>
    <col min="206" max="16384" width="8.7265625" style="54"/>
  </cols>
  <sheetData>
    <row r="2" spans="2:202" ht="20.5" x14ac:dyDescent="0.9">
      <c r="B2" s="53" t="s">
        <v>563</v>
      </c>
    </row>
    <row r="3" spans="2:202" ht="20.5" x14ac:dyDescent="0.9">
      <c r="B3" s="53"/>
    </row>
    <row r="4" spans="2:202" ht="15.5" x14ac:dyDescent="0.7">
      <c r="B4" s="40" t="s">
        <v>564</v>
      </c>
      <c r="C4" s="55"/>
    </row>
    <row r="5" spans="2:202" x14ac:dyDescent="0.6">
      <c r="D5" s="109" t="s">
        <v>3</v>
      </c>
      <c r="E5" s="109" t="s">
        <v>4</v>
      </c>
      <c r="F5" s="109" t="s">
        <v>5</v>
      </c>
      <c r="G5" s="109" t="s">
        <v>6</v>
      </c>
      <c r="H5" s="109" t="s">
        <v>8</v>
      </c>
      <c r="I5" s="109" t="s">
        <v>9</v>
      </c>
      <c r="J5" s="109" t="s">
        <v>10</v>
      </c>
      <c r="K5" s="109" t="s">
        <v>11</v>
      </c>
      <c r="L5" s="109" t="s">
        <v>12</v>
      </c>
      <c r="M5" s="109" t="s">
        <v>13</v>
      </c>
      <c r="N5" s="109" t="s">
        <v>14</v>
      </c>
      <c r="O5" s="109" t="s">
        <v>15</v>
      </c>
      <c r="P5" s="109" t="s">
        <v>16</v>
      </c>
      <c r="Q5" s="109" t="s">
        <v>17</v>
      </c>
      <c r="R5" s="109" t="s">
        <v>18</v>
      </c>
      <c r="S5" s="109" t="s">
        <v>19</v>
      </c>
      <c r="T5" s="109" t="s">
        <v>20</v>
      </c>
      <c r="U5" s="109" t="s">
        <v>21</v>
      </c>
      <c r="V5" s="109" t="s">
        <v>22</v>
      </c>
      <c r="W5" s="109" t="s">
        <v>23</v>
      </c>
      <c r="X5" s="109" t="s">
        <v>24</v>
      </c>
      <c r="Y5" s="109" t="s">
        <v>25</v>
      </c>
      <c r="Z5" s="109" t="s">
        <v>26</v>
      </c>
      <c r="AA5" s="109" t="s">
        <v>26</v>
      </c>
      <c r="AB5" s="109" t="s">
        <v>27</v>
      </c>
      <c r="AC5" s="109" t="s">
        <v>28</v>
      </c>
      <c r="AD5" s="109" t="s">
        <v>29</v>
      </c>
      <c r="AE5" s="109" t="s">
        <v>30</v>
      </c>
      <c r="AF5" s="109" t="s">
        <v>31</v>
      </c>
      <c r="AG5" s="109" t="s">
        <v>32</v>
      </c>
      <c r="AH5" s="109" t="s">
        <v>33</v>
      </c>
      <c r="AI5" s="109" t="s">
        <v>33</v>
      </c>
      <c r="AJ5" s="109" t="s">
        <v>34</v>
      </c>
      <c r="AK5" s="109" t="s">
        <v>34</v>
      </c>
      <c r="AL5" s="109" t="s">
        <v>35</v>
      </c>
      <c r="AM5" s="109" t="s">
        <v>36</v>
      </c>
      <c r="AN5" s="109" t="s">
        <v>37</v>
      </c>
      <c r="AO5" s="109" t="s">
        <v>38</v>
      </c>
      <c r="AP5" s="109" t="s">
        <v>38</v>
      </c>
      <c r="AQ5" s="109" t="s">
        <v>39</v>
      </c>
      <c r="AR5" s="109" t="s">
        <v>40</v>
      </c>
      <c r="AS5" s="109" t="s">
        <v>41</v>
      </c>
      <c r="AT5" s="109" t="s">
        <v>41</v>
      </c>
      <c r="AU5" s="109" t="s">
        <v>42</v>
      </c>
      <c r="AV5" s="109" t="s">
        <v>43</v>
      </c>
      <c r="AW5" s="109" t="s">
        <v>44</v>
      </c>
      <c r="AX5" s="109" t="s">
        <v>45</v>
      </c>
      <c r="AY5" s="109" t="s">
        <v>46</v>
      </c>
      <c r="AZ5" s="109" t="s">
        <v>610</v>
      </c>
      <c r="BA5" s="109" t="s">
        <v>47</v>
      </c>
      <c r="BB5" s="109" t="s">
        <v>48</v>
      </c>
      <c r="BC5" s="109" t="s">
        <v>49</v>
      </c>
      <c r="BD5" s="109" t="s">
        <v>50</v>
      </c>
      <c r="BE5" s="109" t="s">
        <v>51</v>
      </c>
      <c r="BF5" s="109" t="s">
        <v>52</v>
      </c>
      <c r="BG5" s="109" t="s">
        <v>53</v>
      </c>
      <c r="BH5" s="109" t="s">
        <v>54</v>
      </c>
      <c r="BI5" s="109" t="s">
        <v>55</v>
      </c>
      <c r="BJ5" s="109" t="s">
        <v>56</v>
      </c>
      <c r="BK5" s="109" t="s">
        <v>57</v>
      </c>
      <c r="BL5" s="109" t="s">
        <v>58</v>
      </c>
      <c r="BM5" s="109" t="s">
        <v>59</v>
      </c>
      <c r="BN5" s="109" t="s">
        <v>60</v>
      </c>
      <c r="BO5" s="109" t="s">
        <v>61</v>
      </c>
      <c r="BP5" s="109" t="s">
        <v>62</v>
      </c>
      <c r="BQ5" s="109" t="s">
        <v>63</v>
      </c>
      <c r="BR5" s="109" t="s">
        <v>64</v>
      </c>
      <c r="BS5" s="109" t="s">
        <v>65</v>
      </c>
      <c r="BT5" s="109" t="s">
        <v>65</v>
      </c>
      <c r="BU5" s="109" t="s">
        <v>65</v>
      </c>
      <c r="BV5" s="109" t="s">
        <v>66</v>
      </c>
      <c r="BW5" s="109" t="s">
        <v>67</v>
      </c>
      <c r="BX5" s="109" t="s">
        <v>68</v>
      </c>
      <c r="BY5" s="109" t="s">
        <v>69</v>
      </c>
      <c r="BZ5" s="109" t="s">
        <v>70</v>
      </c>
      <c r="CA5" s="109" t="s">
        <v>71</v>
      </c>
      <c r="CB5" s="109" t="s">
        <v>72</v>
      </c>
      <c r="CC5" s="109" t="s">
        <v>73</v>
      </c>
      <c r="CD5" s="109" t="s">
        <v>74</v>
      </c>
      <c r="CE5" s="109" t="s">
        <v>76</v>
      </c>
      <c r="CF5" s="109" t="s">
        <v>77</v>
      </c>
      <c r="CG5" s="109" t="s">
        <v>78</v>
      </c>
      <c r="CH5" s="109" t="s">
        <v>78</v>
      </c>
      <c r="CI5" s="109" t="s">
        <v>79</v>
      </c>
      <c r="CJ5" s="109" t="s">
        <v>80</v>
      </c>
      <c r="CK5" s="109" t="s">
        <v>81</v>
      </c>
      <c r="CL5" s="109" t="s">
        <v>82</v>
      </c>
      <c r="CM5" s="109" t="s">
        <v>83</v>
      </c>
      <c r="CN5" s="109" t="s">
        <v>84</v>
      </c>
      <c r="CO5" s="109" t="s">
        <v>84</v>
      </c>
      <c r="CP5" s="109" t="s">
        <v>85</v>
      </c>
      <c r="CQ5" s="109" t="s">
        <v>86</v>
      </c>
      <c r="CR5" s="109" t="s">
        <v>87</v>
      </c>
      <c r="CS5" s="109" t="s">
        <v>88</v>
      </c>
      <c r="CT5" s="109" t="s">
        <v>89</v>
      </c>
      <c r="CU5" s="109" t="s">
        <v>90</v>
      </c>
      <c r="CV5" s="109" t="s">
        <v>91</v>
      </c>
      <c r="CW5" s="109" t="s">
        <v>92</v>
      </c>
      <c r="CX5" s="109" t="s">
        <v>93</v>
      </c>
      <c r="CY5" s="109" t="s">
        <v>94</v>
      </c>
      <c r="CZ5" s="109" t="s">
        <v>95</v>
      </c>
      <c r="DA5" s="109" t="s">
        <v>96</v>
      </c>
      <c r="DB5" s="109" t="s">
        <v>97</v>
      </c>
      <c r="DC5" s="109" t="s">
        <v>98</v>
      </c>
      <c r="DD5" s="109" t="s">
        <v>99</v>
      </c>
      <c r="DE5" s="109" t="s">
        <v>100</v>
      </c>
      <c r="DF5" s="109" t="s">
        <v>101</v>
      </c>
      <c r="DG5" s="109" t="s">
        <v>102</v>
      </c>
      <c r="DH5" s="109" t="s">
        <v>103</v>
      </c>
      <c r="DI5" s="109" t="s">
        <v>104</v>
      </c>
      <c r="DJ5" s="109" t="s">
        <v>105</v>
      </c>
      <c r="DK5" s="109" t="s">
        <v>106</v>
      </c>
      <c r="DL5" s="109" t="s">
        <v>107</v>
      </c>
      <c r="DM5" s="109" t="s">
        <v>108</v>
      </c>
      <c r="DN5" s="109" t="s">
        <v>109</v>
      </c>
      <c r="DO5" s="109" t="s">
        <v>110</v>
      </c>
      <c r="DP5" s="109" t="s">
        <v>111</v>
      </c>
      <c r="DQ5" s="109" t="s">
        <v>112</v>
      </c>
      <c r="DR5" s="109" t="s">
        <v>113</v>
      </c>
      <c r="DS5" s="109" t="s">
        <v>114</v>
      </c>
      <c r="DT5" s="109" t="s">
        <v>115</v>
      </c>
      <c r="DU5" s="109" t="s">
        <v>116</v>
      </c>
      <c r="DV5" s="109" t="s">
        <v>117</v>
      </c>
      <c r="DW5" s="109" t="s">
        <v>118</v>
      </c>
      <c r="DX5" s="109" t="s">
        <v>119</v>
      </c>
      <c r="DY5" s="109" t="s">
        <v>120</v>
      </c>
      <c r="DZ5" s="109" t="s">
        <v>120</v>
      </c>
      <c r="EA5" s="109" t="s">
        <v>121</v>
      </c>
      <c r="EB5" s="109" t="s">
        <v>122</v>
      </c>
      <c r="EC5" s="109" t="s">
        <v>123</v>
      </c>
      <c r="ED5" s="109" t="s">
        <v>124</v>
      </c>
      <c r="EE5" s="109" t="s">
        <v>125</v>
      </c>
      <c r="EF5" s="109" t="s">
        <v>126</v>
      </c>
      <c r="EG5" s="109" t="s">
        <v>127</v>
      </c>
      <c r="EH5" s="109" t="s">
        <v>128</v>
      </c>
      <c r="EI5" s="109" t="s">
        <v>128</v>
      </c>
      <c r="EJ5" s="109" t="s">
        <v>129</v>
      </c>
      <c r="EK5" s="109" t="s">
        <v>130</v>
      </c>
      <c r="EL5" s="109" t="s">
        <v>131</v>
      </c>
      <c r="EM5" s="109" t="s">
        <v>132</v>
      </c>
      <c r="EN5" s="109" t="s">
        <v>133</v>
      </c>
      <c r="EO5" s="109" t="s">
        <v>134</v>
      </c>
      <c r="EP5" s="109" t="s">
        <v>135</v>
      </c>
      <c r="EQ5" s="109" t="s">
        <v>136</v>
      </c>
      <c r="ER5" s="109" t="s">
        <v>137</v>
      </c>
      <c r="ES5" s="109" t="s">
        <v>138</v>
      </c>
      <c r="ET5" s="109" t="s">
        <v>139</v>
      </c>
      <c r="EU5" s="109" t="s">
        <v>140</v>
      </c>
      <c r="EV5" s="109" t="s">
        <v>141</v>
      </c>
      <c r="EW5" s="109" t="s">
        <v>142</v>
      </c>
      <c r="EX5" s="109" t="s">
        <v>143</v>
      </c>
      <c r="EY5" s="109" t="s">
        <v>144</v>
      </c>
      <c r="EZ5" s="109" t="s">
        <v>145</v>
      </c>
      <c r="FA5" s="109" t="s">
        <v>146</v>
      </c>
      <c r="FB5" s="109" t="s">
        <v>147</v>
      </c>
      <c r="FC5" s="109" t="s">
        <v>148</v>
      </c>
      <c r="FD5" s="109" t="s">
        <v>149</v>
      </c>
      <c r="FE5" s="109" t="s">
        <v>150</v>
      </c>
      <c r="FF5" s="109" t="s">
        <v>151</v>
      </c>
      <c r="FG5" s="109" t="s">
        <v>152</v>
      </c>
      <c r="FH5" s="109" t="s">
        <v>153</v>
      </c>
      <c r="FI5" s="109" t="s">
        <v>154</v>
      </c>
      <c r="FJ5" s="109" t="s">
        <v>155</v>
      </c>
      <c r="FK5" s="109" t="s">
        <v>155</v>
      </c>
      <c r="FL5" s="109" t="s">
        <v>156</v>
      </c>
      <c r="FM5" s="109" t="s">
        <v>157</v>
      </c>
      <c r="FN5" s="109" t="s">
        <v>158</v>
      </c>
      <c r="FO5" s="109" t="s">
        <v>159</v>
      </c>
      <c r="FP5" s="109" t="s">
        <v>160</v>
      </c>
      <c r="FQ5" s="109" t="s">
        <v>161</v>
      </c>
      <c r="FR5" s="109" t="s">
        <v>162</v>
      </c>
      <c r="FS5" s="109" t="s">
        <v>163</v>
      </c>
      <c r="FT5" s="109" t="s">
        <v>164</v>
      </c>
      <c r="FU5" s="109" t="s">
        <v>165</v>
      </c>
      <c r="FV5" s="109" t="s">
        <v>166</v>
      </c>
      <c r="FW5" s="109" t="s">
        <v>167</v>
      </c>
      <c r="FX5" s="109" t="s">
        <v>168</v>
      </c>
      <c r="FY5" s="109" t="s">
        <v>169</v>
      </c>
      <c r="FZ5" s="109" t="s">
        <v>170</v>
      </c>
      <c r="GA5" s="109" t="s">
        <v>171</v>
      </c>
      <c r="GB5" s="109" t="s">
        <v>172</v>
      </c>
      <c r="GC5" s="109" t="s">
        <v>173</v>
      </c>
      <c r="GD5" s="109" t="s">
        <v>174</v>
      </c>
      <c r="GE5" s="109" t="s">
        <v>175</v>
      </c>
      <c r="GF5" s="109" t="s">
        <v>176</v>
      </c>
      <c r="GG5" s="109" t="s">
        <v>176</v>
      </c>
      <c r="GH5" s="109" t="s">
        <v>176</v>
      </c>
      <c r="GI5" s="109" t="s">
        <v>176</v>
      </c>
      <c r="GJ5" s="109" t="s">
        <v>177</v>
      </c>
      <c r="GK5" s="109" t="s">
        <v>178</v>
      </c>
      <c r="GL5" s="107" t="s">
        <v>179</v>
      </c>
      <c r="GM5" s="107" t="s">
        <v>180</v>
      </c>
      <c r="GN5" s="107" t="s">
        <v>181</v>
      </c>
      <c r="GO5" s="107" t="s">
        <v>182</v>
      </c>
      <c r="GP5" s="107" t="s">
        <v>183</v>
      </c>
      <c r="GQ5" s="107" t="s">
        <v>180</v>
      </c>
      <c r="GR5" s="107" t="s">
        <v>11</v>
      </c>
      <c r="GS5" s="107" t="s">
        <v>160</v>
      </c>
      <c r="GT5" s="107" t="s">
        <v>152</v>
      </c>
    </row>
    <row r="6" spans="2:202" x14ac:dyDescent="0.6">
      <c r="D6" s="109" t="s">
        <v>417</v>
      </c>
      <c r="E6" s="109" t="s">
        <v>418</v>
      </c>
      <c r="F6" s="109" t="s">
        <v>419</v>
      </c>
      <c r="G6" s="109" t="s">
        <v>420</v>
      </c>
      <c r="H6" s="109" t="s">
        <v>531</v>
      </c>
      <c r="I6" s="109" t="s">
        <v>421</v>
      </c>
      <c r="J6" s="109" t="s">
        <v>422</v>
      </c>
      <c r="K6" s="109" t="s">
        <v>331</v>
      </c>
      <c r="L6" s="109" t="s">
        <v>335</v>
      </c>
      <c r="M6" s="109" t="s">
        <v>424</v>
      </c>
      <c r="N6" s="109" t="s">
        <v>425</v>
      </c>
      <c r="O6" s="109" t="s">
        <v>317</v>
      </c>
      <c r="P6" s="109" t="s">
        <v>426</v>
      </c>
      <c r="Q6" s="109" t="s">
        <v>427</v>
      </c>
      <c r="R6" s="109" t="s">
        <v>428</v>
      </c>
      <c r="S6" s="109" t="s">
        <v>301</v>
      </c>
      <c r="T6" s="109" t="s">
        <v>429</v>
      </c>
      <c r="U6" s="109" t="s">
        <v>532</v>
      </c>
      <c r="V6" s="109" t="s">
        <v>430</v>
      </c>
      <c r="W6" s="109" t="s">
        <v>554</v>
      </c>
      <c r="X6" s="109" t="s">
        <v>431</v>
      </c>
      <c r="Y6" s="109" t="s">
        <v>432</v>
      </c>
      <c r="Z6" s="109" t="s">
        <v>328</v>
      </c>
      <c r="AA6" s="109" t="s">
        <v>555</v>
      </c>
      <c r="AB6" s="109" t="s">
        <v>433</v>
      </c>
      <c r="AC6" s="109" t="s">
        <v>434</v>
      </c>
      <c r="AD6" s="109" t="s">
        <v>435</v>
      </c>
      <c r="AE6" s="109" t="s">
        <v>533</v>
      </c>
      <c r="AF6" s="109" t="s">
        <v>436</v>
      </c>
      <c r="AG6" s="109" t="s">
        <v>437</v>
      </c>
      <c r="AH6" s="109" t="s">
        <v>556</v>
      </c>
      <c r="AI6" s="109" t="s">
        <v>534</v>
      </c>
      <c r="AJ6" s="109" t="s">
        <v>334</v>
      </c>
      <c r="AK6" s="109" t="s">
        <v>438</v>
      </c>
      <c r="AL6" s="109" t="s">
        <v>439</v>
      </c>
      <c r="AM6" s="109" t="s">
        <v>440</v>
      </c>
      <c r="AN6" s="109" t="s">
        <v>327</v>
      </c>
      <c r="AO6" s="109" t="s">
        <v>330</v>
      </c>
      <c r="AP6" s="109" t="s">
        <v>299</v>
      </c>
      <c r="AQ6" s="109" t="s">
        <v>535</v>
      </c>
      <c r="AR6" s="109" t="s">
        <v>441</v>
      </c>
      <c r="AS6" s="109" t="s">
        <v>442</v>
      </c>
      <c r="AT6" s="109" t="s">
        <v>443</v>
      </c>
      <c r="AU6" s="109" t="s">
        <v>326</v>
      </c>
      <c r="AV6" s="109" t="s">
        <v>546</v>
      </c>
      <c r="AW6" s="109" t="s">
        <v>444</v>
      </c>
      <c r="AX6" s="109" t="s">
        <v>445</v>
      </c>
      <c r="AY6" s="109" t="s">
        <v>446</v>
      </c>
      <c r="AZ6" s="109" t="s">
        <v>323</v>
      </c>
      <c r="BA6" s="109" t="s">
        <v>447</v>
      </c>
      <c r="BB6" s="109" t="s">
        <v>48</v>
      </c>
      <c r="BC6" s="109" t="s">
        <v>448</v>
      </c>
      <c r="BD6" s="109" t="s">
        <v>449</v>
      </c>
      <c r="BE6" s="109" t="s">
        <v>442</v>
      </c>
      <c r="BF6" s="109" t="s">
        <v>450</v>
      </c>
      <c r="BG6" s="109" t="s">
        <v>304</v>
      </c>
      <c r="BH6" s="109" t="s">
        <v>451</v>
      </c>
      <c r="BI6" s="109" t="s">
        <v>452</v>
      </c>
      <c r="BJ6" s="109" t="s">
        <v>453</v>
      </c>
      <c r="BK6" s="109" t="s">
        <v>454</v>
      </c>
      <c r="BL6" s="109" t="s">
        <v>455</v>
      </c>
      <c r="BM6" s="109" t="s">
        <v>456</v>
      </c>
      <c r="BN6" s="109" t="s">
        <v>457</v>
      </c>
      <c r="BO6" s="109" t="s">
        <v>265</v>
      </c>
      <c r="BP6" s="109" t="s">
        <v>458</v>
      </c>
      <c r="BQ6" s="109" t="s">
        <v>459</v>
      </c>
      <c r="BR6" s="109" t="s">
        <v>536</v>
      </c>
      <c r="BS6" s="109" t="s">
        <v>300</v>
      </c>
      <c r="BT6" s="109" t="s">
        <v>545</v>
      </c>
      <c r="BU6" s="109" t="s">
        <v>307</v>
      </c>
      <c r="BV6" s="109" t="s">
        <v>460</v>
      </c>
      <c r="BW6" s="109" t="s">
        <v>295</v>
      </c>
      <c r="BX6" s="109" t="s">
        <v>547</v>
      </c>
      <c r="BY6" s="109" t="s">
        <v>69</v>
      </c>
      <c r="BZ6" s="109" t="s">
        <v>461</v>
      </c>
      <c r="CA6" s="109" t="s">
        <v>462</v>
      </c>
      <c r="CB6" s="109" t="s">
        <v>463</v>
      </c>
      <c r="CC6" s="109" t="s">
        <v>464</v>
      </c>
      <c r="CD6" s="109" t="s">
        <v>465</v>
      </c>
      <c r="CE6" s="109" t="s">
        <v>303</v>
      </c>
      <c r="CF6" s="109" t="s">
        <v>466</v>
      </c>
      <c r="CG6" s="109" t="s">
        <v>322</v>
      </c>
      <c r="CH6" s="109" t="s">
        <v>467</v>
      </c>
      <c r="CI6" s="109" t="s">
        <v>310</v>
      </c>
      <c r="CJ6" s="109" t="s">
        <v>468</v>
      </c>
      <c r="CK6" s="109" t="s">
        <v>469</v>
      </c>
      <c r="CL6" s="109" t="s">
        <v>306</v>
      </c>
      <c r="CM6" s="109" t="s">
        <v>470</v>
      </c>
      <c r="CN6" s="109" t="s">
        <v>325</v>
      </c>
      <c r="CO6" s="109" t="s">
        <v>319</v>
      </c>
      <c r="CP6" s="109" t="s">
        <v>311</v>
      </c>
      <c r="CQ6" s="109" t="s">
        <v>333</v>
      </c>
      <c r="CR6" s="109" t="s">
        <v>293</v>
      </c>
      <c r="CS6" s="109" t="s">
        <v>537</v>
      </c>
      <c r="CT6" s="109" t="s">
        <v>471</v>
      </c>
      <c r="CU6" s="109" t="s">
        <v>90</v>
      </c>
      <c r="CV6" s="109" t="s">
        <v>472</v>
      </c>
      <c r="CW6" s="109" t="s">
        <v>473</v>
      </c>
      <c r="CX6" s="109" t="s">
        <v>474</v>
      </c>
      <c r="CY6" s="109" t="s">
        <v>475</v>
      </c>
      <c r="CZ6" s="109" t="s">
        <v>476</v>
      </c>
      <c r="DA6" s="109" t="s">
        <v>477</v>
      </c>
      <c r="DB6" s="109" t="s">
        <v>478</v>
      </c>
      <c r="DC6" s="109" t="s">
        <v>479</v>
      </c>
      <c r="DD6" s="109" t="s">
        <v>480</v>
      </c>
      <c r="DE6" s="109" t="s">
        <v>100</v>
      </c>
      <c r="DF6" s="109" t="s">
        <v>481</v>
      </c>
      <c r="DG6" s="109" t="s">
        <v>482</v>
      </c>
      <c r="DH6" s="109" t="s">
        <v>312</v>
      </c>
      <c r="DI6" s="109" t="s">
        <v>538</v>
      </c>
      <c r="DJ6" s="109" t="s">
        <v>483</v>
      </c>
      <c r="DK6" s="109" t="s">
        <v>484</v>
      </c>
      <c r="DL6" s="109" t="s">
        <v>485</v>
      </c>
      <c r="DM6" s="109" t="s">
        <v>486</v>
      </c>
      <c r="DN6" s="109" t="s">
        <v>109</v>
      </c>
      <c r="DO6" s="109" t="s">
        <v>548</v>
      </c>
      <c r="DP6" s="109" t="s">
        <v>111</v>
      </c>
      <c r="DQ6" s="109" t="s">
        <v>549</v>
      </c>
      <c r="DR6" s="109" t="s">
        <v>487</v>
      </c>
      <c r="DS6" s="109" t="s">
        <v>488</v>
      </c>
      <c r="DT6" s="109" t="s">
        <v>489</v>
      </c>
      <c r="DU6" s="109" t="s">
        <v>539</v>
      </c>
      <c r="DV6" s="109" t="s">
        <v>490</v>
      </c>
      <c r="DW6" s="109" t="s">
        <v>491</v>
      </c>
      <c r="DX6" s="109" t="s">
        <v>294</v>
      </c>
      <c r="DY6" s="109" t="s">
        <v>296</v>
      </c>
      <c r="DZ6" s="109" t="s">
        <v>492</v>
      </c>
      <c r="EA6" s="109" t="s">
        <v>493</v>
      </c>
      <c r="EB6" s="109" t="s">
        <v>494</v>
      </c>
      <c r="EC6" s="109" t="s">
        <v>495</v>
      </c>
      <c r="ED6" s="109" t="s">
        <v>496</v>
      </c>
      <c r="EE6" s="109" t="s">
        <v>497</v>
      </c>
      <c r="EF6" s="109" t="s">
        <v>498</v>
      </c>
      <c r="EG6" s="109" t="s">
        <v>540</v>
      </c>
      <c r="EH6" s="109" t="s">
        <v>557</v>
      </c>
      <c r="EI6" s="109" t="s">
        <v>499</v>
      </c>
      <c r="EJ6" s="109" t="s">
        <v>129</v>
      </c>
      <c r="EK6" s="109" t="s">
        <v>541</v>
      </c>
      <c r="EL6" s="109" t="s">
        <v>313</v>
      </c>
      <c r="EM6" s="109" t="s">
        <v>318</v>
      </c>
      <c r="EN6" s="109" t="s">
        <v>336</v>
      </c>
      <c r="EO6" s="109" t="s">
        <v>314</v>
      </c>
      <c r="EP6" s="109" t="s">
        <v>305</v>
      </c>
      <c r="EQ6" s="109" t="s">
        <v>302</v>
      </c>
      <c r="ER6" s="109" t="s">
        <v>321</v>
      </c>
      <c r="ES6" s="109" t="s">
        <v>500</v>
      </c>
      <c r="ET6" s="109" t="s">
        <v>501</v>
      </c>
      <c r="EU6" s="109" t="s">
        <v>502</v>
      </c>
      <c r="EV6" s="109" t="s">
        <v>503</v>
      </c>
      <c r="EW6" s="109" t="s">
        <v>142</v>
      </c>
      <c r="EX6" s="109" t="s">
        <v>542</v>
      </c>
      <c r="EY6" s="109" t="s">
        <v>324</v>
      </c>
      <c r="EZ6" s="109" t="s">
        <v>504</v>
      </c>
      <c r="FA6" s="109" t="s">
        <v>505</v>
      </c>
      <c r="FB6" s="109" t="s">
        <v>506</v>
      </c>
      <c r="FC6" s="109" t="s">
        <v>148</v>
      </c>
      <c r="FD6" s="109" t="s">
        <v>507</v>
      </c>
      <c r="FE6" s="109" t="s">
        <v>508</v>
      </c>
      <c r="FF6" s="109" t="s">
        <v>509</v>
      </c>
      <c r="FG6" s="109" t="s">
        <v>558</v>
      </c>
      <c r="FH6" s="109" t="s">
        <v>329</v>
      </c>
      <c r="FI6" s="109" t="s">
        <v>510</v>
      </c>
      <c r="FJ6" s="109" t="s">
        <v>264</v>
      </c>
      <c r="FK6" s="109" t="s">
        <v>298</v>
      </c>
      <c r="FL6" s="109" t="s">
        <v>550</v>
      </c>
      <c r="FM6" s="109" t="s">
        <v>511</v>
      </c>
      <c r="FN6" s="109" t="s">
        <v>512</v>
      </c>
      <c r="FO6" s="109" t="s">
        <v>513</v>
      </c>
      <c r="FP6" s="109" t="s">
        <v>514</v>
      </c>
      <c r="FQ6" s="109" t="s">
        <v>515</v>
      </c>
      <c r="FR6" s="109" t="s">
        <v>551</v>
      </c>
      <c r="FS6" s="109" t="s">
        <v>516</v>
      </c>
      <c r="FT6" s="109" t="s">
        <v>559</v>
      </c>
      <c r="FU6" s="109" t="s">
        <v>297</v>
      </c>
      <c r="FV6" s="109" t="s">
        <v>517</v>
      </c>
      <c r="FW6" s="109" t="s">
        <v>543</v>
      </c>
      <c r="FX6" s="109" t="s">
        <v>518</v>
      </c>
      <c r="FY6" s="109" t="s">
        <v>519</v>
      </c>
      <c r="FZ6" s="109" t="s">
        <v>520</v>
      </c>
      <c r="GA6" s="109" t="s">
        <v>521</v>
      </c>
      <c r="GB6" s="109" t="s">
        <v>522</v>
      </c>
      <c r="GC6" s="109" t="s">
        <v>544</v>
      </c>
      <c r="GD6" s="109" t="s">
        <v>292</v>
      </c>
      <c r="GE6" s="109" t="s">
        <v>263</v>
      </c>
      <c r="GF6" s="109" t="s">
        <v>528</v>
      </c>
      <c r="GG6" s="109" t="s">
        <v>529</v>
      </c>
      <c r="GH6" s="109" t="s">
        <v>530</v>
      </c>
      <c r="GI6" s="109" t="s">
        <v>552</v>
      </c>
      <c r="GJ6" s="109" t="s">
        <v>320</v>
      </c>
      <c r="GK6" s="109" t="s">
        <v>523</v>
      </c>
      <c r="GL6" s="107" t="s">
        <v>524</v>
      </c>
      <c r="GM6" s="107" t="s">
        <v>308</v>
      </c>
      <c r="GN6" s="107" t="s">
        <v>553</v>
      </c>
      <c r="GO6" s="107" t="s">
        <v>525</v>
      </c>
      <c r="GP6" s="107" t="s">
        <v>526</v>
      </c>
      <c r="GQ6" s="107" t="s">
        <v>309</v>
      </c>
      <c r="GR6" s="107" t="s">
        <v>423</v>
      </c>
      <c r="GS6" s="107" t="s">
        <v>337</v>
      </c>
      <c r="GT6" s="107" t="s">
        <v>560</v>
      </c>
    </row>
    <row r="7" spans="2:202" x14ac:dyDescent="0.6">
      <c r="B7" s="106" t="s">
        <v>3</v>
      </c>
      <c r="C7" s="63" t="s">
        <v>417</v>
      </c>
      <c r="D7" s="110" t="s">
        <v>237</v>
      </c>
      <c r="E7" s="111">
        <v>5871.7357167048212</v>
      </c>
      <c r="F7" s="111">
        <v>5826.8209195015943</v>
      </c>
      <c r="G7" s="111">
        <v>7564.0210396988286</v>
      </c>
      <c r="H7" s="111">
        <v>12297.571093462861</v>
      </c>
      <c r="I7" s="111">
        <v>15444.58448548864</v>
      </c>
      <c r="J7" s="111">
        <v>2281.607612772128</v>
      </c>
      <c r="K7" s="111">
        <v>11401.738254385886</v>
      </c>
      <c r="L7" s="111">
        <v>4583.6081803967736</v>
      </c>
      <c r="M7" s="111">
        <v>1849.285145096698</v>
      </c>
      <c r="N7" s="111">
        <v>12521.068126847487</v>
      </c>
      <c r="O7" s="111">
        <v>2019.1733668945458</v>
      </c>
      <c r="P7" s="111">
        <v>2379.6261443941571</v>
      </c>
      <c r="Q7" s="111">
        <v>12442.28842407264</v>
      </c>
      <c r="R7" s="111">
        <v>3892.9545818431443</v>
      </c>
      <c r="S7" s="111">
        <v>5435.7213093469427</v>
      </c>
      <c r="T7" s="111">
        <v>13813.572391077323</v>
      </c>
      <c r="U7" s="111">
        <v>7481.6564216138067</v>
      </c>
      <c r="V7" s="111">
        <v>2086.8831278522598</v>
      </c>
      <c r="W7" s="111">
        <v>15309.700797386444</v>
      </c>
      <c r="X7" s="111">
        <v>4446.8462544385402</v>
      </c>
      <c r="Y7" s="111">
        <v>7985.1165060377934</v>
      </c>
      <c r="Z7" s="111">
        <v>13749.546216674868</v>
      </c>
      <c r="AA7" s="111">
        <v>13401.198064076274</v>
      </c>
      <c r="AB7" s="111">
        <v>5765.3856289074602</v>
      </c>
      <c r="AC7" s="111">
        <v>4053.0751465696289</v>
      </c>
      <c r="AD7" s="111">
        <v>7459.3681776493786</v>
      </c>
      <c r="AE7" s="111">
        <v>5894.9227578643531</v>
      </c>
      <c r="AF7" s="111">
        <v>9293.4449852366106</v>
      </c>
      <c r="AG7" s="111">
        <v>4396.9970206075404</v>
      </c>
      <c r="AH7" s="111">
        <v>6967.5382964807741</v>
      </c>
      <c r="AI7" s="111">
        <v>6858.7336838612637</v>
      </c>
      <c r="AJ7" s="111">
        <v>10775.641388661439</v>
      </c>
      <c r="AK7" s="111">
        <v>10475.971392702832</v>
      </c>
      <c r="AL7" s="111">
        <v>6199.0754087079868</v>
      </c>
      <c r="AM7" s="111">
        <v>6010.6522527256384</v>
      </c>
      <c r="AN7" s="111">
        <v>16295.194129142754</v>
      </c>
      <c r="AO7" s="111">
        <v>4853.3313694215467</v>
      </c>
      <c r="AP7" s="111">
        <v>4179.4438440983704</v>
      </c>
      <c r="AQ7" s="111">
        <v>14238.471003671562</v>
      </c>
      <c r="AR7" s="111">
        <v>5771.3190590890326</v>
      </c>
      <c r="AS7" s="111">
        <v>7075.3504500206318</v>
      </c>
      <c r="AT7" s="111">
        <v>7073.7308975800333</v>
      </c>
      <c r="AU7" s="111">
        <v>14377.847375564801</v>
      </c>
      <c r="AV7" s="111">
        <v>8125.3104592149502</v>
      </c>
      <c r="AW7" s="111">
        <v>4643.1098571445254</v>
      </c>
      <c r="AX7" s="111">
        <v>12953.951452881469</v>
      </c>
      <c r="AY7" s="111">
        <v>3262.0862550168313</v>
      </c>
      <c r="AZ7" s="111">
        <v>4728.939692287543</v>
      </c>
      <c r="BA7" s="111">
        <v>4879.741096554545</v>
      </c>
      <c r="BB7" s="111">
        <v>3754.4213626707524</v>
      </c>
      <c r="BC7" s="111">
        <v>12412.600114755804</v>
      </c>
      <c r="BD7" s="111">
        <v>12716.60082188263</v>
      </c>
      <c r="BE7" s="111">
        <v>7079.3974557250858</v>
      </c>
      <c r="BF7" s="111">
        <v>14930.246777620503</v>
      </c>
      <c r="BG7" s="111">
        <v>3585.5062176434626</v>
      </c>
      <c r="BH7" s="111">
        <v>14234.391363880053</v>
      </c>
      <c r="BI7" s="111">
        <v>7114.3924333567029</v>
      </c>
      <c r="BJ7" s="111">
        <v>3720.9248598617664</v>
      </c>
      <c r="BK7" s="111">
        <v>4258.2721732315085</v>
      </c>
      <c r="BL7" s="111">
        <v>7828.2239602962227</v>
      </c>
      <c r="BM7" s="111">
        <v>4203.9261766612972</v>
      </c>
      <c r="BN7" s="111">
        <v>4267.1576503861161</v>
      </c>
      <c r="BO7" s="111">
        <v>5611.3283808205952</v>
      </c>
      <c r="BP7" s="111">
        <v>7263.7911857651161</v>
      </c>
      <c r="BQ7" s="111">
        <v>8774.4731869114312</v>
      </c>
      <c r="BR7" s="111">
        <v>2292.6340044810272</v>
      </c>
      <c r="BS7" s="111">
        <v>4801.1806142034984</v>
      </c>
      <c r="BT7" s="111">
        <v>4927.5008797006176</v>
      </c>
      <c r="BU7" s="111">
        <v>5123.5961814165967</v>
      </c>
      <c r="BV7" s="111">
        <v>7762.999130688785</v>
      </c>
      <c r="BW7" s="111">
        <v>4086.3409578699711</v>
      </c>
      <c r="BX7" s="111">
        <v>12705.895708370213</v>
      </c>
      <c r="BY7" s="111">
        <v>14177.224950833013</v>
      </c>
      <c r="BZ7" s="111">
        <v>8751.005026179655</v>
      </c>
      <c r="CA7" s="111">
        <v>8798.8216630644547</v>
      </c>
      <c r="CB7" s="111">
        <v>12860.225325279063</v>
      </c>
      <c r="CC7" s="111">
        <v>12869.061995107366</v>
      </c>
      <c r="CD7" s="111">
        <v>14083.074302341756</v>
      </c>
      <c r="CE7" s="111">
        <v>4371.6158617709798</v>
      </c>
      <c r="CF7" s="111">
        <v>6654.1630708644461</v>
      </c>
      <c r="CG7" s="111">
        <v>1731.5886274037396</v>
      </c>
      <c r="CH7" s="111">
        <v>1005.406444693341</v>
      </c>
      <c r="CI7" s="111">
        <v>5956.0888454759706</v>
      </c>
      <c r="CJ7" s="111">
        <v>1627.9037153439924</v>
      </c>
      <c r="CK7" s="111">
        <v>2291.5526329155896</v>
      </c>
      <c r="CL7" s="111">
        <v>6089.3015022738018</v>
      </c>
      <c r="CM7" s="111">
        <v>9218.759176476924</v>
      </c>
      <c r="CN7" s="111">
        <v>4959.7026267635429</v>
      </c>
      <c r="CO7" s="111">
        <v>5138.9440721428437</v>
      </c>
      <c r="CP7" s="111">
        <v>13156.945803861252</v>
      </c>
      <c r="CQ7" s="111">
        <v>6290.2567949429822</v>
      </c>
      <c r="CR7" s="111">
        <v>3135.4001310966187</v>
      </c>
      <c r="CS7" s="111">
        <v>1878.6249619128876</v>
      </c>
      <c r="CT7" s="111">
        <v>5206.6482165387924</v>
      </c>
      <c r="CU7" s="111">
        <v>2066.2554331517144</v>
      </c>
      <c r="CV7" s="111">
        <v>1029.4337547176738</v>
      </c>
      <c r="CW7" s="111">
        <v>3777.4496715889372</v>
      </c>
      <c r="CX7" s="111">
        <v>4184.9988050908369</v>
      </c>
      <c r="CY7" s="111">
        <v>3105.9942465832683</v>
      </c>
      <c r="CZ7" s="111">
        <v>8311.255255730819</v>
      </c>
      <c r="DA7" s="111">
        <v>8664.7396213890388</v>
      </c>
      <c r="DB7" s="111">
        <v>5139.5256707618846</v>
      </c>
      <c r="DC7" s="111">
        <v>5107.4648327442519</v>
      </c>
      <c r="DD7" s="111">
        <v>4051.7659744056054</v>
      </c>
      <c r="DE7" s="111">
        <v>5316.4561560651282</v>
      </c>
      <c r="DF7" s="111">
        <v>6311.3254667025194</v>
      </c>
      <c r="DG7" s="111">
        <v>6557.8108201505484</v>
      </c>
      <c r="DH7" s="111">
        <v>4813.9472057879429</v>
      </c>
      <c r="DI7" s="111">
        <v>3394.4527138473336</v>
      </c>
      <c r="DJ7" s="111">
        <v>8022.1086906928404</v>
      </c>
      <c r="DK7" s="111">
        <v>4932.5576203756464</v>
      </c>
      <c r="DL7" s="111">
        <v>6174.6066897750625</v>
      </c>
      <c r="DM7" s="111">
        <v>6177.1220100000019</v>
      </c>
      <c r="DN7" s="111">
        <v>13938.839343156833</v>
      </c>
      <c r="DO7" s="111">
        <v>3629.808125249609</v>
      </c>
      <c r="DP7" s="111">
        <v>5307.8168219413519</v>
      </c>
      <c r="DQ7" s="111">
        <v>3467.1139329877656</v>
      </c>
      <c r="DR7" s="111">
        <v>4375.3727005860328</v>
      </c>
      <c r="DS7" s="111">
        <v>6807.897115715311</v>
      </c>
      <c r="DT7" s="111">
        <v>7704.4331672708931</v>
      </c>
      <c r="DU7" s="111">
        <v>3348.5237372474144</v>
      </c>
      <c r="DV7" s="111">
        <v>8360.9250555279996</v>
      </c>
      <c r="DW7" s="111">
        <v>1710.3814214175277</v>
      </c>
      <c r="DX7" s="111">
        <v>5393.5566085510281</v>
      </c>
      <c r="DY7" s="111">
        <v>13464.110263447275</v>
      </c>
      <c r="DZ7" s="111">
        <v>13603.263522820132</v>
      </c>
      <c r="EA7" s="111">
        <v>14239.779215405311</v>
      </c>
      <c r="EB7" s="111">
        <v>7084.4892541326853</v>
      </c>
      <c r="EC7" s="111">
        <v>6859.0040945301507</v>
      </c>
      <c r="ED7" s="111">
        <v>4959.4532446484473</v>
      </c>
      <c r="EE7" s="111">
        <v>4215.5193871019846</v>
      </c>
      <c r="EF7" s="111">
        <v>5037.5111608587067</v>
      </c>
      <c r="EG7" s="111">
        <v>1600.4119658531718</v>
      </c>
      <c r="EH7" s="111">
        <v>1060.5887564820025</v>
      </c>
      <c r="EI7" s="111">
        <v>381.24825542749187</v>
      </c>
      <c r="EJ7" s="111">
        <v>14160.851408799004</v>
      </c>
      <c r="EK7" s="111">
        <v>14798.231392064641</v>
      </c>
      <c r="EL7" s="111">
        <v>15789.880636401658</v>
      </c>
      <c r="EM7" s="111">
        <v>5632.3432837535956</v>
      </c>
      <c r="EN7" s="111">
        <v>4273.8373953182509</v>
      </c>
      <c r="EO7" s="111">
        <v>6801.2696984765544</v>
      </c>
      <c r="EP7" s="111">
        <v>1988.5108948355512</v>
      </c>
      <c r="EQ7" s="111">
        <v>3817.1739437966721</v>
      </c>
      <c r="ER7" s="111">
        <v>3385.7215904239101</v>
      </c>
      <c r="ES7" s="111">
        <v>5701.0492821789376</v>
      </c>
      <c r="ET7" s="111">
        <v>12335.069645237514</v>
      </c>
      <c r="EU7" s="111">
        <v>12460.177060787855</v>
      </c>
      <c r="EV7" s="111">
        <v>12573.171097075536</v>
      </c>
      <c r="EW7" s="111">
        <v>4924.0539924980876</v>
      </c>
      <c r="EX7" s="111">
        <v>7526.1764403082852</v>
      </c>
      <c r="EY7" s="111">
        <v>2450.0090286505556</v>
      </c>
      <c r="EZ7" s="111">
        <v>8791.1606702709778</v>
      </c>
      <c r="FA7" s="111">
        <v>4272.4356620955696</v>
      </c>
      <c r="FB7" s="111">
        <v>8782.2367850474329</v>
      </c>
      <c r="FC7" s="111">
        <v>5135.342073945325</v>
      </c>
      <c r="FD7" s="111">
        <v>4520.5046920629557</v>
      </c>
      <c r="FE7" s="111">
        <v>4735.7038984746086</v>
      </c>
      <c r="FF7" s="111">
        <v>4357.6709503164775</v>
      </c>
      <c r="FG7" s="111">
        <v>7923.6954787551422</v>
      </c>
      <c r="FH7" s="111">
        <v>5106.8437617824547</v>
      </c>
      <c r="FI7" s="111">
        <v>5062.2476846988411</v>
      </c>
      <c r="FJ7" s="111">
        <v>6274.9002579068847</v>
      </c>
      <c r="FK7" s="111">
        <v>5785.6002328840505</v>
      </c>
      <c r="FL7" s="111">
        <v>3235.4753825933026</v>
      </c>
      <c r="FM7" s="111">
        <v>4233.6788699688996</v>
      </c>
      <c r="FN7" s="111">
        <v>12688.128160064551</v>
      </c>
      <c r="FO7" s="111">
        <v>4608.3561248429905</v>
      </c>
      <c r="FP7" s="111">
        <v>5267.813672013619</v>
      </c>
      <c r="FQ7" s="111">
        <v>3031.761455392365</v>
      </c>
      <c r="FR7" s="111">
        <v>5115.8736600052316</v>
      </c>
      <c r="FS7" s="111">
        <v>453.86030817582014</v>
      </c>
      <c r="FT7" s="111">
        <v>5541.0342461455357</v>
      </c>
      <c r="FU7" s="111">
        <v>3899.2997978918743</v>
      </c>
      <c r="FV7" s="111">
        <v>7567.0009625278808</v>
      </c>
      <c r="FW7" s="111">
        <v>7601.5214249757828</v>
      </c>
      <c r="FX7" s="111">
        <v>12800.295679039444</v>
      </c>
      <c r="FY7" s="111">
        <v>5268.4694667080175</v>
      </c>
      <c r="FZ7" s="111">
        <v>3280.39154590928</v>
      </c>
      <c r="GA7" s="111">
        <v>1120.6015882535944</v>
      </c>
      <c r="GB7" s="111">
        <v>5385.3291024304153</v>
      </c>
      <c r="GC7" s="111">
        <v>3600.3784979923576</v>
      </c>
      <c r="GD7" s="111">
        <v>1819.0373954275819</v>
      </c>
      <c r="GE7" s="111">
        <v>5718.564099951479</v>
      </c>
      <c r="GF7" s="111">
        <v>12378.336453950506</v>
      </c>
      <c r="GG7" s="111">
        <v>10861.15540998237</v>
      </c>
      <c r="GH7" s="111">
        <v>10577.717016911007</v>
      </c>
      <c r="GI7" s="111">
        <v>11161.465742748445</v>
      </c>
      <c r="GJ7" s="111">
        <v>15053.283439067696</v>
      </c>
      <c r="GK7" s="111">
        <v>769.46939310340656</v>
      </c>
      <c r="GL7" s="111">
        <v>13202.580160298503</v>
      </c>
      <c r="GM7" s="111">
        <v>3847.9530778017483</v>
      </c>
      <c r="GN7" s="111">
        <v>3260.8389362513217</v>
      </c>
      <c r="GO7" s="111">
        <v>7008.1423034635718</v>
      </c>
      <c r="GP7" s="111">
        <v>7021.2461050482661</v>
      </c>
      <c r="GQ7" s="111">
        <v>4609.5325079443119</v>
      </c>
      <c r="GR7" s="111">
        <v>11340.271795353514</v>
      </c>
      <c r="GS7" s="111">
        <v>5161.4100826464792</v>
      </c>
      <c r="GT7" s="112">
        <v>7997.9519772229951</v>
      </c>
    </row>
    <row r="8" spans="2:202" x14ac:dyDescent="0.6">
      <c r="B8" s="106" t="s">
        <v>4</v>
      </c>
      <c r="C8" s="63" t="s">
        <v>418</v>
      </c>
      <c r="D8" s="113">
        <v>5871.7357167048212</v>
      </c>
      <c r="E8" s="114" t="s">
        <v>237</v>
      </c>
      <c r="F8" s="114">
        <v>672.14184541238353</v>
      </c>
      <c r="G8" s="114">
        <v>5104.5527439109774</v>
      </c>
      <c r="H8" s="114">
        <v>6666.1824304850816</v>
      </c>
      <c r="I8" s="114">
        <v>10376.397334479585</v>
      </c>
      <c r="J8" s="114">
        <v>3590.763494914695</v>
      </c>
      <c r="K8" s="114">
        <v>17097.860299797576</v>
      </c>
      <c r="L8" s="114">
        <v>1686.7230401702145</v>
      </c>
      <c r="M8" s="114">
        <v>4029.2790204730436</v>
      </c>
      <c r="N8" s="114">
        <v>7562.2837967048135</v>
      </c>
      <c r="O8" s="114">
        <v>4585.3211182718096</v>
      </c>
      <c r="P8" s="114">
        <v>8249.8910288774023</v>
      </c>
      <c r="Q8" s="114">
        <v>6690.2158665045508</v>
      </c>
      <c r="R8" s="114">
        <v>2666.5539159056107</v>
      </c>
      <c r="S8" s="114">
        <v>1569.3388627416971</v>
      </c>
      <c r="T8" s="114">
        <v>9004.1145875709317</v>
      </c>
      <c r="U8" s="114">
        <v>3357.6471544689553</v>
      </c>
      <c r="V8" s="114">
        <v>7948.0451718621262</v>
      </c>
      <c r="W8" s="114">
        <v>9474.0209586446581</v>
      </c>
      <c r="X8" s="114">
        <v>1511.9466249955854</v>
      </c>
      <c r="Y8" s="114">
        <v>7168.0450418800347</v>
      </c>
      <c r="Z8" s="114">
        <v>8465.8515836123588</v>
      </c>
      <c r="AA8" s="114">
        <v>8189.8376889841475</v>
      </c>
      <c r="AB8" s="114">
        <v>11634.989126652648</v>
      </c>
      <c r="AC8" s="114">
        <v>1847.8346175485219</v>
      </c>
      <c r="AD8" s="114">
        <v>2734.0933506197489</v>
      </c>
      <c r="AE8" s="114">
        <v>5166.6101500545619</v>
      </c>
      <c r="AF8" s="114">
        <v>3536.1174657284346</v>
      </c>
      <c r="AG8" s="114">
        <v>10259.802521955013</v>
      </c>
      <c r="AH8" s="114">
        <v>3662.8424147966584</v>
      </c>
      <c r="AI8" s="114">
        <v>3757.3163863341915</v>
      </c>
      <c r="AJ8" s="114">
        <v>6771.8324689510946</v>
      </c>
      <c r="AK8" s="114">
        <v>6413.4231364512489</v>
      </c>
      <c r="AL8" s="114">
        <v>3905.1049945522218</v>
      </c>
      <c r="AM8" s="114">
        <v>2939.4839639623679</v>
      </c>
      <c r="AN8" s="114">
        <v>10864.220043511879</v>
      </c>
      <c r="AO8" s="114">
        <v>10130.613991510198</v>
      </c>
      <c r="AP8" s="114">
        <v>9148.6375761084018</v>
      </c>
      <c r="AQ8" s="114">
        <v>8566.0540956557397</v>
      </c>
      <c r="AR8" s="114">
        <v>6772.7094344147108</v>
      </c>
      <c r="AS8" s="114">
        <v>4706.000727272859</v>
      </c>
      <c r="AT8" s="114">
        <v>4675.0261357908003</v>
      </c>
      <c r="AU8" s="114">
        <v>9121.3689770017972</v>
      </c>
      <c r="AV8" s="114">
        <v>3530.5394139261348</v>
      </c>
      <c r="AW8" s="114">
        <v>1453.1739307762161</v>
      </c>
      <c r="AX8" s="114">
        <v>8110.397067310616</v>
      </c>
      <c r="AY8" s="114">
        <v>2715.1751301421177</v>
      </c>
      <c r="AZ8" s="114">
        <v>1759.5916195970672</v>
      </c>
      <c r="BA8" s="114">
        <v>2225.2093253247913</v>
      </c>
      <c r="BB8" s="114">
        <v>4824.1705078707</v>
      </c>
      <c r="BC8" s="114">
        <v>6729.1546590782227</v>
      </c>
      <c r="BD8" s="114">
        <v>7288.1864652991326</v>
      </c>
      <c r="BE8" s="114">
        <v>4687.7010695628896</v>
      </c>
      <c r="BF8" s="114">
        <v>9251.7143472332482</v>
      </c>
      <c r="BG8" s="114">
        <v>2695.230358041857</v>
      </c>
      <c r="BH8" s="114">
        <v>9319.3321085074913</v>
      </c>
      <c r="BI8" s="114">
        <v>3707.9277346663084</v>
      </c>
      <c r="BJ8" s="114">
        <v>4225.3368246125092</v>
      </c>
      <c r="BK8" s="114">
        <v>2967.4714246003241</v>
      </c>
      <c r="BL8" s="114">
        <v>7553.1188576096929</v>
      </c>
      <c r="BM8" s="114">
        <v>4687.0359737350364</v>
      </c>
      <c r="BN8" s="114">
        <v>3066.0210127239789</v>
      </c>
      <c r="BO8" s="114">
        <v>1345.1478854624995</v>
      </c>
      <c r="BP8" s="114">
        <v>4072.1309364438566</v>
      </c>
      <c r="BQ8" s="114">
        <v>3223.3714787148569</v>
      </c>
      <c r="BR8" s="114">
        <v>3591.4298593924664</v>
      </c>
      <c r="BS8" s="114">
        <v>1937.6664978721481</v>
      </c>
      <c r="BT8" s="114">
        <v>1476.4287771136392</v>
      </c>
      <c r="BU8" s="114">
        <v>1587.3444808835432</v>
      </c>
      <c r="BV8" s="114">
        <v>3469.6466146100511</v>
      </c>
      <c r="BW8" s="114">
        <v>1810.86416739783</v>
      </c>
      <c r="BX8" s="114">
        <v>6971.4450826396451</v>
      </c>
      <c r="BY8" s="114">
        <v>9351.5646799330989</v>
      </c>
      <c r="BZ8" s="114">
        <v>3449.1678177495114</v>
      </c>
      <c r="CA8" s="114">
        <v>3340.7282744017107</v>
      </c>
      <c r="CB8" s="114">
        <v>7016.8084498661074</v>
      </c>
      <c r="CC8" s="114">
        <v>7514.402825657</v>
      </c>
      <c r="CD8" s="114">
        <v>9105.3645913801683</v>
      </c>
      <c r="CE8" s="114">
        <v>1785.3288567025079</v>
      </c>
      <c r="CF8" s="114">
        <v>3491.8293412103098</v>
      </c>
      <c r="CG8" s="114">
        <v>6986.7929851654872</v>
      </c>
      <c r="CH8" s="114">
        <v>6842.0072225892545</v>
      </c>
      <c r="CI8" s="114">
        <v>11599.813338281741</v>
      </c>
      <c r="CJ8" s="114">
        <v>4296.7952842396598</v>
      </c>
      <c r="CK8" s="114">
        <v>3751.8018838539892</v>
      </c>
      <c r="CL8" s="114">
        <v>1999.9867330317998</v>
      </c>
      <c r="CM8" s="114">
        <v>3532.5662332265752</v>
      </c>
      <c r="CN8" s="114">
        <v>977.81044339020082</v>
      </c>
      <c r="CO8" s="114">
        <v>1128.2081873282496</v>
      </c>
      <c r="CP8" s="114">
        <v>7919.6890333356669</v>
      </c>
      <c r="CQ8" s="114">
        <v>10833.101284706971</v>
      </c>
      <c r="CR8" s="114">
        <v>3024.2420886838227</v>
      </c>
      <c r="CS8" s="114">
        <v>5503.4103267995606</v>
      </c>
      <c r="CT8" s="114">
        <v>5419.2077095536124</v>
      </c>
      <c r="CU8" s="114">
        <v>4231.2534056776658</v>
      </c>
      <c r="CV8" s="114">
        <v>5981.46653117592</v>
      </c>
      <c r="CW8" s="114">
        <v>9647.9677560140262</v>
      </c>
      <c r="CX8" s="114">
        <v>2730.4607238380536</v>
      </c>
      <c r="CY8" s="114">
        <v>2940.4427113569527</v>
      </c>
      <c r="CZ8" s="114">
        <v>7720.8694574535602</v>
      </c>
      <c r="DA8" s="114">
        <v>3634.3636030974853</v>
      </c>
      <c r="DB8" s="114">
        <v>1014.1400846156459</v>
      </c>
      <c r="DC8" s="114">
        <v>1292.0533317534002</v>
      </c>
      <c r="DD8" s="114">
        <v>2617.0970611888797</v>
      </c>
      <c r="DE8" s="114">
        <v>1460.3837199277225</v>
      </c>
      <c r="DF8" s="114">
        <v>7676.5749653595431</v>
      </c>
      <c r="DG8" s="114">
        <v>6450.1425862139786</v>
      </c>
      <c r="DH8" s="114">
        <v>10545.046102515606</v>
      </c>
      <c r="DI8" s="114">
        <v>7977.1325494773282</v>
      </c>
      <c r="DJ8" s="114">
        <v>2880.9896949890849</v>
      </c>
      <c r="DK8" s="114">
        <v>1014.6352281424482</v>
      </c>
      <c r="DL8" s="114">
        <v>8477.9031445297023</v>
      </c>
      <c r="DM8" s="114">
        <v>8496.964767985568</v>
      </c>
      <c r="DN8" s="114">
        <v>9785.048798972899</v>
      </c>
      <c r="DO8" s="114">
        <v>2426.5578930539832</v>
      </c>
      <c r="DP8" s="114">
        <v>893.44774876034455</v>
      </c>
      <c r="DQ8" s="114">
        <v>7988.2326314093707</v>
      </c>
      <c r="DR8" s="114">
        <v>1539.3549792631541</v>
      </c>
      <c r="DS8" s="114">
        <v>939.40704551488238</v>
      </c>
      <c r="DT8" s="114">
        <v>7544.8742019349947</v>
      </c>
      <c r="DU8" s="114">
        <v>9201.8951312321788</v>
      </c>
      <c r="DV8" s="114">
        <v>6697.4629377866559</v>
      </c>
      <c r="DW8" s="114">
        <v>7582.029670542549</v>
      </c>
      <c r="DX8" s="114">
        <v>1761.7295300805608</v>
      </c>
      <c r="DY8" s="114">
        <v>19271.948671457438</v>
      </c>
      <c r="DZ8" s="114">
        <v>19095.491457108335</v>
      </c>
      <c r="EA8" s="114">
        <v>9151.6795654770667</v>
      </c>
      <c r="EB8" s="114">
        <v>2576.1729740097931</v>
      </c>
      <c r="EC8" s="114">
        <v>3073.408896508322</v>
      </c>
      <c r="ED8" s="114">
        <v>9744.0110089600021</v>
      </c>
      <c r="EE8" s="114">
        <v>1680.8768410677242</v>
      </c>
      <c r="EF8" s="114">
        <v>2626.0436333355628</v>
      </c>
      <c r="EG8" s="114">
        <v>5447.1573383706718</v>
      </c>
      <c r="EH8" s="114">
        <v>6143.9199979647237</v>
      </c>
      <c r="EI8" s="114">
        <v>6248.6155589840328</v>
      </c>
      <c r="EJ8" s="114">
        <v>8731.5046054859376</v>
      </c>
      <c r="EK8" s="114">
        <v>9316.1503764763147</v>
      </c>
      <c r="EL8" s="114">
        <v>9930.0745564144909</v>
      </c>
      <c r="EM8" s="114">
        <v>11403.098636438635</v>
      </c>
      <c r="EN8" s="114">
        <v>2242.6787349764236</v>
      </c>
      <c r="EO8" s="114">
        <v>1097.49902396009</v>
      </c>
      <c r="EP8" s="114">
        <v>4726.9351466168355</v>
      </c>
      <c r="EQ8" s="114">
        <v>2127.7877557629567</v>
      </c>
      <c r="ER8" s="114">
        <v>3364.2341491741358</v>
      </c>
      <c r="ES8" s="114">
        <v>5063.1466978368917</v>
      </c>
      <c r="ET8" s="114">
        <v>6715.9753471995618</v>
      </c>
      <c r="EU8" s="114">
        <v>6743.3285953571976</v>
      </c>
      <c r="EV8" s="114">
        <v>6847.4685605615823</v>
      </c>
      <c r="EW8" s="114">
        <v>1114.718866272231</v>
      </c>
      <c r="EX8" s="114">
        <v>4053.0171837482862</v>
      </c>
      <c r="EY8" s="114">
        <v>4325.0688161830758</v>
      </c>
      <c r="EZ8" s="114">
        <v>3181.1967492141403</v>
      </c>
      <c r="FA8" s="114">
        <v>1711.3836049495949</v>
      </c>
      <c r="FB8" s="114">
        <v>3532.8651424723844</v>
      </c>
      <c r="FC8" s="114">
        <v>10876.060849010757</v>
      </c>
      <c r="FD8" s="114">
        <v>1730.1172694867064</v>
      </c>
      <c r="FE8" s="114">
        <v>1421.698501508916</v>
      </c>
      <c r="FF8" s="114">
        <v>5771.6730607373374</v>
      </c>
      <c r="FG8" s="114">
        <v>7362.5989991246906</v>
      </c>
      <c r="FH8" s="114">
        <v>9960.7066410032676</v>
      </c>
      <c r="FI8" s="114">
        <v>4557.7398490794039</v>
      </c>
      <c r="FJ8" s="114">
        <v>710.82995267501201</v>
      </c>
      <c r="FK8" s="114">
        <v>557.62970668155151</v>
      </c>
      <c r="FL8" s="114">
        <v>8369.6133377095994</v>
      </c>
      <c r="FM8" s="114">
        <v>3726.0358284585682</v>
      </c>
      <c r="FN8" s="114">
        <v>6823.5114527695396</v>
      </c>
      <c r="FO8" s="114">
        <v>2753.4683085002416</v>
      </c>
      <c r="FP8" s="114">
        <v>1181.1296739836794</v>
      </c>
      <c r="FQ8" s="114">
        <v>3025.1016414062874</v>
      </c>
      <c r="FR8" s="114">
        <v>10623.391725351185</v>
      </c>
      <c r="FS8" s="114">
        <v>5657.3341226352168</v>
      </c>
      <c r="FT8" s="114">
        <v>6110.1271554548184</v>
      </c>
      <c r="FU8" s="114">
        <v>9754.3331736843429</v>
      </c>
      <c r="FV8" s="114">
        <v>13418.352038570254</v>
      </c>
      <c r="FW8" s="114">
        <v>3377.9719764617103</v>
      </c>
      <c r="FX8" s="114">
        <v>7039.4588527540309</v>
      </c>
      <c r="FY8" s="114">
        <v>628.62305003326298</v>
      </c>
      <c r="FZ8" s="114">
        <v>2593.437981639212</v>
      </c>
      <c r="GA8" s="114">
        <v>4752.2618406521715</v>
      </c>
      <c r="GB8" s="114">
        <v>5028.4745214877394</v>
      </c>
      <c r="GC8" s="114">
        <v>2662.1866394793769</v>
      </c>
      <c r="GD8" s="114">
        <v>5028.6035993243722</v>
      </c>
      <c r="GE8" s="114">
        <v>1679.6759655408825</v>
      </c>
      <c r="GF8" s="114">
        <v>10097.764209793566</v>
      </c>
      <c r="GG8" s="114">
        <v>6496.9209696937869</v>
      </c>
      <c r="GH8" s="114">
        <v>6201.1863673074122</v>
      </c>
      <c r="GI8" s="114">
        <v>6813.9652762825554</v>
      </c>
      <c r="GJ8" s="114">
        <v>9985.931796717372</v>
      </c>
      <c r="GK8" s="114">
        <v>5606.631999488568</v>
      </c>
      <c r="GL8" s="114">
        <v>7512.1798517042334</v>
      </c>
      <c r="GM8" s="114">
        <v>9677.8436824012606</v>
      </c>
      <c r="GN8" s="114">
        <v>4681.5202571115215</v>
      </c>
      <c r="GO8" s="114">
        <v>6323.2591684529298</v>
      </c>
      <c r="GP8" s="114">
        <v>6668.6591804733343</v>
      </c>
      <c r="GQ8" s="114">
        <v>10477.408150463287</v>
      </c>
      <c r="GR8" s="114">
        <v>16966.538534067811</v>
      </c>
      <c r="GS8" s="114">
        <v>1298.6717646475252</v>
      </c>
      <c r="GT8" s="115">
        <v>7437.8973172838623</v>
      </c>
    </row>
    <row r="9" spans="2:202" x14ac:dyDescent="0.6">
      <c r="B9" s="106" t="s">
        <v>5</v>
      </c>
      <c r="C9" s="63" t="s">
        <v>419</v>
      </c>
      <c r="D9" s="113">
        <v>5826.8209195015943</v>
      </c>
      <c r="E9" s="114">
        <v>672.14184541238353</v>
      </c>
      <c r="F9" s="114" t="s">
        <v>237</v>
      </c>
      <c r="G9" s="114">
        <v>5776.4912995500536</v>
      </c>
      <c r="H9" s="114">
        <v>6544.0357876685403</v>
      </c>
      <c r="I9" s="114">
        <v>10725.675894927561</v>
      </c>
      <c r="J9" s="114">
        <v>3566.5205994865082</v>
      </c>
      <c r="K9" s="114">
        <v>17218.212664372695</v>
      </c>
      <c r="L9" s="114">
        <v>1330.7790085511062</v>
      </c>
      <c r="M9" s="114">
        <v>3981.6891188618106</v>
      </c>
      <c r="N9" s="114">
        <v>7257.6250537592796</v>
      </c>
      <c r="O9" s="114">
        <v>4775.2715138587891</v>
      </c>
      <c r="P9" s="114">
        <v>8198.07905602145</v>
      </c>
      <c r="Q9" s="114">
        <v>6631.6668943958539</v>
      </c>
      <c r="R9" s="114">
        <v>2282.7886778302986</v>
      </c>
      <c r="S9" s="114">
        <v>938.13796290932009</v>
      </c>
      <c r="T9" s="114">
        <v>8701.8298864373901</v>
      </c>
      <c r="U9" s="114">
        <v>4013.3783577913896</v>
      </c>
      <c r="V9" s="114">
        <v>7863.0472450717461</v>
      </c>
      <c r="W9" s="114">
        <v>9613.3866657252529</v>
      </c>
      <c r="X9" s="114">
        <v>1383.6384805471703</v>
      </c>
      <c r="Y9" s="114">
        <v>7829.9455258844564</v>
      </c>
      <c r="Z9" s="114">
        <v>8822.5063716022014</v>
      </c>
      <c r="AA9" s="114">
        <v>8568.7979342990093</v>
      </c>
      <c r="AB9" s="114">
        <v>11571.597948165645</v>
      </c>
      <c r="AC9" s="114">
        <v>1792.26282511724</v>
      </c>
      <c r="AD9" s="114">
        <v>3363.2096477694281</v>
      </c>
      <c r="AE9" s="114">
        <v>5781.8450925502184</v>
      </c>
      <c r="AF9" s="114">
        <v>3842.6160449769213</v>
      </c>
      <c r="AG9" s="114">
        <v>10218.373541825858</v>
      </c>
      <c r="AH9" s="114">
        <v>4334.979227543573</v>
      </c>
      <c r="AI9" s="114">
        <v>4428.9018668859726</v>
      </c>
      <c r="AJ9" s="114">
        <v>6287.450904839232</v>
      </c>
      <c r="AK9" s="114">
        <v>5926.926366625692</v>
      </c>
      <c r="AL9" s="114">
        <v>4557.9957837635275</v>
      </c>
      <c r="AM9" s="114">
        <v>3596.1452841337777</v>
      </c>
      <c r="AN9" s="114">
        <v>11128.086551121556</v>
      </c>
      <c r="AO9" s="114">
        <v>9807.4279860894621</v>
      </c>
      <c r="AP9" s="114">
        <v>8797.9354390873705</v>
      </c>
      <c r="AQ9" s="114">
        <v>8477.7973006932862</v>
      </c>
      <c r="AR9" s="114">
        <v>7336.857365403449</v>
      </c>
      <c r="AS9" s="114">
        <v>5375.011797910659</v>
      </c>
      <c r="AT9" s="114">
        <v>5344.2397694660785</v>
      </c>
      <c r="AU9" s="114">
        <v>8913.1927392351154</v>
      </c>
      <c r="AV9" s="114">
        <v>4144.0807739146558</v>
      </c>
      <c r="AW9" s="114">
        <v>1194.3471590901127</v>
      </c>
      <c r="AX9" s="114">
        <v>7794.4565787324973</v>
      </c>
      <c r="AY9" s="114">
        <v>2865.4682234847223</v>
      </c>
      <c r="AZ9" s="114">
        <v>1310.9394296773501</v>
      </c>
      <c r="BA9" s="114">
        <v>1660.3045395790061</v>
      </c>
      <c r="BB9" s="114">
        <v>5260.2580646304614</v>
      </c>
      <c r="BC9" s="114">
        <v>6632.2599643335343</v>
      </c>
      <c r="BD9" s="114">
        <v>7097.9018382286522</v>
      </c>
      <c r="BE9" s="114">
        <v>5356.9113221959469</v>
      </c>
      <c r="BF9" s="114">
        <v>9171.5334546406157</v>
      </c>
      <c r="BG9" s="114">
        <v>2984.6950062486626</v>
      </c>
      <c r="BH9" s="114">
        <v>9043.5952845933971</v>
      </c>
      <c r="BI9" s="114">
        <v>4379.4807310106926</v>
      </c>
      <c r="BJ9" s="114">
        <v>4656.1634037269278</v>
      </c>
      <c r="BK9" s="114">
        <v>2461.8796784106116</v>
      </c>
      <c r="BL9" s="114">
        <v>8204.4586864723187</v>
      </c>
      <c r="BM9" s="114">
        <v>5173.1083892317183</v>
      </c>
      <c r="BN9" s="114">
        <v>2551.8971053623318</v>
      </c>
      <c r="BO9" s="114">
        <v>691.70309179978801</v>
      </c>
      <c r="BP9" s="114">
        <v>4743.8915178530642</v>
      </c>
      <c r="BQ9" s="114">
        <v>3651.2918405365663</v>
      </c>
      <c r="BR9" s="114">
        <v>3537.8668473887924</v>
      </c>
      <c r="BS9" s="114">
        <v>1425.5688895751475</v>
      </c>
      <c r="BT9" s="114">
        <v>1030.7261753986061</v>
      </c>
      <c r="BU9" s="114">
        <v>1034.8884268797449</v>
      </c>
      <c r="BV9" s="114">
        <v>4112.0268232948974</v>
      </c>
      <c r="BW9" s="114">
        <v>1953.0126267776075</v>
      </c>
      <c r="BX9" s="114">
        <v>6903.5584812125335</v>
      </c>
      <c r="BY9" s="114">
        <v>9060.1693556001064</v>
      </c>
      <c r="BZ9" s="114">
        <v>3946.1078097777945</v>
      </c>
      <c r="CA9" s="114">
        <v>3796.9959941104416</v>
      </c>
      <c r="CB9" s="114">
        <v>7035.3265481239987</v>
      </c>
      <c r="CC9" s="114">
        <v>7305.3476494417346</v>
      </c>
      <c r="CD9" s="114">
        <v>8837.0041005806943</v>
      </c>
      <c r="CE9" s="114">
        <v>1500.3105587900811</v>
      </c>
      <c r="CF9" s="114">
        <v>2827.6391521542828</v>
      </c>
      <c r="CG9" s="114">
        <v>7097.7748590078336</v>
      </c>
      <c r="CH9" s="114">
        <v>6822.4986028361482</v>
      </c>
      <c r="CI9" s="114">
        <v>11701.247588321274</v>
      </c>
      <c r="CJ9" s="114">
        <v>4330.3706934072734</v>
      </c>
      <c r="CK9" s="114">
        <v>3867.9498713862736</v>
      </c>
      <c r="CL9" s="114">
        <v>1332.7325900220685</v>
      </c>
      <c r="CM9" s="114">
        <v>3411.0903236360173</v>
      </c>
      <c r="CN9" s="114">
        <v>910.9511772537918</v>
      </c>
      <c r="CO9" s="114">
        <v>721.18434179251835</v>
      </c>
      <c r="CP9" s="114">
        <v>7685.8673757067472</v>
      </c>
      <c r="CQ9" s="114">
        <v>10369.724114159571</v>
      </c>
      <c r="CR9" s="114">
        <v>3238.9152199020059</v>
      </c>
      <c r="CS9" s="114">
        <v>5218.7392201332941</v>
      </c>
      <c r="CT9" s="114">
        <v>5981.4131490337759</v>
      </c>
      <c r="CU9" s="114">
        <v>4389.6746039213476</v>
      </c>
      <c r="CV9" s="114">
        <v>5802.4372535940756</v>
      </c>
      <c r="CW9" s="114">
        <v>9567.3414849992969</v>
      </c>
      <c r="CX9" s="114">
        <v>2262.5125920311825</v>
      </c>
      <c r="CY9" s="114">
        <v>3113.4111015645371</v>
      </c>
      <c r="CZ9" s="114">
        <v>8383.0798575116187</v>
      </c>
      <c r="DA9" s="114">
        <v>4182.1735040236354</v>
      </c>
      <c r="DB9" s="114">
        <v>1503.6477824983042</v>
      </c>
      <c r="DC9" s="114">
        <v>823.99512325242415</v>
      </c>
      <c r="DD9" s="114">
        <v>2198.4077114587958</v>
      </c>
      <c r="DE9" s="114">
        <v>867.21181225356736</v>
      </c>
      <c r="DF9" s="114">
        <v>8246.1601208676075</v>
      </c>
      <c r="DG9" s="114">
        <v>7072.2305538921282</v>
      </c>
      <c r="DH9" s="114">
        <v>10600.637452764926</v>
      </c>
      <c r="DI9" s="114">
        <v>8229.9224353252539</v>
      </c>
      <c r="DJ9" s="114">
        <v>3441.0996316350097</v>
      </c>
      <c r="DK9" s="114">
        <v>1350.1631242884309</v>
      </c>
      <c r="DL9" s="114">
        <v>9001.7624661811769</v>
      </c>
      <c r="DM9" s="114">
        <v>9020.0565213569316</v>
      </c>
      <c r="DN9" s="114">
        <v>9400.9795793645062</v>
      </c>
      <c r="DO9" s="114">
        <v>2227.7815142715294</v>
      </c>
      <c r="DP9" s="114">
        <v>520.89773073784932</v>
      </c>
      <c r="DQ9" s="114">
        <v>7617.8170039260231</v>
      </c>
      <c r="DR9" s="114">
        <v>1471.2903838437871</v>
      </c>
      <c r="DS9" s="114">
        <v>1164.3860042874485</v>
      </c>
      <c r="DT9" s="114">
        <v>8192.1073235519016</v>
      </c>
      <c r="DU9" s="114">
        <v>9175.1343653597196</v>
      </c>
      <c r="DV9" s="114">
        <v>7369.0286013851592</v>
      </c>
      <c r="DW9" s="114">
        <v>7522.3254631477048</v>
      </c>
      <c r="DX9" s="114">
        <v>1129.1931382875282</v>
      </c>
      <c r="DY9" s="114">
        <v>19189.943966129529</v>
      </c>
      <c r="DZ9" s="114">
        <v>19427.847074911289</v>
      </c>
      <c r="EA9" s="114">
        <v>8906.6662222290361</v>
      </c>
      <c r="EB9" s="114">
        <v>3229.8884701156439</v>
      </c>
      <c r="EC9" s="114">
        <v>3744.5626195414943</v>
      </c>
      <c r="ED9" s="114">
        <v>9346.0364643435678</v>
      </c>
      <c r="EE9" s="114">
        <v>1640.1448424321404</v>
      </c>
      <c r="EF9" s="114">
        <v>2016.5643684820363</v>
      </c>
      <c r="EG9" s="114">
        <v>5613.1689693735971</v>
      </c>
      <c r="EH9" s="114">
        <v>6229.671570463599</v>
      </c>
      <c r="EI9" s="114">
        <v>6193.0953993840085</v>
      </c>
      <c r="EJ9" s="114">
        <v>8561.8554991913497</v>
      </c>
      <c r="EK9" s="114">
        <v>9604.8565537151553</v>
      </c>
      <c r="EL9" s="114">
        <v>9966.2231784957221</v>
      </c>
      <c r="EM9" s="114">
        <v>11207.704859380028</v>
      </c>
      <c r="EN9" s="114">
        <v>1834.454740758644</v>
      </c>
      <c r="EO9" s="114">
        <v>982.14600924289402</v>
      </c>
      <c r="EP9" s="114">
        <v>4922.2579405356355</v>
      </c>
      <c r="EQ9" s="114">
        <v>2009.7207845815701</v>
      </c>
      <c r="ER9" s="114">
        <v>2990.5325185058427</v>
      </c>
      <c r="ES9" s="114">
        <v>5668.5662863855141</v>
      </c>
      <c r="ET9" s="114">
        <v>6588.8538678429468</v>
      </c>
      <c r="EU9" s="114">
        <v>6664.1940676277391</v>
      </c>
      <c r="EV9" s="114">
        <v>6773.9017477007956</v>
      </c>
      <c r="EW9" s="114">
        <v>903.82185738129795</v>
      </c>
      <c r="EX9" s="114">
        <v>4720.9102076443742</v>
      </c>
      <c r="EY9" s="114">
        <v>4570.4788681220562</v>
      </c>
      <c r="EZ9" s="114">
        <v>3585.9997993788002</v>
      </c>
      <c r="FA9" s="114">
        <v>1554.4324423050523</v>
      </c>
      <c r="FB9" s="114">
        <v>4039.2255397602717</v>
      </c>
      <c r="FC9" s="114">
        <v>10929.000002317682</v>
      </c>
      <c r="FD9" s="114">
        <v>1388.1680498151509</v>
      </c>
      <c r="FE9" s="114">
        <v>1115.7232890322416</v>
      </c>
      <c r="FF9" s="114">
        <v>6251.5362602923424</v>
      </c>
      <c r="FG9" s="114">
        <v>8020.0995443504698</v>
      </c>
      <c r="FH9" s="114">
        <v>9566.7757630432061</v>
      </c>
      <c r="FI9" s="114">
        <v>5126.2461728335684</v>
      </c>
      <c r="FJ9" s="114">
        <v>459.61782586156761</v>
      </c>
      <c r="FK9" s="114">
        <v>124.79334890318211</v>
      </c>
      <c r="FL9" s="114">
        <v>8548.4326889510467</v>
      </c>
      <c r="FM9" s="114">
        <v>4215.8242205898005</v>
      </c>
      <c r="FN9" s="114">
        <v>6878.282357722409</v>
      </c>
      <c r="FO9" s="114">
        <v>2201.781911981197</v>
      </c>
      <c r="FP9" s="114">
        <v>669.16009149909758</v>
      </c>
      <c r="FQ9" s="114">
        <v>3196.6086196512188</v>
      </c>
      <c r="FR9" s="114">
        <v>10343.274805362806</v>
      </c>
      <c r="FS9" s="114">
        <v>5560.8772772324228</v>
      </c>
      <c r="FT9" s="114">
        <v>6678.6193635482623</v>
      </c>
      <c r="FU9" s="114">
        <v>9725.177705283686</v>
      </c>
      <c r="FV9" s="114">
        <v>13388.017786617409</v>
      </c>
      <c r="FW9" s="114">
        <v>4027.4976321811982</v>
      </c>
      <c r="FX9" s="114">
        <v>6987.938152283049</v>
      </c>
      <c r="FY9" s="114">
        <v>992.87206927527382</v>
      </c>
      <c r="FZ9" s="114">
        <v>2625.1382900391013</v>
      </c>
      <c r="GA9" s="114">
        <v>4711.6469356668167</v>
      </c>
      <c r="GB9" s="114">
        <v>5612.9702619634791</v>
      </c>
      <c r="GC9" s="114">
        <v>2376.610450067586</v>
      </c>
      <c r="GD9" s="114">
        <v>5213.7960329692187</v>
      </c>
      <c r="GE9" s="114">
        <v>1011.6464673209057</v>
      </c>
      <c r="GF9" s="114">
        <v>9531.6974920169105</v>
      </c>
      <c r="GG9" s="114">
        <v>6057.2919938381156</v>
      </c>
      <c r="GH9" s="114">
        <v>5755.3023697325571</v>
      </c>
      <c r="GI9" s="114">
        <v>6380.2724399763019</v>
      </c>
      <c r="GJ9" s="114">
        <v>10346.546582954154</v>
      </c>
      <c r="GK9" s="114">
        <v>5467.5152540115696</v>
      </c>
      <c r="GL9" s="114">
        <v>7424.2880080614823</v>
      </c>
      <c r="GM9" s="114">
        <v>9543.8863963893418</v>
      </c>
      <c r="GN9" s="114">
        <v>5058.4904197726864</v>
      </c>
      <c r="GO9" s="114">
        <v>6968.5253276785597</v>
      </c>
      <c r="GP9" s="114">
        <v>7307.447657073687</v>
      </c>
      <c r="GQ9" s="114">
        <v>10424.357987214935</v>
      </c>
      <c r="GR9" s="114">
        <v>17133.249730059764</v>
      </c>
      <c r="GS9" s="114">
        <v>800.35884507659398</v>
      </c>
      <c r="GT9" s="115">
        <v>8096.2836362996113</v>
      </c>
    </row>
    <row r="10" spans="2:202" x14ac:dyDescent="0.6">
      <c r="B10" s="106" t="s">
        <v>6</v>
      </c>
      <c r="C10" s="63" t="s">
        <v>420</v>
      </c>
      <c r="D10" s="113">
        <v>7564.0210396988286</v>
      </c>
      <c r="E10" s="114">
        <v>5104.5527439109774</v>
      </c>
      <c r="F10" s="114">
        <v>5776.4912995500536</v>
      </c>
      <c r="G10" s="114" t="s">
        <v>237</v>
      </c>
      <c r="H10" s="114">
        <v>8716.354774162839</v>
      </c>
      <c r="I10" s="114">
        <v>7942.0609806124648</v>
      </c>
      <c r="J10" s="114">
        <v>6280.7668511168977</v>
      </c>
      <c r="K10" s="114">
        <v>13539.83258257898</v>
      </c>
      <c r="L10" s="114">
        <v>6303.0834060280267</v>
      </c>
      <c r="M10" s="114">
        <v>6586.3651597716398</v>
      </c>
      <c r="N10" s="114">
        <v>10441.470462019732</v>
      </c>
      <c r="O10" s="114">
        <v>5558.8947197693169</v>
      </c>
      <c r="P10" s="114">
        <v>9089.077120164231</v>
      </c>
      <c r="Q10" s="114">
        <v>8350.6380085394339</v>
      </c>
      <c r="R10" s="114">
        <v>7024.3430021968625</v>
      </c>
      <c r="S10" s="114">
        <v>6618.2475853875667</v>
      </c>
      <c r="T10" s="114">
        <v>11494.172370849503</v>
      </c>
      <c r="U10" s="114">
        <v>2024.3120875079185</v>
      </c>
      <c r="V10" s="114">
        <v>9110.6538658822883</v>
      </c>
      <c r="W10" s="114">
        <v>8817.4372171268587</v>
      </c>
      <c r="X10" s="114">
        <v>5807.3663662831032</v>
      </c>
      <c r="Y10" s="114">
        <v>2210.0877471304671</v>
      </c>
      <c r="Z10" s="114">
        <v>6558.9107839163989</v>
      </c>
      <c r="AA10" s="114">
        <v>6199.8914717025464</v>
      </c>
      <c r="AB10" s="114">
        <v>11382.29067923131</v>
      </c>
      <c r="AC10" s="114">
        <v>5756.715658154576</v>
      </c>
      <c r="AD10" s="114">
        <v>2797.0329968916981</v>
      </c>
      <c r="AE10" s="114">
        <v>1869.3246668269187</v>
      </c>
      <c r="AF10" s="114">
        <v>4797.1935574286208</v>
      </c>
      <c r="AG10" s="114">
        <v>10338.254178665027</v>
      </c>
      <c r="AH10" s="114">
        <v>1446.6733840590471</v>
      </c>
      <c r="AI10" s="114">
        <v>1349.1841692262294</v>
      </c>
      <c r="AJ10" s="114">
        <v>10863.28240488741</v>
      </c>
      <c r="AK10" s="114">
        <v>10566.604716776239</v>
      </c>
      <c r="AL10" s="114">
        <v>1528.4497826097629</v>
      </c>
      <c r="AM10" s="114">
        <v>2296.139219963813</v>
      </c>
      <c r="AN10" s="114">
        <v>8893.6726451330396</v>
      </c>
      <c r="AO10" s="114">
        <v>12233.312057722673</v>
      </c>
      <c r="AP10" s="114">
        <v>11724.952878007332</v>
      </c>
      <c r="AQ10" s="114">
        <v>9766.3513321594692</v>
      </c>
      <c r="AR10" s="114">
        <v>3301.0185897297024</v>
      </c>
      <c r="AS10" s="114">
        <v>521.90249767295677</v>
      </c>
      <c r="AT10" s="114">
        <v>536.51263703813311</v>
      </c>
      <c r="AU10" s="114">
        <v>10942.687050737733</v>
      </c>
      <c r="AV10" s="114">
        <v>2448.7792021523469</v>
      </c>
      <c r="AW10" s="114">
        <v>6009.4336001670972</v>
      </c>
      <c r="AX10" s="114">
        <v>10922.336300904921</v>
      </c>
      <c r="AY10" s="114">
        <v>5287.8141303219654</v>
      </c>
      <c r="AZ10" s="114">
        <v>6511.2899272595323</v>
      </c>
      <c r="BA10" s="114">
        <v>7106.865762626926</v>
      </c>
      <c r="BB10" s="114">
        <v>3881.5936207976615</v>
      </c>
      <c r="BC10" s="114">
        <v>8606.9788011873407</v>
      </c>
      <c r="BD10" s="114">
        <v>9546.8246549451706</v>
      </c>
      <c r="BE10" s="114">
        <v>526.73003348339375</v>
      </c>
      <c r="BF10" s="114">
        <v>10170.036580339667</v>
      </c>
      <c r="BG10" s="114">
        <v>4694.0894658025691</v>
      </c>
      <c r="BH10" s="114">
        <v>11541.083754259895</v>
      </c>
      <c r="BI10" s="114">
        <v>1425.3101603491607</v>
      </c>
      <c r="BJ10" s="114">
        <v>3843.6001383130138</v>
      </c>
      <c r="BK10" s="114">
        <v>7597.8833742395063</v>
      </c>
      <c r="BL10" s="114">
        <v>2727.407790761647</v>
      </c>
      <c r="BM10" s="114">
        <v>3410.0968553574489</v>
      </c>
      <c r="BN10" s="114">
        <v>7705.4988359763238</v>
      </c>
      <c r="BO10" s="114">
        <v>6428.337857343261</v>
      </c>
      <c r="BP10" s="114">
        <v>1064.1449953524457</v>
      </c>
      <c r="BQ10" s="114">
        <v>4063.3997039964052</v>
      </c>
      <c r="BR10" s="114">
        <v>6407.5681006161794</v>
      </c>
      <c r="BS10" s="114">
        <v>6760.6582631817519</v>
      </c>
      <c r="BT10" s="114">
        <v>6299.4209427338446</v>
      </c>
      <c r="BU10" s="114">
        <v>6531.6097267012665</v>
      </c>
      <c r="BV10" s="114">
        <v>2125.3698942216365</v>
      </c>
      <c r="BW10" s="114">
        <v>5234.870686254485</v>
      </c>
      <c r="BX10" s="114">
        <v>8587.106791822338</v>
      </c>
      <c r="BY10" s="114">
        <v>11671.861323840973</v>
      </c>
      <c r="BZ10" s="114">
        <v>3551.9904780743991</v>
      </c>
      <c r="CA10" s="114">
        <v>3863.25584206131</v>
      </c>
      <c r="CB10" s="114">
        <v>8074.306933158744</v>
      </c>
      <c r="CC10" s="114">
        <v>9820.060205018488</v>
      </c>
      <c r="CD10" s="114">
        <v>11337.681753217857</v>
      </c>
      <c r="CE10" s="114">
        <v>6230.9013985225583</v>
      </c>
      <c r="CF10" s="114">
        <v>8580.5112723299007</v>
      </c>
      <c r="CG10" s="114">
        <v>7226.1484141776464</v>
      </c>
      <c r="CH10" s="114">
        <v>7989.2320153697219</v>
      </c>
      <c r="CI10" s="114">
        <v>10262.91338821667</v>
      </c>
      <c r="CJ10" s="114">
        <v>6312.9229071155187</v>
      </c>
      <c r="CK10" s="114">
        <v>5687.3611994830935</v>
      </c>
      <c r="CL10" s="114">
        <v>7100.3295117321049</v>
      </c>
      <c r="CM10" s="114">
        <v>6799.2326275457599</v>
      </c>
      <c r="CN10" s="114">
        <v>5564.8872104179636</v>
      </c>
      <c r="CO10" s="114">
        <v>6013.5831598972527</v>
      </c>
      <c r="CP10" s="114">
        <v>10262.003778920156</v>
      </c>
      <c r="CQ10" s="114">
        <v>13835.167128097362</v>
      </c>
      <c r="CR10" s="114">
        <v>5050.9978469797688</v>
      </c>
      <c r="CS10" s="114">
        <v>8641.9813790620465</v>
      </c>
      <c r="CT10" s="114">
        <v>2708.5537137076353</v>
      </c>
      <c r="CU10" s="114">
        <v>5620.3796241859172</v>
      </c>
      <c r="CV10" s="114">
        <v>8398.3848560512433</v>
      </c>
      <c r="CW10" s="114">
        <v>10202.892015283442</v>
      </c>
      <c r="CX10" s="114">
        <v>7300.3696750852523</v>
      </c>
      <c r="CY10" s="114">
        <v>5227.0499383338711</v>
      </c>
      <c r="CZ10" s="114">
        <v>2733.3777119451097</v>
      </c>
      <c r="DA10" s="114">
        <v>3085.7509829144119</v>
      </c>
      <c r="DB10" s="114">
        <v>4557.8879415211486</v>
      </c>
      <c r="DC10" s="114">
        <v>6191.8844175312888</v>
      </c>
      <c r="DD10" s="114">
        <v>7082.3102241342031</v>
      </c>
      <c r="DE10" s="114">
        <v>6471.519983660357</v>
      </c>
      <c r="DF10" s="114">
        <v>3850.122998833906</v>
      </c>
      <c r="DG10" s="114">
        <v>2298.6041588525918</v>
      </c>
      <c r="DH10" s="114">
        <v>9866.1493365755214</v>
      </c>
      <c r="DI10" s="114">
        <v>6810.224152098981</v>
      </c>
      <c r="DJ10" s="114">
        <v>3256.2343299043555</v>
      </c>
      <c r="DK10" s="114">
        <v>4898.5359299354441</v>
      </c>
      <c r="DL10" s="114">
        <v>4912.0559295340354</v>
      </c>
      <c r="DM10" s="114">
        <v>4933.6207345642342</v>
      </c>
      <c r="DN10" s="114">
        <v>12645.095625752132</v>
      </c>
      <c r="DO10" s="114">
        <v>6365.3261271731426</v>
      </c>
      <c r="DP10" s="114">
        <v>5837.322020178236</v>
      </c>
      <c r="DQ10" s="114">
        <v>10987.897055153646</v>
      </c>
      <c r="DR10" s="114">
        <v>5698.3652554345426</v>
      </c>
      <c r="DS10" s="114">
        <v>5176.8706010760961</v>
      </c>
      <c r="DT10" s="114">
        <v>2778.0513842893474</v>
      </c>
      <c r="DU10" s="114">
        <v>9542.5638706129157</v>
      </c>
      <c r="DV10" s="114">
        <v>1595.1704107641137</v>
      </c>
      <c r="DW10" s="114">
        <v>8709.415383055346</v>
      </c>
      <c r="DX10" s="114">
        <v>6802.618951319012</v>
      </c>
      <c r="DY10" s="114">
        <v>14618.463982048259</v>
      </c>
      <c r="DZ10" s="114">
        <v>14166.627017536786</v>
      </c>
      <c r="EA10" s="114">
        <v>11212.570442810982</v>
      </c>
      <c r="EB10" s="114">
        <v>2712.8326414818821</v>
      </c>
      <c r="EC10" s="114">
        <v>2055.5259578858395</v>
      </c>
      <c r="ED10" s="114">
        <v>12509.004139728553</v>
      </c>
      <c r="EE10" s="114">
        <v>5676.8924961671682</v>
      </c>
      <c r="EF10" s="114">
        <v>7570.6362798993559</v>
      </c>
      <c r="EG10" s="114">
        <v>6057.9607095533129</v>
      </c>
      <c r="EH10" s="114">
        <v>6919.9600264398896</v>
      </c>
      <c r="EI10" s="114">
        <v>7850.7983410864808</v>
      </c>
      <c r="EJ10" s="114">
        <v>10415.746783265207</v>
      </c>
      <c r="EK10" s="114">
        <v>7644.8973058022375</v>
      </c>
      <c r="EL10" s="114">
        <v>9827.8659746017984</v>
      </c>
      <c r="EM10" s="114">
        <v>12152.789817250487</v>
      </c>
      <c r="EN10" s="114">
        <v>6783.2655848490822</v>
      </c>
      <c r="EO10" s="114">
        <v>5703.6489718418243</v>
      </c>
      <c r="EP10" s="114">
        <v>5576.8794415531274</v>
      </c>
      <c r="EQ10" s="114">
        <v>6010.6769239060932</v>
      </c>
      <c r="ER10" s="114">
        <v>7493.9844811563171</v>
      </c>
      <c r="ES10" s="114">
        <v>2021.3219943719903</v>
      </c>
      <c r="ET10" s="114">
        <v>8778.7352218346932</v>
      </c>
      <c r="EU10" s="114">
        <v>8509.1706546662354</v>
      </c>
      <c r="EV10" s="114">
        <v>8542.2539169321954</v>
      </c>
      <c r="EW10" s="114">
        <v>5788.3332008763373</v>
      </c>
      <c r="EX10" s="114">
        <v>1214.6509079807181</v>
      </c>
      <c r="EY10" s="114">
        <v>5139.2597203683017</v>
      </c>
      <c r="EZ10" s="114">
        <v>4209.8256811871306</v>
      </c>
      <c r="FA10" s="114">
        <v>5937.8342552340036</v>
      </c>
      <c r="FB10" s="114">
        <v>3463.1327423320417</v>
      </c>
      <c r="FC10" s="114">
        <v>10103.405698550092</v>
      </c>
      <c r="FD10" s="114">
        <v>6305.4179688743525</v>
      </c>
      <c r="FE10" s="114">
        <v>6065.7100050988111</v>
      </c>
      <c r="FF10" s="114">
        <v>3745.7504739018377</v>
      </c>
      <c r="FG10" s="114">
        <v>2461.2917078413479</v>
      </c>
      <c r="FH10" s="114">
        <v>12638.844599044798</v>
      </c>
      <c r="FI10" s="114">
        <v>2526.1437865622065</v>
      </c>
      <c r="FJ10" s="114">
        <v>5682.6944046725757</v>
      </c>
      <c r="FK10" s="114">
        <v>5659.238140732753</v>
      </c>
      <c r="FL10" s="114">
        <v>7590.5304842754986</v>
      </c>
      <c r="FM10" s="114">
        <v>3388.9372128815521</v>
      </c>
      <c r="FN10" s="114">
        <v>7725.1518988642047</v>
      </c>
      <c r="FO10" s="114">
        <v>7540.5323270496892</v>
      </c>
      <c r="FP10" s="114">
        <v>6151.1671549304765</v>
      </c>
      <c r="FQ10" s="114">
        <v>5247.0748510889434</v>
      </c>
      <c r="FR10" s="114">
        <v>12255.930056738069</v>
      </c>
      <c r="FS10" s="114">
        <v>7731.7485746792709</v>
      </c>
      <c r="FT10" s="114">
        <v>2886.1828025042905</v>
      </c>
      <c r="FU10" s="114">
        <v>9921.8729910809052</v>
      </c>
      <c r="FV10" s="114">
        <v>12269.879600176668</v>
      </c>
      <c r="FW10" s="114">
        <v>2094.5815333037194</v>
      </c>
      <c r="FX10" s="114">
        <v>8529.4145005034552</v>
      </c>
      <c r="FY10" s="114">
        <v>5013.8440677468425</v>
      </c>
      <c r="FZ10" s="114">
        <v>5706.4397748876936</v>
      </c>
      <c r="GA10" s="114">
        <v>6916.9265925575037</v>
      </c>
      <c r="GB10" s="114">
        <v>2331.8090457366911</v>
      </c>
      <c r="GC10" s="114">
        <v>6745.0061835878541</v>
      </c>
      <c r="GD10" s="114">
        <v>5755.952900780957</v>
      </c>
      <c r="GE10" s="114">
        <v>6775.6898731454048</v>
      </c>
      <c r="GF10" s="114">
        <v>14305.500569613676</v>
      </c>
      <c r="GG10" s="114">
        <v>10385.025898710503</v>
      </c>
      <c r="GH10" s="114">
        <v>10172.267158907651</v>
      </c>
      <c r="GI10" s="114">
        <v>10614.450021830806</v>
      </c>
      <c r="GJ10" s="114">
        <v>7576.6811154423267</v>
      </c>
      <c r="GK10" s="114">
        <v>7937.0189395103907</v>
      </c>
      <c r="GL10" s="114">
        <v>9063.9941954955702</v>
      </c>
      <c r="GM10" s="114">
        <v>10587.708811551242</v>
      </c>
      <c r="GN10" s="114">
        <v>4328.8947570095506</v>
      </c>
      <c r="GO10" s="114">
        <v>1797.6685942969841</v>
      </c>
      <c r="GP10" s="114">
        <v>2173.7671461462992</v>
      </c>
      <c r="GQ10" s="114">
        <v>10560.626392258015</v>
      </c>
      <c r="GR10" s="114">
        <v>13313.710341520355</v>
      </c>
      <c r="GS10" s="114">
        <v>6229.8866005216587</v>
      </c>
      <c r="GT10" s="115">
        <v>2518.3549244976807</v>
      </c>
    </row>
    <row r="11" spans="2:202" x14ac:dyDescent="0.6">
      <c r="B11" s="106" t="s">
        <v>8</v>
      </c>
      <c r="C11" s="63" t="s">
        <v>531</v>
      </c>
      <c r="D11" s="113">
        <v>12297.571093462861</v>
      </c>
      <c r="E11" s="114">
        <v>6666.1824304850816</v>
      </c>
      <c r="F11" s="114">
        <v>6544.0357876685403</v>
      </c>
      <c r="G11" s="114">
        <v>8716.354774162839</v>
      </c>
      <c r="H11" s="114" t="s">
        <v>237</v>
      </c>
      <c r="I11" s="114">
        <v>5943.1831603316959</v>
      </c>
      <c r="J11" s="114">
        <v>10094.984308959676</v>
      </c>
      <c r="K11" s="114">
        <v>16254.192514360173</v>
      </c>
      <c r="L11" s="114">
        <v>7721.5183134158715</v>
      </c>
      <c r="M11" s="114">
        <v>10489.84241048243</v>
      </c>
      <c r="N11" s="114">
        <v>1819.1323704657302</v>
      </c>
      <c r="O11" s="114">
        <v>11251.000225004809</v>
      </c>
      <c r="P11" s="114">
        <v>14582.212281093405</v>
      </c>
      <c r="Q11" s="114">
        <v>528.33832910062267</v>
      </c>
      <c r="R11" s="114">
        <v>8429.1243574832697</v>
      </c>
      <c r="S11" s="114">
        <v>6862.1281059789844</v>
      </c>
      <c r="T11" s="114">
        <v>2809.1880097596231</v>
      </c>
      <c r="U11" s="114">
        <v>7072.6802197184661</v>
      </c>
      <c r="V11" s="114">
        <v>14184.987850983891</v>
      </c>
      <c r="W11" s="114">
        <v>3768.0093996240012</v>
      </c>
      <c r="X11" s="114">
        <v>7919.8381519048153</v>
      </c>
      <c r="Y11" s="114">
        <v>10533.925203051222</v>
      </c>
      <c r="Z11" s="114">
        <v>4814.8734474979719</v>
      </c>
      <c r="AA11" s="114">
        <v>4891.7166529108399</v>
      </c>
      <c r="AB11" s="114">
        <v>17583.924654895738</v>
      </c>
      <c r="AC11" s="114">
        <v>8334.0983745030262</v>
      </c>
      <c r="AD11" s="114">
        <v>6512.7168747396699</v>
      </c>
      <c r="AE11" s="114">
        <v>10219.188565571079</v>
      </c>
      <c r="AF11" s="114">
        <v>4113.8776175842313</v>
      </c>
      <c r="AG11" s="114">
        <v>16513.512259351755</v>
      </c>
      <c r="AH11" s="114">
        <v>7915.0206835433692</v>
      </c>
      <c r="AI11" s="114">
        <v>8107.4443971025648</v>
      </c>
      <c r="AJ11" s="114">
        <v>3385.2911264384315</v>
      </c>
      <c r="AK11" s="114">
        <v>3375.3060831067737</v>
      </c>
      <c r="AL11" s="114">
        <v>8827.9038768822375</v>
      </c>
      <c r="AM11" s="114">
        <v>8193.112077872911</v>
      </c>
      <c r="AN11" s="114">
        <v>5673.0942064191859</v>
      </c>
      <c r="AO11" s="114">
        <v>14628.168765526063</v>
      </c>
      <c r="AP11" s="114">
        <v>13710.38343481192</v>
      </c>
      <c r="AQ11" s="114">
        <v>1943.1864043035453</v>
      </c>
      <c r="AR11" s="114">
        <v>11953.122508002956</v>
      </c>
      <c r="AS11" s="114">
        <v>8791.8069278802504</v>
      </c>
      <c r="AT11" s="114">
        <v>8763.1062554074542</v>
      </c>
      <c r="AU11" s="114">
        <v>2540.4540841115981</v>
      </c>
      <c r="AV11" s="114">
        <v>6416.6879877450747</v>
      </c>
      <c r="AW11" s="114">
        <v>7689.5705374384779</v>
      </c>
      <c r="AX11" s="114">
        <v>2226.3644315262836</v>
      </c>
      <c r="AY11" s="114">
        <v>9370.0411487298043</v>
      </c>
      <c r="AZ11" s="114">
        <v>7568.8269494960896</v>
      </c>
      <c r="BA11" s="114">
        <v>7453.4194529082288</v>
      </c>
      <c r="BB11" s="114">
        <v>11102.076492125219</v>
      </c>
      <c r="BC11" s="114">
        <v>222.90282662337557</v>
      </c>
      <c r="BD11" s="114">
        <v>831.26417357677155</v>
      </c>
      <c r="BE11" s="114">
        <v>8770.1183643972745</v>
      </c>
      <c r="BF11" s="114">
        <v>2637.6812981756698</v>
      </c>
      <c r="BG11" s="114">
        <v>9342.4244928690987</v>
      </c>
      <c r="BH11" s="114">
        <v>2950.8513275165401</v>
      </c>
      <c r="BI11" s="114">
        <v>7806.3950855596795</v>
      </c>
      <c r="BJ11" s="114">
        <v>10576.60899958056</v>
      </c>
      <c r="BK11" s="114">
        <v>8170.946734704753</v>
      </c>
      <c r="BL11" s="114">
        <v>11117.02398435296</v>
      </c>
      <c r="BM11" s="114">
        <v>10786.53027847042</v>
      </c>
      <c r="BN11" s="114">
        <v>8190.9118087045408</v>
      </c>
      <c r="BO11" s="114">
        <v>6688.7618948713753</v>
      </c>
      <c r="BP11" s="114">
        <v>7993.7770228874397</v>
      </c>
      <c r="BQ11" s="114">
        <v>4884.1794358676207</v>
      </c>
      <c r="BR11" s="114">
        <v>10050.874447262877</v>
      </c>
      <c r="BS11" s="114">
        <v>7501.4713766863078</v>
      </c>
      <c r="BT11" s="114">
        <v>7377.3898189168212</v>
      </c>
      <c r="BU11" s="114">
        <v>7174.0383332132214</v>
      </c>
      <c r="BV11" s="114">
        <v>6836.849154714977</v>
      </c>
      <c r="BW11" s="114">
        <v>8453.0029072381658</v>
      </c>
      <c r="BX11" s="114">
        <v>563.13265078126869</v>
      </c>
      <c r="BY11" s="114">
        <v>3049.4194193779072</v>
      </c>
      <c r="BZ11" s="114">
        <v>5292.7085940388988</v>
      </c>
      <c r="CA11" s="114">
        <v>5027.2011639889461</v>
      </c>
      <c r="CB11" s="114">
        <v>1248.1597389487806</v>
      </c>
      <c r="CC11" s="114">
        <v>1106.1051816254428</v>
      </c>
      <c r="CD11" s="114">
        <v>2729.2107827078476</v>
      </c>
      <c r="CE11" s="114">
        <v>7939.4483425446588</v>
      </c>
      <c r="CF11" s="114">
        <v>6039.6081438267047</v>
      </c>
      <c r="CG11" s="114">
        <v>13637.150376489626</v>
      </c>
      <c r="CH11" s="114">
        <v>13302.840413808661</v>
      </c>
      <c r="CI11" s="114">
        <v>18243.347692899602</v>
      </c>
      <c r="CJ11" s="114">
        <v>10872.126553094087</v>
      </c>
      <c r="CK11" s="114">
        <v>10397.137523122323</v>
      </c>
      <c r="CL11" s="114">
        <v>6233.3109360001745</v>
      </c>
      <c r="CM11" s="114">
        <v>3142.3931755019908</v>
      </c>
      <c r="CN11" s="114">
        <v>7449.4293544206912</v>
      </c>
      <c r="CO11" s="114">
        <v>7191.7406508545955</v>
      </c>
      <c r="CP11" s="114">
        <v>1556.8267463084092</v>
      </c>
      <c r="CQ11" s="114">
        <v>13718.170691829084</v>
      </c>
      <c r="CR11" s="114">
        <v>9690.0819678188691</v>
      </c>
      <c r="CS11" s="114">
        <v>11168.83469484088</v>
      </c>
      <c r="CT11" s="114">
        <v>10929.918460061395</v>
      </c>
      <c r="CU11" s="114">
        <v>10894.700272738281</v>
      </c>
      <c r="CV11" s="114">
        <v>12016.009421103534</v>
      </c>
      <c r="CW11" s="114">
        <v>15784.006984263782</v>
      </c>
      <c r="CX11" s="114">
        <v>8179.1775632485815</v>
      </c>
      <c r="CY11" s="114">
        <v>9603.0563933190442</v>
      </c>
      <c r="CZ11" s="114">
        <v>10844.547826523505</v>
      </c>
      <c r="DA11" s="114">
        <v>5707.5087320560997</v>
      </c>
      <c r="DB11" s="114">
        <v>7606.7009153421768</v>
      </c>
      <c r="DC11" s="114">
        <v>7205.0001908233799</v>
      </c>
      <c r="DD11" s="114">
        <v>8278.0931164174126</v>
      </c>
      <c r="DE11" s="114">
        <v>6982.0328205878668</v>
      </c>
      <c r="DF11" s="114">
        <v>12565.980481870338</v>
      </c>
      <c r="DG11" s="114">
        <v>11013.192541788543</v>
      </c>
      <c r="DH11" s="114">
        <v>17110.980504032876</v>
      </c>
      <c r="DI11" s="114">
        <v>14557.641971327725</v>
      </c>
      <c r="DJ11" s="114">
        <v>5845.0980014591205</v>
      </c>
      <c r="DK11" s="114">
        <v>7679.9633254345881</v>
      </c>
      <c r="DL11" s="114">
        <v>13628.104542627772</v>
      </c>
      <c r="DM11" s="114">
        <v>13649.619068603473</v>
      </c>
      <c r="DN11" s="114">
        <v>3936.2632085436126</v>
      </c>
      <c r="DO11" s="114">
        <v>8677.033019309476</v>
      </c>
      <c r="DP11" s="114">
        <v>7048.111152116031</v>
      </c>
      <c r="DQ11" s="114">
        <v>12696.756042684363</v>
      </c>
      <c r="DR11" s="114">
        <v>8014.7085970466514</v>
      </c>
      <c r="DS11" s="114">
        <v>5754.6652661569196</v>
      </c>
      <c r="DT11" s="114">
        <v>11223.065439571059</v>
      </c>
      <c r="DU11" s="114">
        <v>15573.882493458068</v>
      </c>
      <c r="DV11" s="114">
        <v>9634.4180635400335</v>
      </c>
      <c r="DW11" s="114">
        <v>13917.405761735654</v>
      </c>
      <c r="DX11" s="114">
        <v>6910.2591716141969</v>
      </c>
      <c r="DY11" s="114">
        <v>14086.820761820334</v>
      </c>
      <c r="DZ11" s="114">
        <v>14055.876871165092</v>
      </c>
      <c r="EA11" s="114">
        <v>2678.8114678532861</v>
      </c>
      <c r="EB11" s="114">
        <v>6841.1609689514189</v>
      </c>
      <c r="EC11" s="114">
        <v>7509.9050753635465</v>
      </c>
      <c r="ED11" s="114">
        <v>13720.826250350483</v>
      </c>
      <c r="EE11" s="114">
        <v>8184.0723271223751</v>
      </c>
      <c r="EF11" s="114">
        <v>7378.0895552527718</v>
      </c>
      <c r="EG11" s="114">
        <v>12113.217812841945</v>
      </c>
      <c r="EH11" s="114">
        <v>12773.362638288627</v>
      </c>
      <c r="EI11" s="114">
        <v>12639.964364881231</v>
      </c>
      <c r="EJ11" s="114">
        <v>2088.8386999464801</v>
      </c>
      <c r="EK11" s="114">
        <v>4720.3381980378717</v>
      </c>
      <c r="EL11" s="114">
        <v>3641.2630269036254</v>
      </c>
      <c r="EM11" s="114">
        <v>16496.392325472807</v>
      </c>
      <c r="EN11" s="114">
        <v>8029.556993565925</v>
      </c>
      <c r="EO11" s="114">
        <v>5613.8858648601772</v>
      </c>
      <c r="EP11" s="114">
        <v>11391.677039147624</v>
      </c>
      <c r="EQ11" s="114">
        <v>8528.4274070618139</v>
      </c>
      <c r="ER11" s="114">
        <v>9016.182306607303</v>
      </c>
      <c r="ES11" s="114">
        <v>10259.3184653071</v>
      </c>
      <c r="ET11" s="114">
        <v>62.935665869966407</v>
      </c>
      <c r="EU11" s="114">
        <v>370.176761817608</v>
      </c>
      <c r="EV11" s="114">
        <v>454.00406050484696</v>
      </c>
      <c r="EW11" s="114">
        <v>7440.478304957046</v>
      </c>
      <c r="EX11" s="114">
        <v>7695.68213710687</v>
      </c>
      <c r="EY11" s="114">
        <v>10973.419638482899</v>
      </c>
      <c r="EZ11" s="114">
        <v>4768.3131521948444</v>
      </c>
      <c r="FA11" s="114">
        <v>8074.8826271025446</v>
      </c>
      <c r="FB11" s="114">
        <v>5355.4522395502208</v>
      </c>
      <c r="FC11" s="114">
        <v>17428.480327906185</v>
      </c>
      <c r="FD11" s="114">
        <v>7784.6489256213836</v>
      </c>
      <c r="FE11" s="114">
        <v>7589.6015841792687</v>
      </c>
      <c r="FF11" s="114">
        <v>11751.32438248482</v>
      </c>
      <c r="FG11" s="114">
        <v>10811.468278920325</v>
      </c>
      <c r="FH11" s="114">
        <v>13900.005286380634</v>
      </c>
      <c r="FI11" s="114">
        <v>10211.088036045674</v>
      </c>
      <c r="FJ11" s="114">
        <v>6123.9875172738448</v>
      </c>
      <c r="FK11" s="114">
        <v>6606.812139923165</v>
      </c>
      <c r="FL11" s="114">
        <v>15028.733712256435</v>
      </c>
      <c r="FM11" s="114">
        <v>9941.4222070212363</v>
      </c>
      <c r="FN11" s="114">
        <v>1485.7528493385284</v>
      </c>
      <c r="FO11" s="114">
        <v>7804.6228920428402</v>
      </c>
      <c r="FP11" s="114">
        <v>7048.4436638325351</v>
      </c>
      <c r="FQ11" s="114">
        <v>9687.7493511873708</v>
      </c>
      <c r="FR11" s="114">
        <v>15313.390112086212</v>
      </c>
      <c r="FS11" s="114">
        <v>11965.614562163457</v>
      </c>
      <c r="FT11" s="114">
        <v>11408.125547148653</v>
      </c>
      <c r="FU11" s="114">
        <v>16090.76705829727</v>
      </c>
      <c r="FV11" s="114">
        <v>18765.101387445167</v>
      </c>
      <c r="FW11" s="114">
        <v>6947.4116575194967</v>
      </c>
      <c r="FX11" s="114">
        <v>719.81096908471397</v>
      </c>
      <c r="FY11" s="114">
        <v>7294.1627926955898</v>
      </c>
      <c r="FZ11" s="114">
        <v>9168.8631317566178</v>
      </c>
      <c r="GA11" s="114">
        <v>11211.000946061369</v>
      </c>
      <c r="GB11" s="114">
        <v>10440.89467391839</v>
      </c>
      <c r="GC11" s="114">
        <v>8699.2667444002745</v>
      </c>
      <c r="GD11" s="114">
        <v>11694.240463627146</v>
      </c>
      <c r="GE11" s="114">
        <v>6582.9037413641281</v>
      </c>
      <c r="GF11" s="114">
        <v>5884.066369275668</v>
      </c>
      <c r="GG11" s="114">
        <v>2871.3897692998312</v>
      </c>
      <c r="GH11" s="114">
        <v>2939.9040842272957</v>
      </c>
      <c r="GI11" s="114">
        <v>2834.9551635842163</v>
      </c>
      <c r="GJ11" s="114">
        <v>5771.8022796009691</v>
      </c>
      <c r="GK11" s="114">
        <v>11797.594961304145</v>
      </c>
      <c r="GL11" s="114">
        <v>913.02171723012259</v>
      </c>
      <c r="GM11" s="114">
        <v>15551.96591729079</v>
      </c>
      <c r="GN11" s="114">
        <v>11137.695264036167</v>
      </c>
      <c r="GO11" s="114">
        <v>10502.291421753658</v>
      </c>
      <c r="GP11" s="114">
        <v>10861.725766069372</v>
      </c>
      <c r="GQ11" s="114">
        <v>16659.451901989218</v>
      </c>
      <c r="GR11" s="114">
        <v>16352.838584505051</v>
      </c>
      <c r="GS11" s="114">
        <v>7148.1627294675427</v>
      </c>
      <c r="GT11" s="115">
        <v>10825.802051981906</v>
      </c>
    </row>
    <row r="12" spans="2:202" x14ac:dyDescent="0.6">
      <c r="B12" s="106" t="s">
        <v>9</v>
      </c>
      <c r="C12" s="63" t="s">
        <v>421</v>
      </c>
      <c r="D12" s="113">
        <v>15444.58448548864</v>
      </c>
      <c r="E12" s="114">
        <v>10376.397334479585</v>
      </c>
      <c r="F12" s="114">
        <v>10725.675894927561</v>
      </c>
      <c r="G12" s="114">
        <v>7942.0609806124648</v>
      </c>
      <c r="H12" s="114">
        <v>5943.1831603316959</v>
      </c>
      <c r="I12" s="114" t="s">
        <v>237</v>
      </c>
      <c r="J12" s="114">
        <v>13594.237779131719</v>
      </c>
      <c r="K12" s="114">
        <v>11575.834403321865</v>
      </c>
      <c r="L12" s="114">
        <v>12033.255818696991</v>
      </c>
      <c r="M12" s="114">
        <v>14017.316027871813</v>
      </c>
      <c r="N12" s="114">
        <v>7056.5501017112874</v>
      </c>
      <c r="O12" s="114">
        <v>13428.640336832677</v>
      </c>
      <c r="P12" s="114">
        <v>16828.198623794022</v>
      </c>
      <c r="Q12" s="114">
        <v>5487.9616347974797</v>
      </c>
      <c r="R12" s="114">
        <v>13005.90865337474</v>
      </c>
      <c r="S12" s="114">
        <v>11511.597577926159</v>
      </c>
      <c r="T12" s="114">
        <v>6649.0535969385637</v>
      </c>
      <c r="U12" s="114">
        <v>8021.648737000296</v>
      </c>
      <c r="V12" s="114">
        <v>16975.217715623377</v>
      </c>
      <c r="W12" s="114">
        <v>2374.0220665688121</v>
      </c>
      <c r="X12" s="114">
        <v>11873.777811357866</v>
      </c>
      <c r="Y12" s="114">
        <v>8054.9766146340489</v>
      </c>
      <c r="Z12" s="114">
        <v>1910.5512014595713</v>
      </c>
      <c r="AA12" s="114">
        <v>2199.0960213830008</v>
      </c>
      <c r="AB12" s="114">
        <v>16444.499753699842</v>
      </c>
      <c r="AC12" s="114">
        <v>12144.507329287679</v>
      </c>
      <c r="AD12" s="114">
        <v>8168.1823584253052</v>
      </c>
      <c r="AE12" s="114">
        <v>9726.1679992863264</v>
      </c>
      <c r="AF12" s="114">
        <v>6883.0651929320711</v>
      </c>
      <c r="AG12" s="114">
        <v>16832.330113677457</v>
      </c>
      <c r="AH12" s="114">
        <v>8482.7375868769814</v>
      </c>
      <c r="AI12" s="114">
        <v>8587.1617082572593</v>
      </c>
      <c r="AJ12" s="114">
        <v>9108.9901679508275</v>
      </c>
      <c r="AK12" s="114">
        <v>9201.4775186635834</v>
      </c>
      <c r="AL12" s="114">
        <v>9249.949460065498</v>
      </c>
      <c r="AM12" s="114">
        <v>9463.4358081835144</v>
      </c>
      <c r="AN12" s="114">
        <v>1008.383512377777</v>
      </c>
      <c r="AO12" s="114">
        <v>19434.599649837884</v>
      </c>
      <c r="AP12" s="114">
        <v>19523.566635809882</v>
      </c>
      <c r="AQ12" s="114">
        <v>4747.7290081806605</v>
      </c>
      <c r="AR12" s="114">
        <v>10408.230424614452</v>
      </c>
      <c r="AS12" s="114">
        <v>8408.1400709685367</v>
      </c>
      <c r="AT12" s="114">
        <v>8406.5592905163867</v>
      </c>
      <c r="AU12" s="114">
        <v>5684.0846388126329</v>
      </c>
      <c r="AV12" s="114">
        <v>7428.5123542549254</v>
      </c>
      <c r="AW12" s="114">
        <v>11826.097724144885</v>
      </c>
      <c r="AX12" s="114">
        <v>7003.1891240251207</v>
      </c>
      <c r="AY12" s="114">
        <v>12475.736513084366</v>
      </c>
      <c r="AZ12" s="114">
        <v>12036.480706066717</v>
      </c>
      <c r="BA12" s="114">
        <v>12275.890205115338</v>
      </c>
      <c r="BB12" s="114">
        <v>11821.640451677473</v>
      </c>
      <c r="BC12" s="114">
        <v>5728.021258504943</v>
      </c>
      <c r="BD12" s="114">
        <v>6154.4363921803279</v>
      </c>
      <c r="BE12" s="114">
        <v>8401.9668794258851</v>
      </c>
      <c r="BF12" s="114">
        <v>4443.329653713452</v>
      </c>
      <c r="BG12" s="114">
        <v>12015.509398445862</v>
      </c>
      <c r="BH12" s="114">
        <v>6313.8498026228144</v>
      </c>
      <c r="BI12" s="114">
        <v>8337.0239949467741</v>
      </c>
      <c r="BJ12" s="114">
        <v>11754.312273294159</v>
      </c>
      <c r="BK12" s="114">
        <v>13117.228272946577</v>
      </c>
      <c r="BL12" s="114">
        <v>8412.1093597972358</v>
      </c>
      <c r="BM12" s="114">
        <v>11351.361294381191</v>
      </c>
      <c r="BN12" s="114">
        <v>13187.919703905125</v>
      </c>
      <c r="BO12" s="114">
        <v>11253.547058871869</v>
      </c>
      <c r="BP12" s="114">
        <v>8180.7963423501305</v>
      </c>
      <c r="BQ12" s="114">
        <v>7161.3299581938545</v>
      </c>
      <c r="BR12" s="114">
        <v>13664.772365481762</v>
      </c>
      <c r="BS12" s="114">
        <v>12125.705378485614</v>
      </c>
      <c r="BT12" s="114">
        <v>11755.615985224093</v>
      </c>
      <c r="BU12" s="114">
        <v>11725.186676253918</v>
      </c>
      <c r="BV12" s="114">
        <v>7751.6343975346754</v>
      </c>
      <c r="BW12" s="114">
        <v>11870.77716818215</v>
      </c>
      <c r="BX12" s="114">
        <v>5380.1142599630139</v>
      </c>
      <c r="BY12" s="114">
        <v>6468.9977966570868</v>
      </c>
      <c r="BZ12" s="114">
        <v>7020.8066255388885</v>
      </c>
      <c r="CA12" s="114">
        <v>7066.6760869049167</v>
      </c>
      <c r="CB12" s="114">
        <v>4763.1830724134534</v>
      </c>
      <c r="CC12" s="114">
        <v>6216.1966523369183</v>
      </c>
      <c r="CD12" s="114">
        <v>6281.9272741934483</v>
      </c>
      <c r="CE12" s="114">
        <v>12158.040771947413</v>
      </c>
      <c r="CF12" s="114">
        <v>11662.023815388702</v>
      </c>
      <c r="CG12" s="114">
        <v>15053.541967604508</v>
      </c>
      <c r="CH12" s="114">
        <v>15926.259235309979</v>
      </c>
      <c r="CI12" s="114">
        <v>15092.896284993874</v>
      </c>
      <c r="CJ12" s="114">
        <v>13963.495577045938</v>
      </c>
      <c r="CK12" s="114">
        <v>13275.431980611158</v>
      </c>
      <c r="CL12" s="114">
        <v>11221.448124023455</v>
      </c>
      <c r="CM12" s="114">
        <v>7994.6741861349137</v>
      </c>
      <c r="CN12" s="114">
        <v>11349.536037226246</v>
      </c>
      <c r="CO12" s="114">
        <v>11428.436547148598</v>
      </c>
      <c r="CP12" s="114">
        <v>6282.2059214315495</v>
      </c>
      <c r="CQ12" s="114">
        <v>18239.116699788483</v>
      </c>
      <c r="CR12" s="114">
        <v>12463.366268402558</v>
      </c>
      <c r="CS12" s="114">
        <v>15859.942489573539</v>
      </c>
      <c r="CT12" s="114">
        <v>10510.399023837674</v>
      </c>
      <c r="CU12" s="114">
        <v>13394.31256342571</v>
      </c>
      <c r="CV12" s="114">
        <v>16090.326643421222</v>
      </c>
      <c r="CW12" s="114">
        <v>17302.624863092246</v>
      </c>
      <c r="CX12" s="114">
        <v>12967.044575927202</v>
      </c>
      <c r="CY12" s="114">
        <v>12554.332864438038</v>
      </c>
      <c r="CZ12" s="114">
        <v>7920.3110210787054</v>
      </c>
      <c r="DA12" s="114">
        <v>6988.6402059639959</v>
      </c>
      <c r="DB12" s="114">
        <v>10774.197284165337</v>
      </c>
      <c r="DC12" s="114">
        <v>11549.231478539215</v>
      </c>
      <c r="DD12" s="114">
        <v>12923.563215546279</v>
      </c>
      <c r="DE12" s="114">
        <v>11529.324302816045</v>
      </c>
      <c r="DF12" s="114">
        <v>10256.077929399757</v>
      </c>
      <c r="DG12" s="114">
        <v>9396.5576773468547</v>
      </c>
      <c r="DH12" s="114">
        <v>15858.708937014329</v>
      </c>
      <c r="DI12" s="114">
        <v>14047.503449347039</v>
      </c>
      <c r="DJ12" s="114">
        <v>7706.9485876538165</v>
      </c>
      <c r="DK12" s="114">
        <v>11075.041032289068</v>
      </c>
      <c r="DL12" s="114">
        <v>10926.072169567005</v>
      </c>
      <c r="DM12" s="114">
        <v>10936.333500587829</v>
      </c>
      <c r="DN12" s="114">
        <v>7413.8590946741251</v>
      </c>
      <c r="DO12" s="114">
        <v>12784.11286900798</v>
      </c>
      <c r="DP12" s="114">
        <v>11197.929111418245</v>
      </c>
      <c r="DQ12" s="114">
        <v>18336.347323102833</v>
      </c>
      <c r="DR12" s="114">
        <v>11873.487349879619</v>
      </c>
      <c r="DS12" s="114">
        <v>9565.7065178871144</v>
      </c>
      <c r="DT12" s="114">
        <v>8553.924366636078</v>
      </c>
      <c r="DU12" s="114">
        <v>16793.511312473915</v>
      </c>
      <c r="DV12" s="114">
        <v>7439.2729611716759</v>
      </c>
      <c r="DW12" s="114">
        <v>16605.518396048581</v>
      </c>
      <c r="DX12" s="114">
        <v>11655.377492272184</v>
      </c>
      <c r="DY12" s="114">
        <v>10114.536311547168</v>
      </c>
      <c r="DZ12" s="114">
        <v>9772.870711296202</v>
      </c>
      <c r="EA12" s="114">
        <v>6038.4178313332841</v>
      </c>
      <c r="EB12" s="114">
        <v>8518.2275523888111</v>
      </c>
      <c r="EC12" s="114">
        <v>8635.0674773132905</v>
      </c>
      <c r="ED12" s="114">
        <v>19455.152241578529</v>
      </c>
      <c r="EE12" s="114">
        <v>11983.623432456112</v>
      </c>
      <c r="EF12" s="114">
        <v>12447.493879351858</v>
      </c>
      <c r="EG12" s="114">
        <v>13998.481386853991</v>
      </c>
      <c r="EH12" s="114">
        <v>14859.523373716955</v>
      </c>
      <c r="EI12" s="114">
        <v>15764.972245845684</v>
      </c>
      <c r="EJ12" s="114">
        <v>5424.6206968209217</v>
      </c>
      <c r="EK12" s="114">
        <v>1271.6839615864842</v>
      </c>
      <c r="EL12" s="114">
        <v>3193.7953757832897</v>
      </c>
      <c r="EM12" s="114">
        <v>17577.887940289955</v>
      </c>
      <c r="EN12" s="114">
        <v>12559.584294204202</v>
      </c>
      <c r="EO12" s="114">
        <v>9814.2465020543023</v>
      </c>
      <c r="EP12" s="114">
        <v>13470.616868178013</v>
      </c>
      <c r="EQ12" s="114">
        <v>12449.651110314391</v>
      </c>
      <c r="ER12" s="114">
        <v>13713.983685820038</v>
      </c>
      <c r="ES12" s="114">
        <v>9906.4679261041711</v>
      </c>
      <c r="ET12" s="114">
        <v>5951.0808982251074</v>
      </c>
      <c r="EU12" s="114">
        <v>5595.660343625882</v>
      </c>
      <c r="EV12" s="114">
        <v>5494.2430908293745</v>
      </c>
      <c r="EW12" s="114">
        <v>11488.069031747324</v>
      </c>
      <c r="EX12" s="114">
        <v>7920.5642470575776</v>
      </c>
      <c r="EY12" s="114">
        <v>12996.367371886499</v>
      </c>
      <c r="EZ12" s="114">
        <v>7196.0230830890423</v>
      </c>
      <c r="FA12" s="114">
        <v>12074.612848712708</v>
      </c>
      <c r="FB12" s="114">
        <v>6961.1449098911589</v>
      </c>
      <c r="FC12" s="114">
        <v>15787.078890763871</v>
      </c>
      <c r="FD12" s="114">
        <v>12084.169663641012</v>
      </c>
      <c r="FE12" s="114">
        <v>11782.723032337422</v>
      </c>
      <c r="FF12" s="114">
        <v>11503.923057557249</v>
      </c>
      <c r="FG12" s="114">
        <v>8211.5371278280491</v>
      </c>
      <c r="FH12" s="114">
        <v>19425.714734416848</v>
      </c>
      <c r="FI12" s="114">
        <v>10468.190224699722</v>
      </c>
      <c r="FJ12" s="114">
        <v>10284.510144655345</v>
      </c>
      <c r="FK12" s="114">
        <v>10704.195102571834</v>
      </c>
      <c r="FL12" s="114">
        <v>14797.859177369568</v>
      </c>
      <c r="FM12" s="114">
        <v>11213.68949413987</v>
      </c>
      <c r="FN12" s="114">
        <v>4675.9034728193019</v>
      </c>
      <c r="FO12" s="114">
        <v>12789.59450979603</v>
      </c>
      <c r="FP12" s="114">
        <v>11394.214460381352</v>
      </c>
      <c r="FQ12" s="114">
        <v>12612.250783862492</v>
      </c>
      <c r="FR12" s="114">
        <v>18753.397996998236</v>
      </c>
      <c r="FS12" s="114">
        <v>15513.095246237655</v>
      </c>
      <c r="FT12" s="114">
        <v>10383.467592067678</v>
      </c>
      <c r="FU12" s="114">
        <v>16803.970555402004</v>
      </c>
      <c r="FV12" s="114">
        <v>15026.03834337968</v>
      </c>
      <c r="FW12" s="114">
        <v>7910.380647829099</v>
      </c>
      <c r="FX12" s="114">
        <v>5223.5183016461306</v>
      </c>
      <c r="FY12" s="114">
        <v>10849.267488544852</v>
      </c>
      <c r="FZ12" s="114">
        <v>12661.720316411893</v>
      </c>
      <c r="GA12" s="114">
        <v>14580.630130224785</v>
      </c>
      <c r="GB12" s="114">
        <v>10226.810633763185</v>
      </c>
      <c r="GC12" s="114">
        <v>13038.583706839556</v>
      </c>
      <c r="GD12" s="114">
        <v>13678.304297234967</v>
      </c>
      <c r="GE12" s="114">
        <v>11358.167890646633</v>
      </c>
      <c r="GF12" s="114">
        <v>9880.5178928675905</v>
      </c>
      <c r="GG12" s="114">
        <v>8681.928776540266</v>
      </c>
      <c r="GH12" s="114">
        <v>8818.3810174622231</v>
      </c>
      <c r="GI12" s="114">
        <v>8543.0021032778441</v>
      </c>
      <c r="GJ12" s="114">
        <v>405.37978521501265</v>
      </c>
      <c r="GK12" s="114">
        <v>15630.558180931115</v>
      </c>
      <c r="GL12" s="114">
        <v>5226.9160818658102</v>
      </c>
      <c r="GM12" s="114">
        <v>17812.466598264778</v>
      </c>
      <c r="GN12" s="114">
        <v>12268.086523610244</v>
      </c>
      <c r="GO12" s="114">
        <v>8848.1348135777916</v>
      </c>
      <c r="GP12" s="114">
        <v>8960.2576277947373</v>
      </c>
      <c r="GQ12" s="114">
        <v>16879.348391219875</v>
      </c>
      <c r="GR12" s="114">
        <v>11512.326813775619</v>
      </c>
      <c r="GS12" s="114">
        <v>11525.216802727937</v>
      </c>
      <c r="GT12" s="115">
        <v>8158.4046550240282</v>
      </c>
    </row>
    <row r="13" spans="2:202" x14ac:dyDescent="0.6">
      <c r="B13" s="106" t="s">
        <v>10</v>
      </c>
      <c r="C13" s="63" t="s">
        <v>422</v>
      </c>
      <c r="D13" s="113">
        <v>2281.607612772128</v>
      </c>
      <c r="E13" s="114">
        <v>3590.763494914695</v>
      </c>
      <c r="F13" s="114">
        <v>3566.5205994865082</v>
      </c>
      <c r="G13" s="114">
        <v>6280.7668511168977</v>
      </c>
      <c r="H13" s="114">
        <v>10094.984308959676</v>
      </c>
      <c r="I13" s="114">
        <v>13594.237779131719</v>
      </c>
      <c r="J13" s="114" t="s">
        <v>237</v>
      </c>
      <c r="K13" s="114">
        <v>13652.127921889049</v>
      </c>
      <c r="L13" s="114">
        <v>2396.7153837944047</v>
      </c>
      <c r="M13" s="114">
        <v>446.35129059066202</v>
      </c>
      <c r="N13" s="114">
        <v>10578.205963743854</v>
      </c>
      <c r="O13" s="114">
        <v>1652.6082677587533</v>
      </c>
      <c r="P13" s="114">
        <v>4661.0003600786022</v>
      </c>
      <c r="Q13" s="114">
        <v>10198.079989430955</v>
      </c>
      <c r="R13" s="114">
        <v>1965.2439184031948</v>
      </c>
      <c r="S13" s="114">
        <v>3295.3431221311753</v>
      </c>
      <c r="T13" s="114">
        <v>11978.759858578589</v>
      </c>
      <c r="U13" s="114">
        <v>5616.2677480127431</v>
      </c>
      <c r="V13" s="114">
        <v>4358.8446697417166</v>
      </c>
      <c r="W13" s="114">
        <v>13050.972669223203</v>
      </c>
      <c r="X13" s="114">
        <v>2182.9642115138945</v>
      </c>
      <c r="Y13" s="114">
        <v>7435.6757228446477</v>
      </c>
      <c r="Z13" s="114">
        <v>11742.989139626856</v>
      </c>
      <c r="AA13" s="114">
        <v>11419.221835133703</v>
      </c>
      <c r="AB13" s="114">
        <v>8046.8465306910957</v>
      </c>
      <c r="AC13" s="114">
        <v>1778.6534142504256</v>
      </c>
      <c r="AD13" s="114">
        <v>5426.428019466548</v>
      </c>
      <c r="AE13" s="114">
        <v>5051.617823586912</v>
      </c>
      <c r="AF13" s="114">
        <v>7049.0197230413369</v>
      </c>
      <c r="AG13" s="114">
        <v>6676.1414675205069</v>
      </c>
      <c r="AH13" s="114">
        <v>5299.8537342188683</v>
      </c>
      <c r="AI13" s="114">
        <v>5244.125793776172</v>
      </c>
      <c r="AJ13" s="114">
        <v>9124.8352290094717</v>
      </c>
      <c r="AK13" s="114">
        <v>8785.4815591175866</v>
      </c>
      <c r="AL13" s="114">
        <v>4762.4401506001441</v>
      </c>
      <c r="AM13" s="114">
        <v>4260.9470283155188</v>
      </c>
      <c r="AN13" s="114">
        <v>14272.27261330136</v>
      </c>
      <c r="AO13" s="114">
        <v>6822.3283781192767</v>
      </c>
      <c r="AP13" s="114">
        <v>5959.5352621228249</v>
      </c>
      <c r="AQ13" s="114">
        <v>12035.574809890777</v>
      </c>
      <c r="AR13" s="114">
        <v>5727.7681379999021</v>
      </c>
      <c r="AS13" s="114">
        <v>5758.9404341242471</v>
      </c>
      <c r="AT13" s="114">
        <v>5745.8454201892246</v>
      </c>
      <c r="AU13" s="114">
        <v>12360.311289465959</v>
      </c>
      <c r="AV13" s="114">
        <v>6172.1413417618105</v>
      </c>
      <c r="AW13" s="114">
        <v>2405.551277296529</v>
      </c>
      <c r="AX13" s="114">
        <v>11072.397470854345</v>
      </c>
      <c r="AY13" s="114">
        <v>1120.5937241856432</v>
      </c>
      <c r="AZ13" s="114">
        <v>2585.6524036996575</v>
      </c>
      <c r="BA13" s="114">
        <v>2893.2002162726521</v>
      </c>
      <c r="BB13" s="114">
        <v>3233.5546517240255</v>
      </c>
      <c r="BC13" s="114">
        <v>10192.351067510805</v>
      </c>
      <c r="BD13" s="114">
        <v>10594.36714195696</v>
      </c>
      <c r="BE13" s="114">
        <v>5755.0280557316555</v>
      </c>
      <c r="BF13" s="114">
        <v>12730.303762116078</v>
      </c>
      <c r="BG13" s="114">
        <v>1638.4658599186318</v>
      </c>
      <c r="BH13" s="114">
        <v>12367.987391888248</v>
      </c>
      <c r="BI13" s="114">
        <v>5432.4907339053734</v>
      </c>
      <c r="BJ13" s="114">
        <v>2825.7161209149549</v>
      </c>
      <c r="BK13" s="114">
        <v>2539.1841372220301</v>
      </c>
      <c r="BL13" s="114">
        <v>7496.6202756245575</v>
      </c>
      <c r="BM13" s="114">
        <v>3504.8478610619673</v>
      </c>
      <c r="BN13" s="114">
        <v>2597.358528090052</v>
      </c>
      <c r="BO13" s="114">
        <v>3431.3552451444848</v>
      </c>
      <c r="BP13" s="114">
        <v>5673.498801810234</v>
      </c>
      <c r="BQ13" s="114">
        <v>6581.7425905079936</v>
      </c>
      <c r="BR13" s="114">
        <v>148.75228230310026</v>
      </c>
      <c r="BS13" s="114">
        <v>2718.2895048442488</v>
      </c>
      <c r="BT13" s="114">
        <v>2736.8572910519088</v>
      </c>
      <c r="BU13" s="114">
        <v>2974.8349136837264</v>
      </c>
      <c r="BV13" s="114">
        <v>5872.1140024154001</v>
      </c>
      <c r="BW13" s="114">
        <v>1823.098684892617</v>
      </c>
      <c r="BX13" s="114">
        <v>10469.101636990667</v>
      </c>
      <c r="BY13" s="114">
        <v>12349.5874210027</v>
      </c>
      <c r="BZ13" s="114">
        <v>6625.6636238982956</v>
      </c>
      <c r="CA13" s="114">
        <v>6631.6607630122198</v>
      </c>
      <c r="CB13" s="114">
        <v>10586.00635370296</v>
      </c>
      <c r="CC13" s="114">
        <v>10778.105314203063</v>
      </c>
      <c r="CD13" s="114">
        <v>12182.769346713842</v>
      </c>
      <c r="CE13" s="114">
        <v>2170.5094821367888</v>
      </c>
      <c r="CF13" s="114">
        <v>4923.4615532329153</v>
      </c>
      <c r="CG13" s="114">
        <v>3590.3563676399722</v>
      </c>
      <c r="CH13" s="114">
        <v>3263.047397603149</v>
      </c>
      <c r="CI13" s="114">
        <v>8148.3868391837977</v>
      </c>
      <c r="CJ13" s="114">
        <v>803.2596443880617</v>
      </c>
      <c r="CK13" s="114">
        <v>767.24551083009521</v>
      </c>
      <c r="CL13" s="114">
        <v>4019.7455473864134</v>
      </c>
      <c r="CM13" s="114">
        <v>6975.4598774547467</v>
      </c>
      <c r="CN13" s="114">
        <v>2683.7612079346968</v>
      </c>
      <c r="CO13" s="114">
        <v>2903.2588015774963</v>
      </c>
      <c r="CP13" s="114">
        <v>11118.965145154702</v>
      </c>
      <c r="CQ13" s="114">
        <v>7954.428817447385</v>
      </c>
      <c r="CR13" s="114">
        <v>1234.550404613808</v>
      </c>
      <c r="CS13" s="114">
        <v>2409.8527001034731</v>
      </c>
      <c r="CT13" s="114">
        <v>4657.4653447004694</v>
      </c>
      <c r="CU13" s="114">
        <v>1247.0489568327055</v>
      </c>
      <c r="CV13" s="114">
        <v>2519.0353472918518</v>
      </c>
      <c r="CW13" s="114">
        <v>6057.2308703506387</v>
      </c>
      <c r="CX13" s="114">
        <v>2342.8629857375095</v>
      </c>
      <c r="CY13" s="114">
        <v>1083.157112603144</v>
      </c>
      <c r="CZ13" s="114">
        <v>7901.4596507212855</v>
      </c>
      <c r="DA13" s="114">
        <v>6613.2661464720486</v>
      </c>
      <c r="DB13" s="114">
        <v>2907.7951412673842</v>
      </c>
      <c r="DC13" s="114">
        <v>2896.9912344976888</v>
      </c>
      <c r="DD13" s="114">
        <v>2132.0424681738768</v>
      </c>
      <c r="DE13" s="114">
        <v>3150.9576109680588</v>
      </c>
      <c r="DF13" s="114">
        <v>6528.993976189684</v>
      </c>
      <c r="DG13" s="114">
        <v>6119.0133916980867</v>
      </c>
      <c r="DH13" s="114">
        <v>7035.8159787683944</v>
      </c>
      <c r="DI13" s="114">
        <v>4954.891541517376</v>
      </c>
      <c r="DJ13" s="114">
        <v>5914.5868795859833</v>
      </c>
      <c r="DK13" s="114">
        <v>2670.2418868520276</v>
      </c>
      <c r="DL13" s="114">
        <v>6828.0980360479034</v>
      </c>
      <c r="DM13" s="114">
        <v>6838.9408841996892</v>
      </c>
      <c r="DN13" s="114">
        <v>12409.724233008403</v>
      </c>
      <c r="DO13" s="114">
        <v>1458.8825959493627</v>
      </c>
      <c r="DP13" s="114">
        <v>3052.9987063593517</v>
      </c>
      <c r="DQ13" s="114">
        <v>4942.0826380392673</v>
      </c>
      <c r="DR13" s="114">
        <v>2101.6179158293303</v>
      </c>
      <c r="DS13" s="114">
        <v>4526.3256166083038</v>
      </c>
      <c r="DT13" s="114">
        <v>7408.1321820962903</v>
      </c>
      <c r="DU13" s="114">
        <v>5622.8633008468805</v>
      </c>
      <c r="DV13" s="114">
        <v>7497.3103965995106</v>
      </c>
      <c r="DW13" s="114">
        <v>3991.5186037419371</v>
      </c>
      <c r="DX13" s="114">
        <v>3294.2824462000567</v>
      </c>
      <c r="DY13" s="114">
        <v>15743.529907498725</v>
      </c>
      <c r="DZ13" s="114">
        <v>15861.390075596013</v>
      </c>
      <c r="EA13" s="114">
        <v>12294.685347291763</v>
      </c>
      <c r="EB13" s="114">
        <v>5076.9115459151535</v>
      </c>
      <c r="EC13" s="114">
        <v>5025.5432209400933</v>
      </c>
      <c r="ED13" s="114">
        <v>6678.1438278709938</v>
      </c>
      <c r="EE13" s="114">
        <v>1938.4446358530688</v>
      </c>
      <c r="EF13" s="114">
        <v>3190.7488723452607</v>
      </c>
      <c r="EG13" s="114">
        <v>2279.6089677038526</v>
      </c>
      <c r="EH13" s="114">
        <v>2708.8421401029318</v>
      </c>
      <c r="EI13" s="114">
        <v>2657.8623564177624</v>
      </c>
      <c r="EJ13" s="114">
        <v>12061.843501693198</v>
      </c>
      <c r="EK13" s="114">
        <v>12717.449174349527</v>
      </c>
      <c r="EL13" s="114">
        <v>13511.985838525579</v>
      </c>
      <c r="EM13" s="114">
        <v>7859.8609780126772</v>
      </c>
      <c r="EN13" s="114">
        <v>2223.5458166421167</v>
      </c>
      <c r="EO13" s="114">
        <v>4531.7830931850576</v>
      </c>
      <c r="EP13" s="114">
        <v>1786.7428993450578</v>
      </c>
      <c r="EQ13" s="114">
        <v>1566.5643739736452</v>
      </c>
      <c r="ER13" s="114">
        <v>1808.8030548868453</v>
      </c>
      <c r="ES13" s="114">
        <v>4857.4243372309375</v>
      </c>
      <c r="ET13" s="114">
        <v>10137.204373315953</v>
      </c>
      <c r="EU13" s="114">
        <v>10228.383491785456</v>
      </c>
      <c r="EV13" s="114">
        <v>10338.839441451626</v>
      </c>
      <c r="EW13" s="114">
        <v>2663.1964977351827</v>
      </c>
      <c r="EX13" s="114">
        <v>5871.5126654223159</v>
      </c>
      <c r="EY13" s="114">
        <v>1755.740041099345</v>
      </c>
      <c r="EZ13" s="114">
        <v>6582.9583413776327</v>
      </c>
      <c r="FA13" s="114">
        <v>2020.7900491867358</v>
      </c>
      <c r="FB13" s="114">
        <v>6672.4812446791657</v>
      </c>
      <c r="FC13" s="114">
        <v>7363.4723801269538</v>
      </c>
      <c r="FD13" s="114">
        <v>2334.4882243886937</v>
      </c>
      <c r="FE13" s="114">
        <v>2506.7627439634707</v>
      </c>
      <c r="FF13" s="114">
        <v>4235.3653873578842</v>
      </c>
      <c r="FG13" s="114">
        <v>7478.1811292341981</v>
      </c>
      <c r="FH13" s="114">
        <v>6867.9145357350526</v>
      </c>
      <c r="FI13" s="114">
        <v>4121.6793925803649</v>
      </c>
      <c r="FJ13" s="114">
        <v>4007.051169167532</v>
      </c>
      <c r="FK13" s="114">
        <v>3517.4826017229898</v>
      </c>
      <c r="FL13" s="114">
        <v>5107.6872980616554</v>
      </c>
      <c r="FM13" s="114">
        <v>2990.6098844065168</v>
      </c>
      <c r="FN13" s="114">
        <v>10407.592556927611</v>
      </c>
      <c r="FO13" s="114">
        <v>2807.5091195957743</v>
      </c>
      <c r="FP13" s="114">
        <v>3050.0543635433983</v>
      </c>
      <c r="FQ13" s="114">
        <v>1046.4818285057627</v>
      </c>
      <c r="FR13" s="114">
        <v>7207.7552990209451</v>
      </c>
      <c r="FS13" s="114">
        <v>2085.1097031059494</v>
      </c>
      <c r="FT13" s="114">
        <v>5241.5332814450258</v>
      </c>
      <c r="FU13" s="114">
        <v>6174.9542477967534</v>
      </c>
      <c r="FV13" s="114">
        <v>9843.9931829362013</v>
      </c>
      <c r="FW13" s="114">
        <v>5717.6211836459825</v>
      </c>
      <c r="FX13" s="114">
        <v>10554.453506974596</v>
      </c>
      <c r="FY13" s="114">
        <v>2992.5058128632081</v>
      </c>
      <c r="FZ13" s="114">
        <v>1005.9799926708586</v>
      </c>
      <c r="GA13" s="114">
        <v>1161.5268311929924</v>
      </c>
      <c r="GB13" s="114">
        <v>4600.4725646732813</v>
      </c>
      <c r="GC13" s="114">
        <v>1574.4274604464219</v>
      </c>
      <c r="GD13" s="114">
        <v>1987.7994707830655</v>
      </c>
      <c r="GE13" s="114">
        <v>3599.4045457773445</v>
      </c>
      <c r="GF13" s="114">
        <v>11577.454290674057</v>
      </c>
      <c r="GG13" s="114">
        <v>9079.6987836099015</v>
      </c>
      <c r="GH13" s="114">
        <v>8777.7232840433317</v>
      </c>
      <c r="GI13" s="114">
        <v>9401.0842123865386</v>
      </c>
      <c r="GJ13" s="114">
        <v>13188.864802937765</v>
      </c>
      <c r="GK13" s="114">
        <v>2087.8735174963986</v>
      </c>
      <c r="GL13" s="114">
        <v>10984.973504977224</v>
      </c>
      <c r="GM13" s="114">
        <v>6101.6860356127845</v>
      </c>
      <c r="GN13" s="114">
        <v>2749.9414789412776</v>
      </c>
      <c r="GO13" s="114">
        <v>6380.7653375924092</v>
      </c>
      <c r="GP13" s="114">
        <v>6543.5770308165093</v>
      </c>
      <c r="GQ13" s="114">
        <v>6890.4676399789723</v>
      </c>
      <c r="GR13" s="114">
        <v>13575.271401611522</v>
      </c>
      <c r="GS13" s="114">
        <v>2956.4615484163005</v>
      </c>
      <c r="GT13" s="115">
        <v>7562.389465677461</v>
      </c>
    </row>
    <row r="14" spans="2:202" x14ac:dyDescent="0.6">
      <c r="B14" s="106" t="s">
        <v>11</v>
      </c>
      <c r="C14" s="63" t="s">
        <v>331</v>
      </c>
      <c r="D14" s="113">
        <v>11401.738254385886</v>
      </c>
      <c r="E14" s="114">
        <v>17097.860299797576</v>
      </c>
      <c r="F14" s="114">
        <v>17218.212664372695</v>
      </c>
      <c r="G14" s="114">
        <v>13539.83258257898</v>
      </c>
      <c r="H14" s="114">
        <v>16254.192514360173</v>
      </c>
      <c r="I14" s="114">
        <v>11575.834403321865</v>
      </c>
      <c r="J14" s="114">
        <v>13652.127921889049</v>
      </c>
      <c r="K14" s="114" t="s">
        <v>237</v>
      </c>
      <c r="L14" s="114">
        <v>15972.635082476703</v>
      </c>
      <c r="M14" s="114">
        <v>13240.801357987908</v>
      </c>
      <c r="N14" s="114">
        <v>15289.879827289769</v>
      </c>
      <c r="O14" s="114">
        <v>12515.840192498074</v>
      </c>
      <c r="P14" s="114">
        <v>9043.2053286548035</v>
      </c>
      <c r="Q14" s="114">
        <v>16179.889824549382</v>
      </c>
      <c r="R14" s="114">
        <v>15146.92001704937</v>
      </c>
      <c r="S14" s="114">
        <v>16754.451250297676</v>
      </c>
      <c r="T14" s="114">
        <v>13868.554383632871</v>
      </c>
      <c r="U14" s="114">
        <v>15555.601079584783</v>
      </c>
      <c r="V14" s="114">
        <v>9396.3550402527071</v>
      </c>
      <c r="W14" s="114">
        <v>13076.606350910948</v>
      </c>
      <c r="X14" s="114">
        <v>15835.041933188866</v>
      </c>
      <c r="Y14" s="114">
        <v>11339.339640883341</v>
      </c>
      <c r="Z14" s="114">
        <v>13362.759762093252</v>
      </c>
      <c r="AA14" s="114">
        <v>13526.27420513465</v>
      </c>
      <c r="AB14" s="114">
        <v>5700.2466687527358</v>
      </c>
      <c r="AC14" s="114">
        <v>15426.402504248021</v>
      </c>
      <c r="AD14" s="114">
        <v>16314.387573601167</v>
      </c>
      <c r="AE14" s="114">
        <v>12673.906683798723</v>
      </c>
      <c r="AF14" s="114">
        <v>17843.498717825085</v>
      </c>
      <c r="AG14" s="114">
        <v>7027.1072967686587</v>
      </c>
      <c r="AH14" s="114">
        <v>14821.218315485905</v>
      </c>
      <c r="AI14" s="114">
        <v>14647.813443016799</v>
      </c>
      <c r="AJ14" s="114">
        <v>15583.430494992914</v>
      </c>
      <c r="AK14" s="114">
        <v>15902.027486589923</v>
      </c>
      <c r="AL14" s="114">
        <v>14124.286023399734</v>
      </c>
      <c r="AM14" s="114">
        <v>14991.035499339019</v>
      </c>
      <c r="AN14" s="114">
        <v>11391.059017516867</v>
      </c>
      <c r="AO14" s="114">
        <v>7872.4979576846727</v>
      </c>
      <c r="AP14" s="114">
        <v>8913.495304917973</v>
      </c>
      <c r="AQ14" s="114">
        <v>14330.186497047904</v>
      </c>
      <c r="AR14" s="114">
        <v>10897.330944567244</v>
      </c>
      <c r="AS14" s="114">
        <v>13720.6342041763</v>
      </c>
      <c r="AT14" s="114">
        <v>13754.550899332484</v>
      </c>
      <c r="AU14" s="114">
        <v>13808.821826719632</v>
      </c>
      <c r="AV14" s="114">
        <v>15929.379766825115</v>
      </c>
      <c r="AW14" s="114">
        <v>16044.623966132418</v>
      </c>
      <c r="AX14" s="114">
        <v>14735.329452612152</v>
      </c>
      <c r="AY14" s="114">
        <v>14405.252297402434</v>
      </c>
      <c r="AZ14" s="114">
        <v>16085.62381437114</v>
      </c>
      <c r="BA14" s="114">
        <v>16051.983646295561</v>
      </c>
      <c r="BB14" s="114">
        <v>12420.118584241982</v>
      </c>
      <c r="BC14" s="114">
        <v>16175.747460964405</v>
      </c>
      <c r="BD14" s="114">
        <v>15642.995928181295</v>
      </c>
      <c r="BE14" s="114">
        <v>13743.440324251245</v>
      </c>
      <c r="BF14" s="114">
        <v>13637.578170166111</v>
      </c>
      <c r="BG14" s="114">
        <v>14404.935065686483</v>
      </c>
      <c r="BH14" s="114">
        <v>13579.820234837005</v>
      </c>
      <c r="BI14" s="114">
        <v>14868.520786763522</v>
      </c>
      <c r="BJ14" s="114">
        <v>12995.744118539224</v>
      </c>
      <c r="BK14" s="114">
        <v>15236.461780425447</v>
      </c>
      <c r="BL14" s="114">
        <v>10812.601828127943</v>
      </c>
      <c r="BM14" s="114">
        <v>12644.961924323577</v>
      </c>
      <c r="BN14" s="114">
        <v>15184.746184397212</v>
      </c>
      <c r="BO14" s="114">
        <v>16970.781090949877</v>
      </c>
      <c r="BP14" s="114">
        <v>14552.568082778094</v>
      </c>
      <c r="BQ14" s="114">
        <v>17395.797459214184</v>
      </c>
      <c r="BR14" s="114">
        <v>13684.040549774343</v>
      </c>
      <c r="BS14" s="114">
        <v>16097.119310403728</v>
      </c>
      <c r="BT14" s="114">
        <v>16313.06498520467</v>
      </c>
      <c r="BU14" s="114">
        <v>16468.490062628025</v>
      </c>
      <c r="BV14" s="114">
        <v>15661.180123107742</v>
      </c>
      <c r="BW14" s="114">
        <v>15322.790909842368</v>
      </c>
      <c r="BX14" s="114">
        <v>15908.384982029878</v>
      </c>
      <c r="BY14" s="114">
        <v>13534.796274405664</v>
      </c>
      <c r="BZ14" s="114">
        <v>16855.900930209507</v>
      </c>
      <c r="CA14" s="114">
        <v>17167.646472427656</v>
      </c>
      <c r="CB14" s="114">
        <v>15746.253465033564</v>
      </c>
      <c r="CC14" s="114">
        <v>15412.868036894168</v>
      </c>
      <c r="CD14" s="114">
        <v>13797.924629085985</v>
      </c>
      <c r="CE14" s="114">
        <v>15768.670747583024</v>
      </c>
      <c r="CF14" s="114">
        <v>16615.106576559116</v>
      </c>
      <c r="CG14" s="114">
        <v>10138.275944724239</v>
      </c>
      <c r="CH14" s="114">
        <v>10401.690310522938</v>
      </c>
      <c r="CI14" s="114">
        <v>5524.6496526318206</v>
      </c>
      <c r="CJ14" s="114">
        <v>12889.746343569164</v>
      </c>
      <c r="CK14" s="114">
        <v>13378.764659323439</v>
      </c>
      <c r="CL14" s="114">
        <v>17208.610391253693</v>
      </c>
      <c r="CM14" s="114">
        <v>19396.579004661948</v>
      </c>
      <c r="CN14" s="114">
        <v>16320.724044547582</v>
      </c>
      <c r="CO14" s="114">
        <v>16540.650714245457</v>
      </c>
      <c r="CP14" s="114">
        <v>14998.766918856878</v>
      </c>
      <c r="CQ14" s="114">
        <v>7821.4407441973917</v>
      </c>
      <c r="CR14" s="114">
        <v>14076.251246484593</v>
      </c>
      <c r="CS14" s="114">
        <v>12220.940378828322</v>
      </c>
      <c r="CT14" s="114">
        <v>12171.35413076117</v>
      </c>
      <c r="CU14" s="114">
        <v>12879.059454114369</v>
      </c>
      <c r="CV14" s="114">
        <v>11514.780621002554</v>
      </c>
      <c r="CW14" s="114">
        <v>7701.5440628408223</v>
      </c>
      <c r="CX14" s="114">
        <v>15314.509680125197</v>
      </c>
      <c r="CY14" s="114">
        <v>14170.261850286117</v>
      </c>
      <c r="CZ14" s="114">
        <v>10841.52154157117</v>
      </c>
      <c r="DA14" s="114">
        <v>16393.001651820443</v>
      </c>
      <c r="DB14" s="114">
        <v>16124.300336298013</v>
      </c>
      <c r="DC14" s="114">
        <v>16501.921172493607</v>
      </c>
      <c r="DD14" s="114">
        <v>15276.87927268933</v>
      </c>
      <c r="DE14" s="114">
        <v>16670.668170631052</v>
      </c>
      <c r="DF14" s="114">
        <v>10064.965446133252</v>
      </c>
      <c r="DG14" s="114">
        <v>11534.880562888527</v>
      </c>
      <c r="DH14" s="114">
        <v>6617.6618167476681</v>
      </c>
      <c r="DI14" s="114">
        <v>9130.0538140268418</v>
      </c>
      <c r="DJ14" s="114">
        <v>16783.038750955322</v>
      </c>
      <c r="DK14" s="114">
        <v>16083.597792039465</v>
      </c>
      <c r="DL14" s="114">
        <v>9104.9677723540935</v>
      </c>
      <c r="DM14" s="114">
        <v>9083.8178831843143</v>
      </c>
      <c r="DN14" s="114">
        <v>12982.559891226229</v>
      </c>
      <c r="DO14" s="114">
        <v>15026.619734580951</v>
      </c>
      <c r="DP14" s="114">
        <v>16704.46736842188</v>
      </c>
      <c r="DQ14" s="114">
        <v>10096.138107131579</v>
      </c>
      <c r="DR14" s="114">
        <v>15748.194399636779</v>
      </c>
      <c r="DS14" s="114">
        <v>17975.026033635986</v>
      </c>
      <c r="DT14" s="114">
        <v>10766.276674384542</v>
      </c>
      <c r="DU14" s="114">
        <v>8058.1716110635452</v>
      </c>
      <c r="DV14" s="114">
        <v>12090.582639603168</v>
      </c>
      <c r="DW14" s="114">
        <v>9719.7606563992831</v>
      </c>
      <c r="DX14" s="114">
        <v>16658.697401012592</v>
      </c>
      <c r="DY14" s="114">
        <v>2174.8904018150206</v>
      </c>
      <c r="DZ14" s="114">
        <v>2209.6515324718744</v>
      </c>
      <c r="EA14" s="114">
        <v>13765.980936094178</v>
      </c>
      <c r="EB14" s="114">
        <v>16134.973644711023</v>
      </c>
      <c r="EC14" s="114">
        <v>15394.578614474114</v>
      </c>
      <c r="ED14" s="114">
        <v>8533.4236511010131</v>
      </c>
      <c r="EE14" s="114">
        <v>15580.621576197878</v>
      </c>
      <c r="EF14" s="114">
        <v>15972.460314187609</v>
      </c>
      <c r="EG14" s="114">
        <v>11657.954033609019</v>
      </c>
      <c r="EH14" s="114">
        <v>10998.349498444206</v>
      </c>
      <c r="EI14" s="114">
        <v>11040.769004325017</v>
      </c>
      <c r="EJ14" s="114">
        <v>14200.039432947293</v>
      </c>
      <c r="EK14" s="114">
        <v>12808.715880718584</v>
      </c>
      <c r="EL14" s="114">
        <v>12822.400846255769</v>
      </c>
      <c r="EM14" s="114">
        <v>6236.8475045397527</v>
      </c>
      <c r="EN14" s="114">
        <v>15582.311796717671</v>
      </c>
      <c r="EO14" s="114">
        <v>18162.088888909748</v>
      </c>
      <c r="EP14" s="114">
        <v>12373.115812035148</v>
      </c>
      <c r="EQ14" s="114">
        <v>15213.43487955387</v>
      </c>
      <c r="ER14" s="114">
        <v>14483.014874553048</v>
      </c>
      <c r="ES14" s="114">
        <v>12709.646576737454</v>
      </c>
      <c r="ET14" s="114">
        <v>16206.612463768894</v>
      </c>
      <c r="EU14" s="114">
        <v>16147.150836566674</v>
      </c>
      <c r="EV14" s="114">
        <v>16037.851680151813</v>
      </c>
      <c r="EW14" s="114">
        <v>16315.321120253022</v>
      </c>
      <c r="EX14" s="114">
        <v>14753.103212692955</v>
      </c>
      <c r="EY14" s="114">
        <v>12773.508886160078</v>
      </c>
      <c r="EZ14" s="114">
        <v>17544.282453772918</v>
      </c>
      <c r="FA14" s="114">
        <v>15669.384934877462</v>
      </c>
      <c r="FB14" s="114">
        <v>16742.063961808999</v>
      </c>
      <c r="FC14" s="114">
        <v>6289.2134990244485</v>
      </c>
      <c r="FD14" s="114">
        <v>15910.071048589609</v>
      </c>
      <c r="FE14" s="114">
        <v>16137.22868864474</v>
      </c>
      <c r="FF14" s="114">
        <v>11583.74632769896</v>
      </c>
      <c r="FG14" s="114">
        <v>11080.837721264654</v>
      </c>
      <c r="FH14" s="114">
        <v>8310.9277477948399</v>
      </c>
      <c r="FI14" s="114">
        <v>13006.35774499031</v>
      </c>
      <c r="FJ14" s="114">
        <v>17649.069231627316</v>
      </c>
      <c r="FK14" s="114">
        <v>17162.87312590743</v>
      </c>
      <c r="FL14" s="114">
        <v>8729.5478373690403</v>
      </c>
      <c r="FM14" s="114">
        <v>13574.82337701187</v>
      </c>
      <c r="FN14" s="114">
        <v>15869.201428314233</v>
      </c>
      <c r="FO14" s="114">
        <v>15591.473504643742</v>
      </c>
      <c r="FP14" s="114">
        <v>16664.477958350843</v>
      </c>
      <c r="FQ14" s="114">
        <v>14085.622807868658</v>
      </c>
      <c r="FR14" s="114">
        <v>7250.2328605414141</v>
      </c>
      <c r="FS14" s="114">
        <v>11688.719206452728</v>
      </c>
      <c r="FT14" s="114">
        <v>11544.501295287802</v>
      </c>
      <c r="FU14" s="114">
        <v>7511.2985575318407</v>
      </c>
      <c r="FV14" s="114">
        <v>3874.388463352072</v>
      </c>
      <c r="FW14" s="114">
        <v>15633.671196862319</v>
      </c>
      <c r="FX14" s="114">
        <v>15823.177445821459</v>
      </c>
      <c r="FY14" s="114">
        <v>16473.029971037373</v>
      </c>
      <c r="FZ14" s="114">
        <v>14599.994550051539</v>
      </c>
      <c r="GA14" s="114">
        <v>12511.89537657827</v>
      </c>
      <c r="GB14" s="114">
        <v>12634.071163854724</v>
      </c>
      <c r="GC14" s="114">
        <v>14945.059618473953</v>
      </c>
      <c r="GD14" s="114">
        <v>12072.729712151839</v>
      </c>
      <c r="GE14" s="114">
        <v>16984.391091911715</v>
      </c>
      <c r="GF14" s="114">
        <v>12090.360891378848</v>
      </c>
      <c r="GG14" s="114">
        <v>16006.318477968565</v>
      </c>
      <c r="GH14" s="114">
        <v>16257.120252546456</v>
      </c>
      <c r="GI14" s="114">
        <v>15729.734474451863</v>
      </c>
      <c r="GJ14" s="114">
        <v>11905.128229709586</v>
      </c>
      <c r="GK14" s="114">
        <v>11809.276498156294</v>
      </c>
      <c r="GL14" s="114">
        <v>15384.920392960865</v>
      </c>
      <c r="GM14" s="114">
        <v>7777.1453641442567</v>
      </c>
      <c r="GN14" s="114">
        <v>12485.633902228115</v>
      </c>
      <c r="GO14" s="114">
        <v>11865.417983363817</v>
      </c>
      <c r="GP14" s="114">
        <v>11479.114910806298</v>
      </c>
      <c r="GQ14" s="114">
        <v>6829.9519455215386</v>
      </c>
      <c r="GR14" s="114">
        <v>226.3700765688439</v>
      </c>
      <c r="GS14" s="114">
        <v>16552.307013615551</v>
      </c>
      <c r="GT14" s="115">
        <v>11027.110497240661</v>
      </c>
    </row>
    <row r="15" spans="2:202" x14ac:dyDescent="0.6">
      <c r="B15" s="106" t="s">
        <v>12</v>
      </c>
      <c r="C15" s="63" t="s">
        <v>335</v>
      </c>
      <c r="D15" s="113">
        <v>4583.6081803967736</v>
      </c>
      <c r="E15" s="114">
        <v>1686.7230401702145</v>
      </c>
      <c r="F15" s="114">
        <v>1330.7790085511062</v>
      </c>
      <c r="G15" s="114">
        <v>6303.0834060280267</v>
      </c>
      <c r="H15" s="114">
        <v>7721.5183134158715</v>
      </c>
      <c r="I15" s="114">
        <v>12033.255818696991</v>
      </c>
      <c r="J15" s="114">
        <v>2396.7153837944047</v>
      </c>
      <c r="K15" s="114">
        <v>15972.635082476703</v>
      </c>
      <c r="L15" s="114" t="s">
        <v>237</v>
      </c>
      <c r="M15" s="114">
        <v>2771.3475778080729</v>
      </c>
      <c r="N15" s="114">
        <v>8205.0062733032901</v>
      </c>
      <c r="O15" s="114">
        <v>3836.601384660753</v>
      </c>
      <c r="P15" s="114">
        <v>6930.0715091728071</v>
      </c>
      <c r="Q15" s="114">
        <v>7860.0302239220791</v>
      </c>
      <c r="R15" s="114">
        <v>981.20655204908167</v>
      </c>
      <c r="S15" s="114">
        <v>909.05635056789617</v>
      </c>
      <c r="T15" s="114">
        <v>9624.95789826082</v>
      </c>
      <c r="U15" s="114">
        <v>4837.9273679387125</v>
      </c>
      <c r="V15" s="114">
        <v>6577.5217268901197</v>
      </c>
      <c r="W15" s="114">
        <v>10929.928817368738</v>
      </c>
      <c r="X15" s="114">
        <v>535.31554518302642</v>
      </c>
      <c r="Y15" s="114">
        <v>8123.2587345586353</v>
      </c>
      <c r="Z15" s="114">
        <v>10124.787564367092</v>
      </c>
      <c r="AA15" s="114">
        <v>9859.1649544153752</v>
      </c>
      <c r="AB15" s="114">
        <v>10280.985118116105</v>
      </c>
      <c r="AC15" s="114">
        <v>833.38154744818291</v>
      </c>
      <c r="AD15" s="114">
        <v>4317.2809815734754</v>
      </c>
      <c r="AE15" s="114">
        <v>5839.5459040947762</v>
      </c>
      <c r="AF15" s="114">
        <v>5155.7409617804542</v>
      </c>
      <c r="AG15" s="114">
        <v>8945.5576649663453</v>
      </c>
      <c r="AH15" s="114">
        <v>4939.8255422734419</v>
      </c>
      <c r="AI15" s="114">
        <v>4983.2987509295872</v>
      </c>
      <c r="AJ15" s="114">
        <v>6910.8989110784651</v>
      </c>
      <c r="AK15" s="114">
        <v>6557.0537390003492</v>
      </c>
      <c r="AL15" s="114">
        <v>4884.5710395967035</v>
      </c>
      <c r="AM15" s="114">
        <v>4008.1018640342568</v>
      </c>
      <c r="AN15" s="114">
        <v>12457.918023091795</v>
      </c>
      <c r="AO15" s="114">
        <v>8490.3666684386062</v>
      </c>
      <c r="AP15" s="114">
        <v>7490.4871378120743</v>
      </c>
      <c r="AQ15" s="114">
        <v>9664.6985370789316</v>
      </c>
      <c r="AR15" s="114">
        <v>7131.6948885888987</v>
      </c>
      <c r="AS15" s="114">
        <v>5832.5741444356145</v>
      </c>
      <c r="AT15" s="114">
        <v>5806.4763523628299</v>
      </c>
      <c r="AU15" s="114">
        <v>9966.1622432907679</v>
      </c>
      <c r="AV15" s="114">
        <v>5129.9036112088424</v>
      </c>
      <c r="AW15" s="114">
        <v>295.37108405764292</v>
      </c>
      <c r="AX15" s="114">
        <v>8713.4150261600753</v>
      </c>
      <c r="AY15" s="114">
        <v>2016.1760435312115</v>
      </c>
      <c r="AZ15" s="114">
        <v>259.34339913055305</v>
      </c>
      <c r="BA15" s="114">
        <v>853.11586016764738</v>
      </c>
      <c r="BB15" s="114">
        <v>4775.2250856937781</v>
      </c>
      <c r="BC15" s="114">
        <v>7830.6014774588512</v>
      </c>
      <c r="BD15" s="114">
        <v>8198.8924487478762</v>
      </c>
      <c r="BE15" s="114">
        <v>5818.6530571931362</v>
      </c>
      <c r="BF15" s="114">
        <v>10359.013617660046</v>
      </c>
      <c r="BG15" s="114">
        <v>2381.0280217225936</v>
      </c>
      <c r="BH15" s="114">
        <v>10001.36848671963</v>
      </c>
      <c r="BI15" s="114">
        <v>5021.5755182817638</v>
      </c>
      <c r="BJ15" s="114">
        <v>4194.1303838323956</v>
      </c>
      <c r="BK15" s="114">
        <v>1346.50633651667</v>
      </c>
      <c r="BL15" s="114">
        <v>8393.6523628066116</v>
      </c>
      <c r="BM15" s="114">
        <v>4820.3222378186574</v>
      </c>
      <c r="BN15" s="114">
        <v>1452.6457883700889</v>
      </c>
      <c r="BO15" s="114">
        <v>1036.2666147398843</v>
      </c>
      <c r="BP15" s="114">
        <v>5365.0351775090858</v>
      </c>
      <c r="BQ15" s="114">
        <v>4902.4141407244333</v>
      </c>
      <c r="BR15" s="114">
        <v>2337.4104708848049</v>
      </c>
      <c r="BS15" s="114">
        <v>510.48224062285971</v>
      </c>
      <c r="BT15" s="114">
        <v>344.18334014525192</v>
      </c>
      <c r="BU15" s="114">
        <v>591.26093298198327</v>
      </c>
      <c r="BV15" s="114">
        <v>5000.8173842809983</v>
      </c>
      <c r="BW15" s="114">
        <v>1310.7943131218494</v>
      </c>
      <c r="BX15" s="114">
        <v>8122.356403085686</v>
      </c>
      <c r="BY15" s="114">
        <v>9993.7449399171437</v>
      </c>
      <c r="BZ15" s="114">
        <v>5134.893791133446</v>
      </c>
      <c r="CA15" s="114">
        <v>5025.81451113409</v>
      </c>
      <c r="CB15" s="114">
        <v>8309.8920674483179</v>
      </c>
      <c r="CC15" s="114">
        <v>8381.3902007252873</v>
      </c>
      <c r="CD15" s="114">
        <v>9809.3000119249591</v>
      </c>
      <c r="CE15" s="114">
        <v>230.98335011690162</v>
      </c>
      <c r="CF15" s="114">
        <v>2870.5835435891836</v>
      </c>
      <c r="CG15" s="114">
        <v>5986.822402705292</v>
      </c>
      <c r="CH15" s="114">
        <v>5588.1820882400252</v>
      </c>
      <c r="CI15" s="114">
        <v>10524.636780655597</v>
      </c>
      <c r="CJ15" s="114">
        <v>3195.6934715635539</v>
      </c>
      <c r="CK15" s="114">
        <v>2865.6765827254744</v>
      </c>
      <c r="CL15" s="114">
        <v>1666.8385779448051</v>
      </c>
      <c r="CM15" s="114">
        <v>4640.268606924923</v>
      </c>
      <c r="CN15" s="114">
        <v>794.31855839864193</v>
      </c>
      <c r="CO15" s="114">
        <v>610.91717663057375</v>
      </c>
      <c r="CP15" s="114">
        <v>8725.0320882591732</v>
      </c>
      <c r="CQ15" s="114">
        <v>9146.7786813042167</v>
      </c>
      <c r="CR15" s="114">
        <v>2456.0798608946861</v>
      </c>
      <c r="CS15" s="114">
        <v>3888.9941835411023</v>
      </c>
      <c r="CT15" s="114">
        <v>5820.2426546888919</v>
      </c>
      <c r="CU15" s="114">
        <v>3421.1196224409405</v>
      </c>
      <c r="CV15" s="114">
        <v>4484.8547604220257</v>
      </c>
      <c r="CW15" s="114">
        <v>8276.431235932645</v>
      </c>
      <c r="CX15" s="114">
        <v>1075.3912071054644</v>
      </c>
      <c r="CY15" s="114">
        <v>2270.7924341077328</v>
      </c>
      <c r="CZ15" s="114">
        <v>8666.2340146392471</v>
      </c>
      <c r="DA15" s="114">
        <v>5302.9989636703649</v>
      </c>
      <c r="DB15" s="114">
        <v>1757.9824121990221</v>
      </c>
      <c r="DC15" s="114">
        <v>530.65485250625034</v>
      </c>
      <c r="DD15" s="114">
        <v>933.60012940794377</v>
      </c>
      <c r="DE15" s="114">
        <v>755.04813242689272</v>
      </c>
      <c r="DF15" s="114">
        <v>8032.1477352407492</v>
      </c>
      <c r="DG15" s="114">
        <v>7115.9004313329642</v>
      </c>
      <c r="DH15" s="114">
        <v>9394.0493774394035</v>
      </c>
      <c r="DI15" s="114">
        <v>7287.7550824557811</v>
      </c>
      <c r="DJ15" s="114">
        <v>4546.9656061251135</v>
      </c>
      <c r="DK15" s="114">
        <v>1407.6329758846589</v>
      </c>
      <c r="DL15" s="114">
        <v>8615.9528881598435</v>
      </c>
      <c r="DM15" s="114">
        <v>8631.4461249662254</v>
      </c>
      <c r="DN15" s="114">
        <v>10165.346843846188</v>
      </c>
      <c r="DO15" s="114">
        <v>955.52833564199193</v>
      </c>
      <c r="DP15" s="114">
        <v>835.87963031864024</v>
      </c>
      <c r="DQ15" s="114">
        <v>6318.9100442006684</v>
      </c>
      <c r="DR15" s="114">
        <v>674.74017047153495</v>
      </c>
      <c r="DS15" s="114">
        <v>2472.1107786381772</v>
      </c>
      <c r="DT15" s="114">
        <v>8351.2828924468813</v>
      </c>
      <c r="DU15" s="114">
        <v>7917.2728241312961</v>
      </c>
      <c r="DV15" s="114">
        <v>7836.3339102820073</v>
      </c>
      <c r="DW15" s="114">
        <v>6253.63701496663</v>
      </c>
      <c r="DX15" s="114">
        <v>947.48635873459637</v>
      </c>
      <c r="DY15" s="114">
        <v>17868.429493999149</v>
      </c>
      <c r="DZ15" s="114">
        <v>18133.463735598743</v>
      </c>
      <c r="EA15" s="114">
        <v>9911.0066166242887</v>
      </c>
      <c r="EB15" s="114">
        <v>4090.0820954223204</v>
      </c>
      <c r="EC15" s="114">
        <v>4424.0112562223057</v>
      </c>
      <c r="ED15" s="114">
        <v>8065.7362129106032</v>
      </c>
      <c r="EE15" s="114">
        <v>785.88743599547502</v>
      </c>
      <c r="EF15" s="114">
        <v>1324.9340435012043</v>
      </c>
      <c r="EG15" s="114">
        <v>4607.0695105693885</v>
      </c>
      <c r="EH15" s="114">
        <v>5105.5074461537033</v>
      </c>
      <c r="EI15" s="114">
        <v>4937.9453366359794</v>
      </c>
      <c r="EJ15" s="114">
        <v>9665.767513033159</v>
      </c>
      <c r="EK15" s="114">
        <v>10930.36398976724</v>
      </c>
      <c r="EL15" s="114">
        <v>11235.027887148797</v>
      </c>
      <c r="EM15" s="114">
        <v>9878.7907383280217</v>
      </c>
      <c r="EN15" s="114">
        <v>560.93307634108839</v>
      </c>
      <c r="EO15" s="114">
        <v>2301.4841812962554</v>
      </c>
      <c r="EP15" s="114">
        <v>3985.416022240202</v>
      </c>
      <c r="EQ15" s="114">
        <v>871.72120668706873</v>
      </c>
      <c r="ER15" s="114">
        <v>1684.7287090677928</v>
      </c>
      <c r="ES15" s="114">
        <v>5687.171896038577</v>
      </c>
      <c r="ET15" s="114">
        <v>7761.2596686773113</v>
      </c>
      <c r="EU15" s="114">
        <v>7876.6012713113632</v>
      </c>
      <c r="EV15" s="114">
        <v>7989.5649905754071</v>
      </c>
      <c r="EW15" s="114">
        <v>591.80521353597783</v>
      </c>
      <c r="EX15" s="114">
        <v>5423.0869792024478</v>
      </c>
      <c r="EY15" s="114">
        <v>3734.2619873216818</v>
      </c>
      <c r="EZ15" s="114">
        <v>4852.6587115422553</v>
      </c>
      <c r="FA15" s="114">
        <v>513.28731842695436</v>
      </c>
      <c r="FB15" s="114">
        <v>5217.0554314426599</v>
      </c>
      <c r="FC15" s="114">
        <v>9717.4469363569351</v>
      </c>
      <c r="FD15" s="114">
        <v>63.147224206368264</v>
      </c>
      <c r="FE15" s="114">
        <v>271.96180583255307</v>
      </c>
      <c r="FF15" s="114">
        <v>5831.1258270254684</v>
      </c>
      <c r="FG15" s="114">
        <v>8265.3896212883556</v>
      </c>
      <c r="FH15" s="114">
        <v>8283.9342581732908</v>
      </c>
      <c r="FI15" s="114">
        <v>5028.2383952201244</v>
      </c>
      <c r="FJ15" s="114">
        <v>1788.618496243336</v>
      </c>
      <c r="FK15" s="114">
        <v>1335.100312745521</v>
      </c>
      <c r="FL15" s="114">
        <v>7496.3722290236256</v>
      </c>
      <c r="FM15" s="114">
        <v>3936.3323342763133</v>
      </c>
      <c r="FN15" s="114">
        <v>8171.6743053116579</v>
      </c>
      <c r="FO15" s="114">
        <v>1237.6809770915938</v>
      </c>
      <c r="FP15" s="114">
        <v>694.8250776943371</v>
      </c>
      <c r="FQ15" s="114">
        <v>2341.5276977431795</v>
      </c>
      <c r="FR15" s="114">
        <v>9016.1875136751332</v>
      </c>
      <c r="FS15" s="114">
        <v>4284.241164692623</v>
      </c>
      <c r="FT15" s="114">
        <v>6511.8387687171125</v>
      </c>
      <c r="FU15" s="114">
        <v>8462.4887989287763</v>
      </c>
      <c r="FV15" s="114">
        <v>12104.918844626254</v>
      </c>
      <c r="FW15" s="114">
        <v>4885.4561657912418</v>
      </c>
      <c r="FX15" s="114">
        <v>8218.214773005182</v>
      </c>
      <c r="FY15" s="114">
        <v>1385.201690718736</v>
      </c>
      <c r="FZ15" s="114">
        <v>1612.2154152390733</v>
      </c>
      <c r="GA15" s="114">
        <v>3489.5188570344317</v>
      </c>
      <c r="GB15" s="114">
        <v>5549.243776043153</v>
      </c>
      <c r="GC15" s="114">
        <v>1047.9895772269224</v>
      </c>
      <c r="GD15" s="114">
        <v>4249.4969511990366</v>
      </c>
      <c r="GE15" s="114">
        <v>1220.4553603899305</v>
      </c>
      <c r="GF15" s="114">
        <v>9819.688991056757</v>
      </c>
      <c r="GG15" s="114">
        <v>6791.3598262155492</v>
      </c>
      <c r="GH15" s="114">
        <v>6485.5694623307036</v>
      </c>
      <c r="GI15" s="114">
        <v>7117.2701523662736</v>
      </c>
      <c r="GJ15" s="114">
        <v>11648.453417700586</v>
      </c>
      <c r="GK15" s="114">
        <v>4167.7526972330952</v>
      </c>
      <c r="GL15" s="114">
        <v>8621.8578594063838</v>
      </c>
      <c r="GM15" s="114">
        <v>8230.9496327947909</v>
      </c>
      <c r="GN15" s="114">
        <v>4449.8251169171244</v>
      </c>
      <c r="GO15" s="114">
        <v>7148.6494519194503</v>
      </c>
      <c r="GP15" s="114">
        <v>7435.954873870287</v>
      </c>
      <c r="GQ15" s="114">
        <v>9144.0093544092015</v>
      </c>
      <c r="GR15" s="114">
        <v>15921.631358500979</v>
      </c>
      <c r="GS15" s="114">
        <v>579.7381668335853</v>
      </c>
      <c r="GT15" s="115">
        <v>8347.8147989373883</v>
      </c>
    </row>
    <row r="16" spans="2:202" x14ac:dyDescent="0.6">
      <c r="B16" s="106" t="s">
        <v>13</v>
      </c>
      <c r="C16" s="63" t="s">
        <v>424</v>
      </c>
      <c r="D16" s="113">
        <v>1849.285145096698</v>
      </c>
      <c r="E16" s="114">
        <v>4029.2790204730436</v>
      </c>
      <c r="F16" s="114">
        <v>3981.6891188618106</v>
      </c>
      <c r="G16" s="114">
        <v>6586.3651597716398</v>
      </c>
      <c r="H16" s="114">
        <v>10489.84241048243</v>
      </c>
      <c r="I16" s="114">
        <v>14017.316027871813</v>
      </c>
      <c r="J16" s="114">
        <v>446.35129059066202</v>
      </c>
      <c r="K16" s="114">
        <v>13240.801357987908</v>
      </c>
      <c r="L16" s="114">
        <v>2771.3475778080729</v>
      </c>
      <c r="M16" s="114" t="s">
        <v>237</v>
      </c>
      <c r="N16" s="114">
        <v>10900.868571598528</v>
      </c>
      <c r="O16" s="114">
        <v>1579.3401271056359</v>
      </c>
      <c r="P16" s="114">
        <v>4228.233050309741</v>
      </c>
      <c r="Q16" s="114">
        <v>10608.519880142527</v>
      </c>
      <c r="R16" s="114">
        <v>2224.4794432623517</v>
      </c>
      <c r="S16" s="114">
        <v>3654.3956111649813</v>
      </c>
      <c r="T16" s="114">
        <v>12281.314536707396</v>
      </c>
      <c r="U16" s="114">
        <v>6018.874171983759</v>
      </c>
      <c r="V16" s="114">
        <v>3918.7730400813603</v>
      </c>
      <c r="W16" s="114">
        <v>13494.907178644729</v>
      </c>
      <c r="X16" s="114">
        <v>2599.469776500202</v>
      </c>
      <c r="Y16" s="114">
        <v>7615.1912622242698</v>
      </c>
      <c r="Z16" s="114">
        <v>12176.768213138395</v>
      </c>
      <c r="AA16" s="114">
        <v>11850.143297694571</v>
      </c>
      <c r="AB16" s="114">
        <v>7613.2863109250702</v>
      </c>
      <c r="AC16" s="114">
        <v>2203.790279516099</v>
      </c>
      <c r="AD16" s="114">
        <v>5853.4814798155503</v>
      </c>
      <c r="AE16" s="114">
        <v>5258.3030006971258</v>
      </c>
      <c r="AF16" s="114">
        <v>7495.1213501203956</v>
      </c>
      <c r="AG16" s="114">
        <v>6246.2821362777495</v>
      </c>
      <c r="AH16" s="114">
        <v>5667.4345820038479</v>
      </c>
      <c r="AI16" s="114">
        <v>5601.825505716487</v>
      </c>
      <c r="AJ16" s="114">
        <v>9369.2196824964685</v>
      </c>
      <c r="AK16" s="114">
        <v>9037.631654277684</v>
      </c>
      <c r="AL16" s="114">
        <v>5082.5689941839928</v>
      </c>
      <c r="AM16" s="114">
        <v>4635.9763567447162</v>
      </c>
      <c r="AN16" s="114">
        <v>14711.544806328659</v>
      </c>
      <c r="AO16" s="114">
        <v>6389.3600633790766</v>
      </c>
      <c r="AP16" s="114">
        <v>5541.5912353776594</v>
      </c>
      <c r="AQ16" s="114">
        <v>12432.693422180078</v>
      </c>
      <c r="AR16" s="114">
        <v>5785.41325350445</v>
      </c>
      <c r="AS16" s="114">
        <v>6066.0881587741114</v>
      </c>
      <c r="AT16" s="114">
        <v>6055.0097938479903</v>
      </c>
      <c r="AU16" s="114">
        <v>12707.822093636671</v>
      </c>
      <c r="AV16" s="114">
        <v>6589.8203657571221</v>
      </c>
      <c r="AW16" s="114">
        <v>2805.9638550568952</v>
      </c>
      <c r="AX16" s="114">
        <v>11381.834321005703</v>
      </c>
      <c r="AY16" s="114">
        <v>1543.7822008293863</v>
      </c>
      <c r="AZ16" s="114">
        <v>2941.816842403493</v>
      </c>
      <c r="BA16" s="114">
        <v>3190.8270642944831</v>
      </c>
      <c r="BB16" s="114">
        <v>3327.6330108570201</v>
      </c>
      <c r="BC16" s="114">
        <v>10593.523894240228</v>
      </c>
      <c r="BD16" s="114">
        <v>10964.962891032794</v>
      </c>
      <c r="BE16" s="114">
        <v>6063.6216341813815</v>
      </c>
      <c r="BF16" s="114">
        <v>13127.42510573644</v>
      </c>
      <c r="BG16" s="114">
        <v>2021.011738775577</v>
      </c>
      <c r="BH16" s="114">
        <v>12679.774404136324</v>
      </c>
      <c r="BI16" s="114">
        <v>5803.4182241683438</v>
      </c>
      <c r="BJ16" s="114">
        <v>2988.0167829177367</v>
      </c>
      <c r="BK16" s="114">
        <v>2737.2882001046551</v>
      </c>
      <c r="BL16" s="114">
        <v>7634.9608512598888</v>
      </c>
      <c r="BM16" s="114">
        <v>3647.5516649907991</v>
      </c>
      <c r="BN16" s="114">
        <v>2780.6092916272692</v>
      </c>
      <c r="BO16" s="114">
        <v>3807.2564952518787</v>
      </c>
      <c r="BP16" s="114">
        <v>6029.8482701401381</v>
      </c>
      <c r="BQ16" s="114">
        <v>7026.8480322936348</v>
      </c>
      <c r="BR16" s="114">
        <v>443.93596825030113</v>
      </c>
      <c r="BS16" s="114">
        <v>3050.6045520834168</v>
      </c>
      <c r="BT16" s="114">
        <v>3114.8458175439555</v>
      </c>
      <c r="BU16" s="114">
        <v>3335.6742191706367</v>
      </c>
      <c r="BV16" s="114">
        <v>6279.6472797237066</v>
      </c>
      <c r="BW16" s="114">
        <v>2269.1677970167621</v>
      </c>
      <c r="BX16" s="114">
        <v>10876.709170861428</v>
      </c>
      <c r="BY16" s="114">
        <v>12652.428215045018</v>
      </c>
      <c r="BZ16" s="114">
        <v>7065.4266261037956</v>
      </c>
      <c r="CA16" s="114">
        <v>7075.085461545943</v>
      </c>
      <c r="CB16" s="114">
        <v>11011.715518636098</v>
      </c>
      <c r="CC16" s="114">
        <v>11140.254180192216</v>
      </c>
      <c r="CD16" s="114">
        <v>12501.52078943682</v>
      </c>
      <c r="CE16" s="114">
        <v>2550.880976329413</v>
      </c>
      <c r="CF16" s="114">
        <v>5160.8117489959377</v>
      </c>
      <c r="CG16" s="114">
        <v>3241.8217734061336</v>
      </c>
      <c r="CH16" s="114">
        <v>2840.8269766641806</v>
      </c>
      <c r="CI16" s="114">
        <v>7754.8314625917837</v>
      </c>
      <c r="CJ16" s="114">
        <v>560.473314525045</v>
      </c>
      <c r="CK16" s="114">
        <v>916.72191355130792</v>
      </c>
      <c r="CL16" s="114">
        <v>4355.9777284270403</v>
      </c>
      <c r="CM16" s="114">
        <v>7383.7723895184963</v>
      </c>
      <c r="CN16" s="114">
        <v>3110.4180862421917</v>
      </c>
      <c r="CO16" s="114">
        <v>3303.739091732386</v>
      </c>
      <c r="CP16" s="114">
        <v>11467.747862271284</v>
      </c>
      <c r="CQ16" s="114">
        <v>7558.3052878555109</v>
      </c>
      <c r="CR16" s="114">
        <v>1589.8074483426069</v>
      </c>
      <c r="CS16" s="114">
        <v>2059.8804497646697</v>
      </c>
      <c r="CT16" s="114">
        <v>4797.4444512367345</v>
      </c>
      <c r="CU16" s="114">
        <v>1230.2444182043719</v>
      </c>
      <c r="CV16" s="114">
        <v>2083.8015122578704</v>
      </c>
      <c r="CW16" s="114">
        <v>5619.6317562957574</v>
      </c>
      <c r="CX16" s="114">
        <v>2578.9670876561777</v>
      </c>
      <c r="CY16" s="114">
        <v>1470.4367827961812</v>
      </c>
      <c r="CZ16" s="114">
        <v>8059.230276217585</v>
      </c>
      <c r="DA16" s="114">
        <v>7044.8747493154133</v>
      </c>
      <c r="DB16" s="114">
        <v>3353.7478795436768</v>
      </c>
      <c r="DC16" s="114">
        <v>3284.842231107958</v>
      </c>
      <c r="DD16" s="114">
        <v>2392.1802423640047</v>
      </c>
      <c r="DE16" s="114">
        <v>3519.6640664344454</v>
      </c>
      <c r="DF16" s="114">
        <v>6546.8595122289425</v>
      </c>
      <c r="DG16" s="114">
        <v>6261.1791186868186</v>
      </c>
      <c r="DH16" s="114">
        <v>6631.4238389231332</v>
      </c>
      <c r="DI16" s="114">
        <v>4683.4473171136879</v>
      </c>
      <c r="DJ16" s="114">
        <v>6351.7650403995176</v>
      </c>
      <c r="DK16" s="114">
        <v>3116.0284814536526</v>
      </c>
      <c r="DL16" s="114">
        <v>6762.7837207911189</v>
      </c>
      <c r="DM16" s="114">
        <v>6772.0911985410603</v>
      </c>
      <c r="DN16" s="114">
        <v>12647.307041043639</v>
      </c>
      <c r="DO16" s="114">
        <v>1817.9325294067819</v>
      </c>
      <c r="DP16" s="114">
        <v>3464.4030865808741</v>
      </c>
      <c r="DQ16" s="114">
        <v>4549.5250898466165</v>
      </c>
      <c r="DR16" s="114">
        <v>2526.1233744622832</v>
      </c>
      <c r="DS16" s="114">
        <v>4962.6949177220686</v>
      </c>
      <c r="DT16" s="114">
        <v>7538.629429045629</v>
      </c>
      <c r="DU16" s="114">
        <v>5196.527907278075</v>
      </c>
      <c r="DV16" s="114">
        <v>7736.5068856655271</v>
      </c>
      <c r="DW16" s="114">
        <v>3556.330413400714</v>
      </c>
      <c r="DX16" s="114">
        <v>3637.2597578109285</v>
      </c>
      <c r="DY16" s="114">
        <v>15313.048048279788</v>
      </c>
      <c r="DZ16" s="114">
        <v>15447.157343249986</v>
      </c>
      <c r="EA16" s="114">
        <v>12624.477876451534</v>
      </c>
      <c r="EB16" s="114">
        <v>5499.5102212322963</v>
      </c>
      <c r="EC16" s="114">
        <v>5420.2865131482476</v>
      </c>
      <c r="ED16" s="114">
        <v>6269.9885411565065</v>
      </c>
      <c r="EE16" s="114">
        <v>2366.4055936119667</v>
      </c>
      <c r="EF16" s="114">
        <v>3443.967153407888</v>
      </c>
      <c r="EG16" s="114">
        <v>2054.175558014088</v>
      </c>
      <c r="EH16" s="114">
        <v>2361.851559388715</v>
      </c>
      <c r="EI16" s="114">
        <v>2222.1917298284893</v>
      </c>
      <c r="EJ16" s="114">
        <v>12429.20753301172</v>
      </c>
      <c r="EK16" s="114">
        <v>13158.445195148533</v>
      </c>
      <c r="EL16" s="114">
        <v>13940.709508365782</v>
      </c>
      <c r="EM16" s="114">
        <v>7413.6829252387142</v>
      </c>
      <c r="EN16" s="114">
        <v>2537.1647671266714</v>
      </c>
      <c r="EO16" s="114">
        <v>4953.3728169795404</v>
      </c>
      <c r="EP16" s="114">
        <v>1691.6905102475228</v>
      </c>
      <c r="EQ16" s="114">
        <v>1972.8106127028593</v>
      </c>
      <c r="ER16" s="114">
        <v>1929.2718542872165</v>
      </c>
      <c r="ES16" s="114">
        <v>5061.0543158609526</v>
      </c>
      <c r="ET16" s="114">
        <v>10530.502377794523</v>
      </c>
      <c r="EU16" s="114">
        <v>10633.891804851297</v>
      </c>
      <c r="EV16" s="114">
        <v>10745.401887902326</v>
      </c>
      <c r="EW16" s="114">
        <v>3078.0326560479784</v>
      </c>
      <c r="EX16" s="114">
        <v>6240.3411782354005</v>
      </c>
      <c r="EY16" s="114">
        <v>1789.8957756424468</v>
      </c>
      <c r="EZ16" s="114">
        <v>7028.8065381955112</v>
      </c>
      <c r="FA16" s="114">
        <v>2428.7642849372232</v>
      </c>
      <c r="FB16" s="114">
        <v>7110.7226601770462</v>
      </c>
      <c r="FC16" s="114">
        <v>6957.3308273263083</v>
      </c>
      <c r="FD16" s="114">
        <v>2708.3673443822827</v>
      </c>
      <c r="FE16" s="114">
        <v>2902.748262440959</v>
      </c>
      <c r="FF16" s="114">
        <v>4277.5561679598677</v>
      </c>
      <c r="FG16" s="114">
        <v>7638.2694626420471</v>
      </c>
      <c r="FH16" s="114">
        <v>6455.8259673199946</v>
      </c>
      <c r="FI16" s="114">
        <v>4331.6883047998253</v>
      </c>
      <c r="FJ16" s="114">
        <v>4427.3493691309122</v>
      </c>
      <c r="FK16" s="114">
        <v>3937.8002067390657</v>
      </c>
      <c r="FL16" s="114">
        <v>4777.6090731112436</v>
      </c>
      <c r="FM16" s="114">
        <v>3239.1395351217307</v>
      </c>
      <c r="FN16" s="114">
        <v>10839.271842843265</v>
      </c>
      <c r="FO16" s="114">
        <v>3039.101190131069</v>
      </c>
      <c r="FP16" s="114">
        <v>3441.8332367663797</v>
      </c>
      <c r="FQ16" s="114">
        <v>1420.0369325119586</v>
      </c>
      <c r="FR16" s="114">
        <v>6765.9392048774789</v>
      </c>
      <c r="FS16" s="114">
        <v>1639.1068732520637</v>
      </c>
      <c r="FT16" s="114">
        <v>5342.0422717426191</v>
      </c>
      <c r="FU16" s="114">
        <v>5747.8797087129824</v>
      </c>
      <c r="FV16" s="114">
        <v>9416.1687798058883</v>
      </c>
      <c r="FW16" s="114">
        <v>6123.5267495766257</v>
      </c>
      <c r="FX16" s="114">
        <v>10965.762663250731</v>
      </c>
      <c r="FY16" s="114">
        <v>3435.2278690814328</v>
      </c>
      <c r="FZ16" s="114">
        <v>1451.2248018167813</v>
      </c>
      <c r="GA16" s="114">
        <v>730.20632348589493</v>
      </c>
      <c r="GB16" s="114">
        <v>4787.6291916388036</v>
      </c>
      <c r="GC16" s="114">
        <v>1865.1698000046938</v>
      </c>
      <c r="GD16" s="114">
        <v>1832.5754566577039</v>
      </c>
      <c r="GE16" s="114">
        <v>3951.6514681519452</v>
      </c>
      <c r="GF16" s="114">
        <v>11654.423451103716</v>
      </c>
      <c r="GG16" s="114">
        <v>9355.8040776161979</v>
      </c>
      <c r="GH16" s="114">
        <v>9057.0716387778557</v>
      </c>
      <c r="GI16" s="114">
        <v>9673.5152017416822</v>
      </c>
      <c r="GJ16" s="114">
        <v>13612.022486030337</v>
      </c>
      <c r="GK16" s="114">
        <v>1645.7608546742601</v>
      </c>
      <c r="GL16" s="114">
        <v>11385.891911721919</v>
      </c>
      <c r="GM16" s="114">
        <v>5657.462542055966</v>
      </c>
      <c r="GN16" s="114">
        <v>2819.4390485137801</v>
      </c>
      <c r="GO16" s="114">
        <v>6563.2458353314269</v>
      </c>
      <c r="GP16" s="114">
        <v>6698.9692307301402</v>
      </c>
      <c r="GQ16" s="114">
        <v>6458.3120339124607</v>
      </c>
      <c r="GR16" s="114">
        <v>13171.028004436817</v>
      </c>
      <c r="GS16" s="114">
        <v>3341.8882915431363</v>
      </c>
      <c r="GT16" s="115">
        <v>7721.4837659508985</v>
      </c>
    </row>
    <row r="17" spans="2:202" x14ac:dyDescent="0.6">
      <c r="B17" s="106" t="s">
        <v>14</v>
      </c>
      <c r="C17" s="63" t="s">
        <v>425</v>
      </c>
      <c r="D17" s="113">
        <v>12521.068126847487</v>
      </c>
      <c r="E17" s="114">
        <v>7562.2837967048135</v>
      </c>
      <c r="F17" s="114">
        <v>7257.6250537592796</v>
      </c>
      <c r="G17" s="114">
        <v>10441.470462019732</v>
      </c>
      <c r="H17" s="114">
        <v>1819.1323704657302</v>
      </c>
      <c r="I17" s="114">
        <v>7056.5501017112874</v>
      </c>
      <c r="J17" s="114">
        <v>10578.205963743854</v>
      </c>
      <c r="K17" s="114">
        <v>15289.879827289769</v>
      </c>
      <c r="L17" s="114">
        <v>8205.0062733032901</v>
      </c>
      <c r="M17" s="114">
        <v>10900.868571598528</v>
      </c>
      <c r="N17" s="114" t="s">
        <v>237</v>
      </c>
      <c r="O17" s="114">
        <v>12008.860873103757</v>
      </c>
      <c r="P17" s="114">
        <v>14457.538933962856</v>
      </c>
      <c r="Q17" s="114">
        <v>2302.0299856037177</v>
      </c>
      <c r="R17" s="114">
        <v>8688.3304242104168</v>
      </c>
      <c r="S17" s="114">
        <v>7296.4360128558219</v>
      </c>
      <c r="T17" s="114">
        <v>1444.9757074985766</v>
      </c>
      <c r="U17" s="114">
        <v>8671.2447203702195</v>
      </c>
      <c r="V17" s="114">
        <v>14019.708769668145</v>
      </c>
      <c r="W17" s="114">
        <v>4691.6136197119749</v>
      </c>
      <c r="X17" s="114">
        <v>8535.1584035116884</v>
      </c>
      <c r="Y17" s="114">
        <v>12336.972327405894</v>
      </c>
      <c r="Z17" s="114">
        <v>6328.6869238162808</v>
      </c>
      <c r="AA17" s="114">
        <v>6472.6934562973029</v>
      </c>
      <c r="AB17" s="114">
        <v>16472.619884688651</v>
      </c>
      <c r="AC17" s="114">
        <v>8950.7996577667873</v>
      </c>
      <c r="AD17" s="114">
        <v>8033.7806592690704</v>
      </c>
      <c r="AE17" s="114">
        <v>11805.194698058662</v>
      </c>
      <c r="AF17" s="114">
        <v>5700.0587131457223</v>
      </c>
      <c r="AG17" s="114">
        <v>15965.617772914062</v>
      </c>
      <c r="AH17" s="114">
        <v>9505.6663510880753</v>
      </c>
      <c r="AI17" s="114">
        <v>9696.9607185410059</v>
      </c>
      <c r="AJ17" s="114">
        <v>2083.3700736742685</v>
      </c>
      <c r="AK17" s="114">
        <v>2254.0255710107758</v>
      </c>
      <c r="AL17" s="114">
        <v>10365.449249928432</v>
      </c>
      <c r="AM17" s="114">
        <v>9618.1290750441131</v>
      </c>
      <c r="AN17" s="114">
        <v>6521.3925225423209</v>
      </c>
      <c r="AO17" s="114">
        <v>13450.848905443974</v>
      </c>
      <c r="AP17" s="114">
        <v>12698.42516626496</v>
      </c>
      <c r="AQ17" s="114">
        <v>2328.090070812556</v>
      </c>
      <c r="AR17" s="114">
        <v>13585.535083768165</v>
      </c>
      <c r="AS17" s="114">
        <v>10463.8929241755</v>
      </c>
      <c r="AT17" s="114">
        <v>10433.305878051098</v>
      </c>
      <c r="AU17" s="114">
        <v>1868.3066626101775</v>
      </c>
      <c r="AV17" s="114">
        <v>8062.8869097165416</v>
      </c>
      <c r="AW17" s="114">
        <v>8257.8189885194661</v>
      </c>
      <c r="AX17" s="114">
        <v>554.69962163685886</v>
      </c>
      <c r="AY17" s="114">
        <v>10106.317364962404</v>
      </c>
      <c r="AZ17" s="114">
        <v>7998.2972618994818</v>
      </c>
      <c r="BA17" s="114">
        <v>7711.1233369880847</v>
      </c>
      <c r="BB17" s="114">
        <v>12320.134746191128</v>
      </c>
      <c r="BC17" s="114">
        <v>1991.0976835337713</v>
      </c>
      <c r="BD17" s="114">
        <v>1086.5244288197996</v>
      </c>
      <c r="BE17" s="114">
        <v>10441.468838695051</v>
      </c>
      <c r="BF17" s="114">
        <v>2804.8413088562202</v>
      </c>
      <c r="BG17" s="114">
        <v>10231.047977466626</v>
      </c>
      <c r="BH17" s="114">
        <v>1797.5581874327706</v>
      </c>
      <c r="BI17" s="114">
        <v>9412.373958684002</v>
      </c>
      <c r="BJ17" s="114">
        <v>11741.973584976085</v>
      </c>
      <c r="BK17" s="114">
        <v>8266.3405099820302</v>
      </c>
      <c r="BL17" s="114">
        <v>12921.107454284636</v>
      </c>
      <c r="BM17" s="114">
        <v>12086.144461603655</v>
      </c>
      <c r="BN17" s="114">
        <v>8254.3997378952936</v>
      </c>
      <c r="BO17" s="114">
        <v>7193.0329640154087</v>
      </c>
      <c r="BP17" s="114">
        <v>9639.1935856336167</v>
      </c>
      <c r="BQ17" s="114">
        <v>6468.1129995387846</v>
      </c>
      <c r="BR17" s="114">
        <v>10496.9998516011</v>
      </c>
      <c r="BS17" s="114">
        <v>7860.4979826680883</v>
      </c>
      <c r="BT17" s="114">
        <v>7877.2790015558958</v>
      </c>
      <c r="BU17" s="114">
        <v>7616.2031795024604</v>
      </c>
      <c r="BV17" s="114">
        <v>8461.8920926182218</v>
      </c>
      <c r="BW17" s="114">
        <v>9206.4121125258334</v>
      </c>
      <c r="BX17" s="114">
        <v>2173.4104815246205</v>
      </c>
      <c r="BY17" s="114">
        <v>1803.135161980467</v>
      </c>
      <c r="BZ17" s="114">
        <v>6931.0396811234241</v>
      </c>
      <c r="CA17" s="114">
        <v>6639.8924620265934</v>
      </c>
      <c r="CB17" s="114">
        <v>2893.9328955104429</v>
      </c>
      <c r="CC17" s="114">
        <v>901.70466981050822</v>
      </c>
      <c r="CD17" s="114">
        <v>1604.9978125019691</v>
      </c>
      <c r="CE17" s="114">
        <v>8435.707165490614</v>
      </c>
      <c r="CF17" s="114">
        <v>5873.6750403631759</v>
      </c>
      <c r="CG17" s="114">
        <v>14137.252264185639</v>
      </c>
      <c r="CH17" s="114">
        <v>13471.193553538729</v>
      </c>
      <c r="CI17" s="114">
        <v>17872.248231949867</v>
      </c>
      <c r="CJ17" s="114">
        <v>11381.287584161428</v>
      </c>
      <c r="CK17" s="114">
        <v>11058.682370338722</v>
      </c>
      <c r="CL17" s="114">
        <v>6558.7689069318913</v>
      </c>
      <c r="CM17" s="114">
        <v>4158.9196269117501</v>
      </c>
      <c r="CN17" s="114">
        <v>8154.2075665103794</v>
      </c>
      <c r="CO17" s="114">
        <v>7785.0155582222751</v>
      </c>
      <c r="CP17" s="114">
        <v>787.25497581529407</v>
      </c>
      <c r="CQ17" s="114">
        <v>12224.66682570838</v>
      </c>
      <c r="CR17" s="114">
        <v>10495.035960282874</v>
      </c>
      <c r="CS17" s="114">
        <v>11002.582787991947</v>
      </c>
      <c r="CT17" s="114">
        <v>12438.815036366377</v>
      </c>
      <c r="CU17" s="114">
        <v>11605.504376203919</v>
      </c>
      <c r="CV17" s="114">
        <v>11956.951519253886</v>
      </c>
      <c r="CW17" s="114">
        <v>15274.537738555166</v>
      </c>
      <c r="CX17" s="114">
        <v>8361.7090717540341</v>
      </c>
      <c r="CY17" s="114">
        <v>10359.653958032695</v>
      </c>
      <c r="CZ17" s="114">
        <v>12660.476796868605</v>
      </c>
      <c r="DA17" s="114">
        <v>7375.9977242110408</v>
      </c>
      <c r="DB17" s="114">
        <v>8569.31087881249</v>
      </c>
      <c r="DC17" s="114">
        <v>7745.6410939459993</v>
      </c>
      <c r="DD17" s="114">
        <v>8522.5707087834689</v>
      </c>
      <c r="DE17" s="114">
        <v>7453.2732308009718</v>
      </c>
      <c r="DF17" s="114">
        <v>14278.616581549059</v>
      </c>
      <c r="DG17" s="114">
        <v>12718.98469475688</v>
      </c>
      <c r="DH17" s="114">
        <v>16882.415681360002</v>
      </c>
      <c r="DI17" s="114">
        <v>15477.185049623462</v>
      </c>
      <c r="DJ17" s="114">
        <v>7397.9087696818633</v>
      </c>
      <c r="DK17" s="114">
        <v>8550.6371628583347</v>
      </c>
      <c r="DL17" s="114">
        <v>15332.256059069969</v>
      </c>
      <c r="DM17" s="114">
        <v>15354.105317428561</v>
      </c>
      <c r="DN17" s="114">
        <v>2344.4580310229371</v>
      </c>
      <c r="DO17" s="114">
        <v>9120.4817439260078</v>
      </c>
      <c r="DP17" s="114">
        <v>7701.8962662826989</v>
      </c>
      <c r="DQ17" s="114">
        <v>11890.615288676305</v>
      </c>
      <c r="DR17" s="114">
        <v>8656.5463850332817</v>
      </c>
      <c r="DS17" s="114">
        <v>6750.2062794892163</v>
      </c>
      <c r="DT17" s="114">
        <v>13023.123878105485</v>
      </c>
      <c r="DU17" s="114">
        <v>15345.402458493381</v>
      </c>
      <c r="DV17" s="114">
        <v>11440.031465737902</v>
      </c>
      <c r="DW17" s="114">
        <v>13880.353976047709</v>
      </c>
      <c r="DX17" s="114">
        <v>7285.2380930477093</v>
      </c>
      <c r="DY17" s="114">
        <v>13185.584031068529</v>
      </c>
      <c r="DZ17" s="114">
        <v>13299.572726879014</v>
      </c>
      <c r="EA17" s="114">
        <v>1726.5841298178536</v>
      </c>
      <c r="EB17" s="114">
        <v>8321.8929257910222</v>
      </c>
      <c r="EC17" s="114">
        <v>9035.1299634890438</v>
      </c>
      <c r="ED17" s="114">
        <v>12509.195635253705</v>
      </c>
      <c r="EE17" s="114">
        <v>8826.3610195052661</v>
      </c>
      <c r="EF17" s="114">
        <v>7497.7180919344319</v>
      </c>
      <c r="EG17" s="114">
        <v>12809.866340470786</v>
      </c>
      <c r="EH17" s="114">
        <v>13261.45731177879</v>
      </c>
      <c r="EI17" s="114">
        <v>12796.329074346972</v>
      </c>
      <c r="EJ17" s="114">
        <v>1797.827795735258</v>
      </c>
      <c r="EK17" s="114">
        <v>5972.9087265578664</v>
      </c>
      <c r="EL17" s="114">
        <v>4119.8291178353475</v>
      </c>
      <c r="EM17" s="114">
        <v>15205.069741291687</v>
      </c>
      <c r="EN17" s="114">
        <v>8365.3150690921648</v>
      </c>
      <c r="EO17" s="114">
        <v>6464.7997489461968</v>
      </c>
      <c r="EP17" s="114">
        <v>12157.634251882146</v>
      </c>
      <c r="EQ17" s="114">
        <v>9071.9655706815211</v>
      </c>
      <c r="ER17" s="114">
        <v>9138.1554927751386</v>
      </c>
      <c r="ES17" s="114">
        <v>11816.541295226019</v>
      </c>
      <c r="ET17" s="114">
        <v>1762.9866062772289</v>
      </c>
      <c r="EU17" s="114">
        <v>2126.5846618601754</v>
      </c>
      <c r="EV17" s="114">
        <v>2147.5899218407594</v>
      </c>
      <c r="EW17" s="114">
        <v>8083.3479636664952</v>
      </c>
      <c r="EX17" s="114">
        <v>9357.3379439538476</v>
      </c>
      <c r="EY17" s="114">
        <v>11827.446832766727</v>
      </c>
      <c r="EZ17" s="114">
        <v>6335.994075701451</v>
      </c>
      <c r="FA17" s="114">
        <v>8648.8603218951375</v>
      </c>
      <c r="FB17" s="114">
        <v>7007.518628824605</v>
      </c>
      <c r="FC17" s="114">
        <v>17077.252507192163</v>
      </c>
      <c r="FD17" s="114">
        <v>8265.0892068854955</v>
      </c>
      <c r="FE17" s="114">
        <v>8146.4050370449168</v>
      </c>
      <c r="FF17" s="114">
        <v>13131.074410983882</v>
      </c>
      <c r="FG17" s="114">
        <v>12615.633640612688</v>
      </c>
      <c r="FH17" s="114">
        <v>12651.195076340024</v>
      </c>
      <c r="FI17" s="114">
        <v>11649.156111175118</v>
      </c>
      <c r="FJ17" s="114">
        <v>6911.472419400242</v>
      </c>
      <c r="FK17" s="114">
        <v>7349.1134767755211</v>
      </c>
      <c r="FL17" s="114">
        <v>15678.451322697072</v>
      </c>
      <c r="FM17" s="114">
        <v>11164.479037439156</v>
      </c>
      <c r="FN17" s="114">
        <v>3205.2027682835583</v>
      </c>
      <c r="FO17" s="114">
        <v>7922.8577286884465</v>
      </c>
      <c r="FP17" s="114">
        <v>7610.7286778508424</v>
      </c>
      <c r="FQ17" s="114">
        <v>10441.187006101563</v>
      </c>
      <c r="FR17" s="114">
        <v>14091.729941277352</v>
      </c>
      <c r="FS17" s="114">
        <v>12112.01025661848</v>
      </c>
      <c r="FT17" s="114">
        <v>12991.497503700237</v>
      </c>
      <c r="FU17" s="114">
        <v>15725.50684934721</v>
      </c>
      <c r="FV17" s="114">
        <v>16988.700516258137</v>
      </c>
      <c r="FW17" s="114">
        <v>8554.784324226157</v>
      </c>
      <c r="FX17" s="114">
        <v>2302.5975251684454</v>
      </c>
      <c r="FY17" s="114">
        <v>8159.4270014673129</v>
      </c>
      <c r="FZ17" s="114">
        <v>9791.8173149694649</v>
      </c>
      <c r="GA17" s="114">
        <v>11561.301457807895</v>
      </c>
      <c r="GB17" s="114">
        <v>11954.943789876152</v>
      </c>
      <c r="GC17" s="114">
        <v>9035.7080678366001</v>
      </c>
      <c r="GD17" s="114">
        <v>12437.489343688527</v>
      </c>
      <c r="GE17" s="114">
        <v>6987.1260956891438</v>
      </c>
      <c r="GF17" s="114">
        <v>4065.72266301318</v>
      </c>
      <c r="GG17" s="114">
        <v>1766.6215967701451</v>
      </c>
      <c r="GH17" s="114">
        <v>2005.4149492073579</v>
      </c>
      <c r="GI17" s="114">
        <v>1540.9428762372047</v>
      </c>
      <c r="GJ17" s="114">
        <v>6985.3490067627572</v>
      </c>
      <c r="GK17" s="114">
        <v>11870.080624741393</v>
      </c>
      <c r="GL17" s="114">
        <v>1988.3626176582034</v>
      </c>
      <c r="GM17" s="114">
        <v>14880.70698885616</v>
      </c>
      <c r="GN17" s="114">
        <v>12236.625727388164</v>
      </c>
      <c r="GO17" s="114">
        <v>12238.550459903834</v>
      </c>
      <c r="GP17" s="114">
        <v>12609.023974767741</v>
      </c>
      <c r="GQ17" s="114">
        <v>16004.646446170031</v>
      </c>
      <c r="GR17" s="114">
        <v>15461.107998803838</v>
      </c>
      <c r="GS17" s="114">
        <v>7681.049711424721</v>
      </c>
      <c r="GT17" s="115">
        <v>12632.976633912131</v>
      </c>
    </row>
    <row r="18" spans="2:202" x14ac:dyDescent="0.6">
      <c r="B18" s="106" t="s">
        <v>15</v>
      </c>
      <c r="C18" s="63" t="s">
        <v>317</v>
      </c>
      <c r="D18" s="113">
        <v>2019.1733668945458</v>
      </c>
      <c r="E18" s="114">
        <v>4585.3211182718096</v>
      </c>
      <c r="F18" s="114">
        <v>4775.2715138587891</v>
      </c>
      <c r="G18" s="114">
        <v>5558.8947197693169</v>
      </c>
      <c r="H18" s="114">
        <v>11251.000225004809</v>
      </c>
      <c r="I18" s="114">
        <v>13428.640336832677</v>
      </c>
      <c r="J18" s="114">
        <v>1652.6082677587533</v>
      </c>
      <c r="K18" s="114">
        <v>12515.840192498074</v>
      </c>
      <c r="L18" s="114">
        <v>3836.601384660753</v>
      </c>
      <c r="M18" s="114">
        <v>1579.3401271056359</v>
      </c>
      <c r="N18" s="114">
        <v>12008.860873103757</v>
      </c>
      <c r="O18" s="114" t="s">
        <v>237</v>
      </c>
      <c r="P18" s="114">
        <v>4030.1241694858531</v>
      </c>
      <c r="Q18" s="114">
        <v>11252.221618023945</v>
      </c>
      <c r="R18" s="114">
        <v>3592.2019206481918</v>
      </c>
      <c r="S18" s="114">
        <v>4741.7055738000545</v>
      </c>
      <c r="T18" s="114">
        <v>13444.033989254085</v>
      </c>
      <c r="U18" s="114">
        <v>5528.9809668106964</v>
      </c>
      <c r="V18" s="114">
        <v>3875.2850227417639</v>
      </c>
      <c r="W18" s="114">
        <v>13588.223237383159</v>
      </c>
      <c r="X18" s="114">
        <v>3474.4318221262788</v>
      </c>
      <c r="Y18" s="114">
        <v>6217.3924187271796</v>
      </c>
      <c r="Z18" s="114">
        <v>11784.296611931135</v>
      </c>
      <c r="AA18" s="114">
        <v>11429.530511648984</v>
      </c>
      <c r="AB18" s="114">
        <v>7265.3141673537984</v>
      </c>
      <c r="AC18" s="114">
        <v>3060.5985509582119</v>
      </c>
      <c r="AD18" s="114">
        <v>5600.2238936386466</v>
      </c>
      <c r="AE18" s="114">
        <v>3968.6059202390802</v>
      </c>
      <c r="AF18" s="114">
        <v>7672.7772268844656</v>
      </c>
      <c r="AG18" s="114">
        <v>5895.8347143941901</v>
      </c>
      <c r="AH18" s="114">
        <v>4966.3567478182986</v>
      </c>
      <c r="AI18" s="114">
        <v>4850.1811239039307</v>
      </c>
      <c r="AJ18" s="114">
        <v>10714.635653818674</v>
      </c>
      <c r="AK18" s="114">
        <v>10367.261940493025</v>
      </c>
      <c r="AL18" s="114">
        <v>4180.1945632709258</v>
      </c>
      <c r="AM18" s="114">
        <v>4044.1929788597254</v>
      </c>
      <c r="AN18" s="114">
        <v>14305.682415228443</v>
      </c>
      <c r="AO18" s="114">
        <v>6846.410891746279</v>
      </c>
      <c r="AP18" s="114">
        <v>6198.5633440512356</v>
      </c>
      <c r="AQ18" s="114">
        <v>13134.335398303741</v>
      </c>
      <c r="AR18" s="114">
        <v>4240.7389677156652</v>
      </c>
      <c r="AS18" s="114">
        <v>5063.4839214730155</v>
      </c>
      <c r="AT18" s="114">
        <v>5060.7733186461182</v>
      </c>
      <c r="AU18" s="114">
        <v>13685.310117335235</v>
      </c>
      <c r="AV18" s="114">
        <v>6201.9929503892863</v>
      </c>
      <c r="AW18" s="114">
        <v>3756.5080347128328</v>
      </c>
      <c r="AX18" s="114">
        <v>12531.535930518585</v>
      </c>
      <c r="AY18" s="114">
        <v>1909.9993347699349</v>
      </c>
      <c r="AZ18" s="114">
        <v>4064.5987354603421</v>
      </c>
      <c r="BA18" s="114">
        <v>4466.7527399907931</v>
      </c>
      <c r="BB18" s="114">
        <v>1874.1512836914515</v>
      </c>
      <c r="BC18" s="114">
        <v>11308.799891157028</v>
      </c>
      <c r="BD18" s="114">
        <v>11860.432659668342</v>
      </c>
      <c r="BE18" s="114">
        <v>5066.7913193762743</v>
      </c>
      <c r="BF18" s="114">
        <v>13809.946062656418</v>
      </c>
      <c r="BG18" s="114">
        <v>1927.2040905933627</v>
      </c>
      <c r="BH18" s="114">
        <v>13804.600078971062</v>
      </c>
      <c r="BI18" s="114">
        <v>5114.4281017045541</v>
      </c>
      <c r="BJ18" s="114">
        <v>1720.3012636197159</v>
      </c>
      <c r="BK18" s="114">
        <v>4187.6166636708131</v>
      </c>
      <c r="BL18" s="114">
        <v>6168.3447881277061</v>
      </c>
      <c r="BM18" s="114">
        <v>2275.374950734461</v>
      </c>
      <c r="BN18" s="114">
        <v>4248.4752512869009</v>
      </c>
      <c r="BO18" s="114">
        <v>4822.9404358831889</v>
      </c>
      <c r="BP18" s="114">
        <v>5250.046838199346</v>
      </c>
      <c r="BQ18" s="114">
        <v>7056.7998715129561</v>
      </c>
      <c r="BR18" s="114">
        <v>1785.7966542973973</v>
      </c>
      <c r="BS18" s="114">
        <v>4242.1837230646634</v>
      </c>
      <c r="BT18" s="114">
        <v>4149.9884807923454</v>
      </c>
      <c r="BU18" s="114">
        <v>4427.350610903276</v>
      </c>
      <c r="BV18" s="114">
        <v>5816.2663436494358</v>
      </c>
      <c r="BW18" s="114">
        <v>2824.5106446760906</v>
      </c>
      <c r="BX18" s="114">
        <v>11537.116087984625</v>
      </c>
      <c r="BY18" s="114">
        <v>13809.419730798441</v>
      </c>
      <c r="BZ18" s="114">
        <v>6944.6947127733547</v>
      </c>
      <c r="CA18" s="114">
        <v>7042.1263552348628</v>
      </c>
      <c r="CB18" s="114">
        <v>11500.0736871887</v>
      </c>
      <c r="CC18" s="114">
        <v>12075.878950143599</v>
      </c>
      <c r="CD18" s="114">
        <v>13603.028567105268</v>
      </c>
      <c r="CE18" s="114">
        <v>3606.4864255919274</v>
      </c>
      <c r="CF18" s="114">
        <v>6539.864048754308</v>
      </c>
      <c r="CG18" s="114">
        <v>2442.3808263882302</v>
      </c>
      <c r="CH18" s="114">
        <v>2659.1469532726828</v>
      </c>
      <c r="CI18" s="114">
        <v>7024.0007411337092</v>
      </c>
      <c r="CJ18" s="114">
        <v>1042.9259574223906</v>
      </c>
      <c r="CK18" s="114">
        <v>979.05227152164366</v>
      </c>
      <c r="CL18" s="114">
        <v>5503.2955652765404</v>
      </c>
      <c r="CM18" s="114">
        <v>8116.305512999762</v>
      </c>
      <c r="CN18" s="114">
        <v>3867.3938819675027</v>
      </c>
      <c r="CO18" s="114">
        <v>4224.0373224619934</v>
      </c>
      <c r="CP18" s="114">
        <v>12461.088174355116</v>
      </c>
      <c r="CQ18" s="114">
        <v>8308.7489649625204</v>
      </c>
      <c r="CR18" s="114">
        <v>1561.0790297231538</v>
      </c>
      <c r="CS18" s="114">
        <v>3299.6540615707913</v>
      </c>
      <c r="CT18" s="114">
        <v>3375.8918003803037</v>
      </c>
      <c r="CU18" s="114">
        <v>421.73315252145909</v>
      </c>
      <c r="CV18" s="114">
        <v>2856.5166081338416</v>
      </c>
      <c r="CW18" s="114">
        <v>5415.7388839637752</v>
      </c>
      <c r="CX18" s="114">
        <v>3978.3342869014596</v>
      </c>
      <c r="CY18" s="114">
        <v>1662.8977287321254</v>
      </c>
      <c r="CZ18" s="114">
        <v>6618.3230540285722</v>
      </c>
      <c r="DA18" s="114">
        <v>6793.6353281968914</v>
      </c>
      <c r="DB18" s="114">
        <v>3660.6051356811413</v>
      </c>
      <c r="DC18" s="114">
        <v>4269.0833168134959</v>
      </c>
      <c r="DD18" s="114">
        <v>3755.7486462824827</v>
      </c>
      <c r="DE18" s="114">
        <v>4575.1818362415961</v>
      </c>
      <c r="DF18" s="114">
        <v>4975.3517455894744</v>
      </c>
      <c r="DG18" s="114">
        <v>4815.939254609988</v>
      </c>
      <c r="DH18" s="114">
        <v>6012.1008115259965</v>
      </c>
      <c r="DI18" s="114">
        <v>3468.4013916526815</v>
      </c>
      <c r="DJ18" s="114">
        <v>6214.1402885139196</v>
      </c>
      <c r="DK18" s="114">
        <v>3571.1171442385748</v>
      </c>
      <c r="DL18" s="114">
        <v>5192.4638606860653</v>
      </c>
      <c r="DM18" s="114">
        <v>5202.4310836981704</v>
      </c>
      <c r="DN18" s="114">
        <v>13990.958970810092</v>
      </c>
      <c r="DO18" s="114">
        <v>2991.3761409792191</v>
      </c>
      <c r="DP18" s="114">
        <v>4311.2545644886686</v>
      </c>
      <c r="DQ18" s="114">
        <v>5435.0426935441164</v>
      </c>
      <c r="DR18" s="114">
        <v>3352.3272274901865</v>
      </c>
      <c r="DS18" s="114">
        <v>5499.6643704908047</v>
      </c>
      <c r="DT18" s="114">
        <v>6061.7448822082324</v>
      </c>
      <c r="DU18" s="114">
        <v>4850.1545294883581</v>
      </c>
      <c r="DV18" s="114">
        <v>6469.5736454262169</v>
      </c>
      <c r="DW18" s="114">
        <v>3456.5527137267741</v>
      </c>
      <c r="DX18" s="114">
        <v>4779.9939278438897</v>
      </c>
      <c r="DY18" s="114">
        <v>14689.774646712083</v>
      </c>
      <c r="DZ18" s="114">
        <v>14673.192997588554</v>
      </c>
      <c r="EA18" s="114">
        <v>13680.555410038491</v>
      </c>
      <c r="EB18" s="114">
        <v>5216.4617251907712</v>
      </c>
      <c r="EC18" s="114">
        <v>4904.7445177490808</v>
      </c>
      <c r="ED18" s="114">
        <v>6978.0196562799247</v>
      </c>
      <c r="EE18" s="114">
        <v>3182.5257136729088</v>
      </c>
      <c r="EF18" s="114">
        <v>4806.5225151075483</v>
      </c>
      <c r="EG18" s="114">
        <v>868.53682452902308</v>
      </c>
      <c r="EH18" s="114">
        <v>1688.3077777200444</v>
      </c>
      <c r="EI18" s="114">
        <v>2339.8259728607331</v>
      </c>
      <c r="EJ18" s="114">
        <v>13313.69981724169</v>
      </c>
      <c r="EK18" s="114">
        <v>12857.179908800648</v>
      </c>
      <c r="EL18" s="114">
        <v>14298.781022308933</v>
      </c>
      <c r="EM18" s="114">
        <v>7407.3403610449914</v>
      </c>
      <c r="EN18" s="114">
        <v>3791.9835698865954</v>
      </c>
      <c r="EO18" s="114">
        <v>5652.7177113173557</v>
      </c>
      <c r="EP18" s="114">
        <v>149.13187789907178</v>
      </c>
      <c r="EQ18" s="114">
        <v>2965.3041125538239</v>
      </c>
      <c r="ER18" s="114">
        <v>3453.0209379659896</v>
      </c>
      <c r="ES18" s="114">
        <v>3770.3794463337877</v>
      </c>
      <c r="ET18" s="114">
        <v>11301.127590630978</v>
      </c>
      <c r="EU18" s="114">
        <v>11316.1115508166</v>
      </c>
      <c r="EV18" s="114">
        <v>11416.996691062408</v>
      </c>
      <c r="EW18" s="114">
        <v>3926.6722028119998</v>
      </c>
      <c r="EX18" s="114">
        <v>5518.5050426782864</v>
      </c>
      <c r="EY18" s="114">
        <v>433.05860665521044</v>
      </c>
      <c r="EZ18" s="114">
        <v>7100.2979971964423</v>
      </c>
      <c r="FA18" s="114">
        <v>3368.4725324702463</v>
      </c>
      <c r="FB18" s="114">
        <v>6959.1844643922723</v>
      </c>
      <c r="FC18" s="114">
        <v>6341.8244080516952</v>
      </c>
      <c r="FD18" s="114">
        <v>3779.7547553775721</v>
      </c>
      <c r="FE18" s="114">
        <v>3869.142159917822</v>
      </c>
      <c r="FF18" s="114">
        <v>2731.462262442255</v>
      </c>
      <c r="FG18" s="114">
        <v>6205.629410309386</v>
      </c>
      <c r="FH18" s="114">
        <v>7125.9463681927</v>
      </c>
      <c r="FI18" s="114">
        <v>3089.7062665930753</v>
      </c>
      <c r="FJ18" s="114">
        <v>5160.1344170663488</v>
      </c>
      <c r="FK18" s="114">
        <v>4694.4887184315012</v>
      </c>
      <c r="FL18" s="114">
        <v>3786.8824716036424</v>
      </c>
      <c r="FM18" s="114">
        <v>2215.1681034362737</v>
      </c>
      <c r="FN18" s="114">
        <v>11259.280082929494</v>
      </c>
      <c r="FO18" s="114">
        <v>4441.3523059888157</v>
      </c>
      <c r="FP18" s="114">
        <v>4399.896303729598</v>
      </c>
      <c r="FQ18" s="114">
        <v>1579.1737595190893</v>
      </c>
      <c r="FR18" s="114">
        <v>7051.6419984961067</v>
      </c>
      <c r="FS18" s="114">
        <v>2177.8670724105395</v>
      </c>
      <c r="FT18" s="114">
        <v>3847.6461515119408</v>
      </c>
      <c r="FU18" s="114">
        <v>5383.4414061223943</v>
      </c>
      <c r="FV18" s="114">
        <v>8941.3818674156391</v>
      </c>
      <c r="FW18" s="114">
        <v>5654.4457570257009</v>
      </c>
      <c r="FX18" s="114">
        <v>11593.916616295481</v>
      </c>
      <c r="FY18" s="114">
        <v>3958.1040835744379</v>
      </c>
      <c r="FZ18" s="114">
        <v>2227.4548078222915</v>
      </c>
      <c r="GA18" s="114">
        <v>1485.7991330402831</v>
      </c>
      <c r="GB18" s="114">
        <v>3466.3142918851772</v>
      </c>
      <c r="GC18" s="114">
        <v>3187.1627270743884</v>
      </c>
      <c r="GD18" s="114">
        <v>443.28261983090437</v>
      </c>
      <c r="GE18" s="114">
        <v>5054.601994163595</v>
      </c>
      <c r="GF18" s="114">
        <v>13218.103964072223</v>
      </c>
      <c r="GG18" s="114">
        <v>10624.518925759732</v>
      </c>
      <c r="GH18" s="114">
        <v>10319.188886949631</v>
      </c>
      <c r="GI18" s="114">
        <v>10949.792367255772</v>
      </c>
      <c r="GJ18" s="114">
        <v>13040.413398255616</v>
      </c>
      <c r="GK18" s="114">
        <v>2407.9015948277829</v>
      </c>
      <c r="GL18" s="114">
        <v>12085.465984753157</v>
      </c>
      <c r="GM18" s="114">
        <v>5613.2367008795891</v>
      </c>
      <c r="GN18" s="114">
        <v>1351.1316880366689</v>
      </c>
      <c r="GO18" s="114">
        <v>5187.1203847841034</v>
      </c>
      <c r="GP18" s="114">
        <v>5269.8976834573168</v>
      </c>
      <c r="GQ18" s="114">
        <v>6130.7631765663118</v>
      </c>
      <c r="GR18" s="114">
        <v>12396.523449525055</v>
      </c>
      <c r="GS18" s="114">
        <v>4334.5252364611752</v>
      </c>
      <c r="GT18" s="115">
        <v>6286.2705245720454</v>
      </c>
    </row>
    <row r="19" spans="2:202" x14ac:dyDescent="0.6">
      <c r="B19" s="106" t="s">
        <v>16</v>
      </c>
      <c r="C19" s="63" t="s">
        <v>426</v>
      </c>
      <c r="D19" s="113">
        <v>2379.6261443941571</v>
      </c>
      <c r="E19" s="114">
        <v>8249.8910288774023</v>
      </c>
      <c r="F19" s="114">
        <v>8198.07905602145</v>
      </c>
      <c r="G19" s="114">
        <v>9089.077120164231</v>
      </c>
      <c r="H19" s="114">
        <v>14582.212281093405</v>
      </c>
      <c r="I19" s="114">
        <v>16828.198623794022</v>
      </c>
      <c r="J19" s="114">
        <v>4661.0003600786022</v>
      </c>
      <c r="K19" s="114">
        <v>9043.2053286548035</v>
      </c>
      <c r="L19" s="114">
        <v>6930.0715091728071</v>
      </c>
      <c r="M19" s="114">
        <v>4228.233050309741</v>
      </c>
      <c r="N19" s="114">
        <v>14457.538933962856</v>
      </c>
      <c r="O19" s="114">
        <v>4030.1241694858531</v>
      </c>
      <c r="P19" s="114" t="s">
        <v>237</v>
      </c>
      <c r="Q19" s="114">
        <v>14778.984576361801</v>
      </c>
      <c r="R19" s="114">
        <v>6161.1639827460522</v>
      </c>
      <c r="S19" s="114">
        <v>7749.4455503126164</v>
      </c>
      <c r="T19" s="114">
        <v>15496.75180010318</v>
      </c>
      <c r="U19" s="114">
        <v>9513.1109666501561</v>
      </c>
      <c r="V19" s="114">
        <v>439.03988357256861</v>
      </c>
      <c r="W19" s="114">
        <v>17616.235421094887</v>
      </c>
      <c r="X19" s="114">
        <v>6822.1369524579204</v>
      </c>
      <c r="Y19" s="114">
        <v>8773.3557170692129</v>
      </c>
      <c r="Z19" s="114">
        <v>15637.04798535756</v>
      </c>
      <c r="AA19" s="114">
        <v>15275.772234598437</v>
      </c>
      <c r="AB19" s="114">
        <v>3385.8464672949872</v>
      </c>
      <c r="AC19" s="114">
        <v>6431.7007753977932</v>
      </c>
      <c r="AD19" s="114">
        <v>9629.7128085143231</v>
      </c>
      <c r="AE19" s="114">
        <v>7238.1931976572896</v>
      </c>
      <c r="AF19" s="114">
        <v>11628.827906725941</v>
      </c>
      <c r="AG19" s="114">
        <v>2020.3192398026586</v>
      </c>
      <c r="AH19" s="114">
        <v>8865.7829059364358</v>
      </c>
      <c r="AI19" s="114">
        <v>8721.8558894180223</v>
      </c>
      <c r="AJ19" s="114">
        <v>12476.243010925824</v>
      </c>
      <c r="AK19" s="114">
        <v>12239.36011259674</v>
      </c>
      <c r="AL19" s="114">
        <v>7976.2422185412379</v>
      </c>
      <c r="AM19" s="114">
        <v>8030.2262054589783</v>
      </c>
      <c r="AN19" s="114">
        <v>17835.955653934692</v>
      </c>
      <c r="AO19" s="114">
        <v>3189.3595921095239</v>
      </c>
      <c r="AP19" s="114">
        <v>3024.66977397554</v>
      </c>
      <c r="AQ19" s="114">
        <v>16486.656641206431</v>
      </c>
      <c r="AR19" s="114">
        <v>6421.0405713026175</v>
      </c>
      <c r="AS19" s="114">
        <v>8675.0808450868462</v>
      </c>
      <c r="AT19" s="114">
        <v>8683.3564731665938</v>
      </c>
      <c r="AU19" s="114">
        <v>16295.479836867929</v>
      </c>
      <c r="AV19" s="114">
        <v>10206.395952630435</v>
      </c>
      <c r="AW19" s="114">
        <v>7008.5987645195319</v>
      </c>
      <c r="AX19" s="114">
        <v>14779.955593687822</v>
      </c>
      <c r="AY19" s="114">
        <v>5604.5562979376764</v>
      </c>
      <c r="AZ19" s="114">
        <v>7055.4587267845773</v>
      </c>
      <c r="BA19" s="114">
        <v>7130.7767336195384</v>
      </c>
      <c r="BB19" s="114">
        <v>5258.9181640118295</v>
      </c>
      <c r="BC19" s="114">
        <v>14718.673847885739</v>
      </c>
      <c r="BD19" s="114">
        <v>14885.189274208307</v>
      </c>
      <c r="BE19" s="114">
        <v>8685.5113835004813</v>
      </c>
      <c r="BF19" s="114">
        <v>17149.116555617409</v>
      </c>
      <c r="BG19" s="114">
        <v>5854.55518511837</v>
      </c>
      <c r="BH19" s="114">
        <v>15919.18587624286</v>
      </c>
      <c r="BI19" s="114">
        <v>9014.7986538224177</v>
      </c>
      <c r="BJ19" s="114">
        <v>5475.3940221079401</v>
      </c>
      <c r="BK19" s="114">
        <v>6416.7494724684684</v>
      </c>
      <c r="BL19" s="114">
        <v>8422.7451927105558</v>
      </c>
      <c r="BM19" s="114">
        <v>5728.7402053126361</v>
      </c>
      <c r="BN19" s="114">
        <v>6401.8705648980313</v>
      </c>
      <c r="BO19" s="114">
        <v>7943.1570950805108</v>
      </c>
      <c r="BP19" s="114">
        <v>9078.744804657339</v>
      </c>
      <c r="BQ19" s="114">
        <v>11061.517771835765</v>
      </c>
      <c r="BR19" s="114">
        <v>4670.9254233078409</v>
      </c>
      <c r="BS19" s="114">
        <v>7099.6833740284446</v>
      </c>
      <c r="BT19" s="114">
        <v>7271.7334118976232</v>
      </c>
      <c r="BU19" s="114">
        <v>7446.2696100640105</v>
      </c>
      <c r="BV19" s="114">
        <v>9803.8120791053207</v>
      </c>
      <c r="BW19" s="114">
        <v>6456.5167867126829</v>
      </c>
      <c r="BX19" s="114">
        <v>15030.960162661833</v>
      </c>
      <c r="BY19" s="114">
        <v>15808.258772935873</v>
      </c>
      <c r="BZ19" s="114">
        <v>10973.500815821297</v>
      </c>
      <c r="CA19" s="114">
        <v>11060.771144876888</v>
      </c>
      <c r="CB19" s="114">
        <v>15233.165213682136</v>
      </c>
      <c r="CC19" s="114">
        <v>14989.201250187343</v>
      </c>
      <c r="CD19" s="114">
        <v>15837.916501557644</v>
      </c>
      <c r="CE19" s="114">
        <v>6725.7194869053274</v>
      </c>
      <c r="CF19" s="114">
        <v>8668.356923452202</v>
      </c>
      <c r="CG19" s="114">
        <v>1863.4231856156894</v>
      </c>
      <c r="CH19" s="114">
        <v>1422.4400070046049</v>
      </c>
      <c r="CI19" s="114">
        <v>3721.1356747151231</v>
      </c>
      <c r="CJ19" s="114">
        <v>3972.2531131100045</v>
      </c>
      <c r="CK19" s="114">
        <v>4590.5548851163112</v>
      </c>
      <c r="CL19" s="114">
        <v>8351.0397791373071</v>
      </c>
      <c r="CM19" s="114">
        <v>11569.555350392135</v>
      </c>
      <c r="CN19" s="114">
        <v>7338.2483616333411</v>
      </c>
      <c r="CO19" s="114">
        <v>7501.2161438186831</v>
      </c>
      <c r="CP19" s="114">
        <v>15189.177294316933</v>
      </c>
      <c r="CQ19" s="114">
        <v>4923.4554890354857</v>
      </c>
      <c r="CR19" s="114">
        <v>5419.7053221266824</v>
      </c>
      <c r="CS19" s="114">
        <v>3481.412852064072</v>
      </c>
      <c r="CT19" s="114">
        <v>6419.0967171109851</v>
      </c>
      <c r="CU19" s="114">
        <v>4237.9779055012114</v>
      </c>
      <c r="CV19" s="114">
        <v>2576.2625033007575</v>
      </c>
      <c r="CW19" s="114">
        <v>1411.703883267289</v>
      </c>
      <c r="CX19" s="114">
        <v>6403.0828592805019</v>
      </c>
      <c r="CY19" s="114">
        <v>5424.5817503311855</v>
      </c>
      <c r="CZ19" s="114">
        <v>8917.0822046680569</v>
      </c>
      <c r="DA19" s="114">
        <v>10819.053280832697</v>
      </c>
      <c r="DB19" s="114">
        <v>7488.4088275058639</v>
      </c>
      <c r="DC19" s="114">
        <v>7458.7968939533566</v>
      </c>
      <c r="DD19" s="114">
        <v>6308.8873497419554</v>
      </c>
      <c r="DE19" s="114">
        <v>7644.482880543902</v>
      </c>
      <c r="DF19" s="114">
        <v>6596.3502980870862</v>
      </c>
      <c r="DG19" s="114">
        <v>7444.3506855617616</v>
      </c>
      <c r="DH19" s="114">
        <v>2559.4655267492026</v>
      </c>
      <c r="DI19" s="114">
        <v>2827.1434154999106</v>
      </c>
      <c r="DJ19" s="114">
        <v>10242.21019804159</v>
      </c>
      <c r="DK19" s="114">
        <v>7299.4195330725343</v>
      </c>
      <c r="DL19" s="114">
        <v>6015.9806242100449</v>
      </c>
      <c r="DM19" s="114">
        <v>6008.6414027939763</v>
      </c>
      <c r="DN19" s="114">
        <v>15167.30174326441</v>
      </c>
      <c r="DO19" s="114">
        <v>5984.0451784644147</v>
      </c>
      <c r="DP19" s="114">
        <v>7677.7719189205309</v>
      </c>
      <c r="DQ19" s="114">
        <v>3096.1776591880607</v>
      </c>
      <c r="DR19" s="114">
        <v>6753.6248290524927</v>
      </c>
      <c r="DS19" s="114">
        <v>9186.9082025157822</v>
      </c>
      <c r="DT19" s="114">
        <v>8281.5137771671798</v>
      </c>
      <c r="DU19" s="114">
        <v>993.58278696091043</v>
      </c>
      <c r="DV19" s="114">
        <v>9409.1232452808545</v>
      </c>
      <c r="DW19" s="114">
        <v>676.5785266050741</v>
      </c>
      <c r="DX19" s="114">
        <v>7686.8468881425206</v>
      </c>
      <c r="DY19" s="114">
        <v>11084.816422708198</v>
      </c>
      <c r="DZ19" s="114">
        <v>11234.293765028204</v>
      </c>
      <c r="EA19" s="114">
        <v>16050.029170468219</v>
      </c>
      <c r="EB19" s="114">
        <v>9245.5211297861006</v>
      </c>
      <c r="EC19" s="114">
        <v>8893.8612848288121</v>
      </c>
      <c r="ED19" s="114">
        <v>3725.9918532512638</v>
      </c>
      <c r="EE19" s="114">
        <v>6594.6304106028483</v>
      </c>
      <c r="EF19" s="114">
        <v>7210.5743997439531</v>
      </c>
      <c r="EG19" s="114">
        <v>3248.5857071312571</v>
      </c>
      <c r="EH19" s="114">
        <v>2354.2750320616296</v>
      </c>
      <c r="EI19" s="114">
        <v>2006.8070257088229</v>
      </c>
      <c r="EJ19" s="114">
        <v>16232.901541237932</v>
      </c>
      <c r="EK19" s="114">
        <v>16729.153408455193</v>
      </c>
      <c r="EL19" s="114">
        <v>18163.66985936759</v>
      </c>
      <c r="EM19" s="114">
        <v>3377.5099632753981</v>
      </c>
      <c r="EN19" s="114">
        <v>6573.0050278013878</v>
      </c>
      <c r="EO19" s="114">
        <v>9175.8140754032847</v>
      </c>
      <c r="EP19" s="114">
        <v>3934.673562681975</v>
      </c>
      <c r="EQ19" s="114">
        <v>6190.4589460158031</v>
      </c>
      <c r="ER19" s="114">
        <v>5566.3395877145895</v>
      </c>
      <c r="ES19" s="114">
        <v>7072.8858368041947</v>
      </c>
      <c r="ET19" s="114">
        <v>14613.095148061026</v>
      </c>
      <c r="EU19" s="114">
        <v>14780.762372919826</v>
      </c>
      <c r="EV19" s="114">
        <v>14896.09459084162</v>
      </c>
      <c r="EW19" s="114">
        <v>7297.3628327471961</v>
      </c>
      <c r="EX19" s="114">
        <v>9377.8681826085922</v>
      </c>
      <c r="EY19" s="114">
        <v>4438.5897846861517</v>
      </c>
      <c r="EZ19" s="114">
        <v>11093.132117678704</v>
      </c>
      <c r="FA19" s="114">
        <v>6644.3429651718816</v>
      </c>
      <c r="FB19" s="114">
        <v>10989.209629988458</v>
      </c>
      <c r="FC19" s="114">
        <v>2857.3004487681164</v>
      </c>
      <c r="FD19" s="114">
        <v>6867.3615474981025</v>
      </c>
      <c r="FE19" s="114">
        <v>7097.3832803585656</v>
      </c>
      <c r="FF19" s="114">
        <v>5395.6522874446091</v>
      </c>
      <c r="FG19" s="114">
        <v>8617.8837837073006</v>
      </c>
      <c r="FH19" s="114">
        <v>3773.9707542121873</v>
      </c>
      <c r="FI19" s="114">
        <v>6605.9874188577242</v>
      </c>
      <c r="FJ19" s="114">
        <v>8649.1505791413329</v>
      </c>
      <c r="FK19" s="114">
        <v>8160.5374721220824</v>
      </c>
      <c r="FL19" s="114">
        <v>2145.2148669020303</v>
      </c>
      <c r="FM19" s="114">
        <v>6103.5616883209095</v>
      </c>
      <c r="FN19" s="114">
        <v>15067.504801880954</v>
      </c>
      <c r="FO19" s="114">
        <v>6781.9748638776655</v>
      </c>
      <c r="FP19" s="114">
        <v>7621.2744547602906</v>
      </c>
      <c r="FQ19" s="114">
        <v>5345.2596073138848</v>
      </c>
      <c r="FR19" s="114">
        <v>3172.3345735399653</v>
      </c>
      <c r="FS19" s="114">
        <v>2645.8732400364102</v>
      </c>
      <c r="FT19" s="114">
        <v>6474.4701291526535</v>
      </c>
      <c r="FU19" s="114">
        <v>1532.6632393438945</v>
      </c>
      <c r="FV19" s="114">
        <v>5190.6756690398461</v>
      </c>
      <c r="FW19" s="114">
        <v>9643.2273668457292</v>
      </c>
      <c r="FX19" s="114">
        <v>15136.768600909378</v>
      </c>
      <c r="FY19" s="114">
        <v>7642.8939666969736</v>
      </c>
      <c r="FZ19" s="114">
        <v>5656.9162939768639</v>
      </c>
      <c r="GA19" s="114">
        <v>3500.2254548104274</v>
      </c>
      <c r="GB19" s="114">
        <v>6758.5051029137849</v>
      </c>
      <c r="GC19" s="114">
        <v>5914.4699786556484</v>
      </c>
      <c r="GD19" s="114">
        <v>3656.0713341813585</v>
      </c>
      <c r="GE19" s="114">
        <v>8016.31765270493</v>
      </c>
      <c r="GF19" s="114">
        <v>12948.625893598502</v>
      </c>
      <c r="GG19" s="114">
        <v>12699.489889484608</v>
      </c>
      <c r="GH19" s="114">
        <v>12452.144198771161</v>
      </c>
      <c r="GI19" s="114">
        <v>12958.096952491267</v>
      </c>
      <c r="GJ19" s="114">
        <v>16539.283048283734</v>
      </c>
      <c r="GK19" s="114">
        <v>2788.3984043555247</v>
      </c>
      <c r="GL19" s="114">
        <v>15495.218718235928</v>
      </c>
      <c r="GM19" s="114">
        <v>1589.887073893331</v>
      </c>
      <c r="GN19" s="114">
        <v>4893.7872733473232</v>
      </c>
      <c r="GO19" s="114">
        <v>8003.601470863272</v>
      </c>
      <c r="GP19" s="114">
        <v>7874.2662762418495</v>
      </c>
      <c r="GQ19" s="114">
        <v>2230.0791642104577</v>
      </c>
      <c r="GR19" s="114">
        <v>8994.1119839710373</v>
      </c>
      <c r="GS19" s="114">
        <v>7509.801739376644</v>
      </c>
      <c r="GT19" s="115">
        <v>8672.112465895596</v>
      </c>
    </row>
    <row r="20" spans="2:202" x14ac:dyDescent="0.6">
      <c r="B20" s="106" t="s">
        <v>17</v>
      </c>
      <c r="C20" s="63" t="s">
        <v>427</v>
      </c>
      <c r="D20" s="113">
        <v>12442.28842407264</v>
      </c>
      <c r="E20" s="114">
        <v>6690.2158665045508</v>
      </c>
      <c r="F20" s="114">
        <v>6631.6668943958539</v>
      </c>
      <c r="G20" s="114">
        <v>8350.6380085394339</v>
      </c>
      <c r="H20" s="114">
        <v>528.33832910062267</v>
      </c>
      <c r="I20" s="114">
        <v>5487.9616347974797</v>
      </c>
      <c r="J20" s="114">
        <v>10198.079989430955</v>
      </c>
      <c r="K20" s="114">
        <v>16179.889824549382</v>
      </c>
      <c r="L20" s="114">
        <v>7860.0302239220791</v>
      </c>
      <c r="M20" s="114">
        <v>10608.519880142527</v>
      </c>
      <c r="N20" s="114">
        <v>2302.0299856037177</v>
      </c>
      <c r="O20" s="114">
        <v>11252.221618023945</v>
      </c>
      <c r="P20" s="114">
        <v>14778.984576361801</v>
      </c>
      <c r="Q20" s="114" t="s">
        <v>237</v>
      </c>
      <c r="R20" s="114">
        <v>8621.0740603211616</v>
      </c>
      <c r="S20" s="114">
        <v>7029.5698159778913</v>
      </c>
      <c r="T20" s="114">
        <v>3143.6770026313757</v>
      </c>
      <c r="U20" s="114">
        <v>6793.7155040263824</v>
      </c>
      <c r="V20" s="114">
        <v>14402.432212313701</v>
      </c>
      <c r="W20" s="114">
        <v>3393.2701746520938</v>
      </c>
      <c r="X20" s="114">
        <v>8015.1195351046854</v>
      </c>
      <c r="Y20" s="114">
        <v>10097.784497303102</v>
      </c>
      <c r="Z20" s="114">
        <v>4296.9980067220258</v>
      </c>
      <c r="AA20" s="114">
        <v>4366.8702902450395</v>
      </c>
      <c r="AB20" s="114">
        <v>17962.471941681808</v>
      </c>
      <c r="AC20" s="114">
        <v>8422.529074405169</v>
      </c>
      <c r="AD20" s="114">
        <v>6280.546642236327</v>
      </c>
      <c r="AE20" s="114">
        <v>9922.4602571500764</v>
      </c>
      <c r="AF20" s="114">
        <v>3881.2733026788778</v>
      </c>
      <c r="AG20" s="114">
        <v>16767.916906916271</v>
      </c>
      <c r="AH20" s="114">
        <v>7633.1869144682978</v>
      </c>
      <c r="AI20" s="114">
        <v>7824.6614729998701</v>
      </c>
      <c r="AJ20" s="114">
        <v>3911.1571257635301</v>
      </c>
      <c r="AK20" s="114">
        <v>3892.9419105141696</v>
      </c>
      <c r="AL20" s="114">
        <v>8565.3070358799432</v>
      </c>
      <c r="AM20" s="114">
        <v>7988.438889127282</v>
      </c>
      <c r="AN20" s="114">
        <v>5280.2380413250075</v>
      </c>
      <c r="AO20" s="114">
        <v>15091.5996824379</v>
      </c>
      <c r="AP20" s="114">
        <v>14147.684077673657</v>
      </c>
      <c r="AQ20" s="114">
        <v>1882.2942420933837</v>
      </c>
      <c r="AR20" s="114">
        <v>11621.779847451027</v>
      </c>
      <c r="AS20" s="114">
        <v>8458.8417180401175</v>
      </c>
      <c r="AT20" s="114">
        <v>8431.4119852810927</v>
      </c>
      <c r="AU20" s="114">
        <v>2722.1291493756094</v>
      </c>
      <c r="AV20" s="114">
        <v>6116.004358981163</v>
      </c>
      <c r="AW20" s="114">
        <v>7803.0438630464405</v>
      </c>
      <c r="AX20" s="114">
        <v>2662.1562380619184</v>
      </c>
      <c r="AY20" s="114">
        <v>9405.374227261982</v>
      </c>
      <c r="AZ20" s="114">
        <v>7725.6991640841115</v>
      </c>
      <c r="BA20" s="114">
        <v>7660.7130214250501</v>
      </c>
      <c r="BB20" s="114">
        <v>10948.802481217968</v>
      </c>
      <c r="BC20" s="114">
        <v>317.66438232595306</v>
      </c>
      <c r="BD20" s="114">
        <v>1246.2418601676557</v>
      </c>
      <c r="BE20" s="114">
        <v>8437.7110852321657</v>
      </c>
      <c r="BF20" s="114">
        <v>2562.0001342570854</v>
      </c>
      <c r="BG20" s="114">
        <v>9328.020472889928</v>
      </c>
      <c r="BH20" s="114">
        <v>3224.005563606278</v>
      </c>
      <c r="BI20" s="114">
        <v>7517.2377942374405</v>
      </c>
      <c r="BJ20" s="114">
        <v>10449.021668618278</v>
      </c>
      <c r="BK20" s="114">
        <v>8410.8205485779708</v>
      </c>
      <c r="BL20" s="114">
        <v>10678.46919995493</v>
      </c>
      <c r="BM20" s="114">
        <v>10606.301465238657</v>
      </c>
      <c r="BN20" s="114">
        <v>8438.8101617258308</v>
      </c>
      <c r="BO20" s="114">
        <v>6838.7372048839879</v>
      </c>
      <c r="BP20" s="114">
        <v>7681.3172061267296</v>
      </c>
      <c r="BQ20" s="114">
        <v>4639.0164250620328</v>
      </c>
      <c r="BR20" s="114">
        <v>10165.632488666613</v>
      </c>
      <c r="BS20" s="114">
        <v>7679.7098945868647</v>
      </c>
      <c r="BT20" s="114">
        <v>7516.6459353711498</v>
      </c>
      <c r="BU20" s="114">
        <v>7333.7676127999093</v>
      </c>
      <c r="BV20" s="114">
        <v>6545.0347482036668</v>
      </c>
      <c r="BW20" s="114">
        <v>8496.1882709336733</v>
      </c>
      <c r="BX20" s="114">
        <v>287.79904156766372</v>
      </c>
      <c r="BY20" s="114">
        <v>3340.9101651060505</v>
      </c>
      <c r="BZ20" s="114">
        <v>5008.4899322030806</v>
      </c>
      <c r="CA20" s="114">
        <v>4762.4806671884826</v>
      </c>
      <c r="CB20" s="114">
        <v>739.70253674251478</v>
      </c>
      <c r="CC20" s="114">
        <v>1502.6644707796181</v>
      </c>
      <c r="CD20" s="114">
        <v>3009.8490498125448</v>
      </c>
      <c r="CE20" s="114">
        <v>8070.6938983391592</v>
      </c>
      <c r="CF20" s="114">
        <v>6375.8091741966518</v>
      </c>
      <c r="CG20" s="114">
        <v>13675.600221023737</v>
      </c>
      <c r="CH20" s="114">
        <v>13445.070532713553</v>
      </c>
      <c r="CI20" s="114">
        <v>18267.574193389311</v>
      </c>
      <c r="CJ20" s="114">
        <v>10955.985436608622</v>
      </c>
      <c r="CK20" s="114">
        <v>10441.338749530945</v>
      </c>
      <c r="CL20" s="114">
        <v>6443.3059103718824</v>
      </c>
      <c r="CM20" s="114">
        <v>3224.8647594230201</v>
      </c>
      <c r="CN20" s="114">
        <v>7524.0239045504004</v>
      </c>
      <c r="CO20" s="114">
        <v>7305.7915430196963</v>
      </c>
      <c r="CP20" s="114">
        <v>1922.0594056428201</v>
      </c>
      <c r="CQ20" s="114">
        <v>14237.252727178571</v>
      </c>
      <c r="CR20" s="114">
        <v>9698.5886375794016</v>
      </c>
      <c r="CS20" s="114">
        <v>11436.268344368527</v>
      </c>
      <c r="CT20" s="114">
        <v>10662.989286678752</v>
      </c>
      <c r="CU20" s="114">
        <v>10916.134610299423</v>
      </c>
      <c r="CV20" s="114">
        <v>12243.356376617568</v>
      </c>
      <c r="CW20" s="114">
        <v>16055.420342347137</v>
      </c>
      <c r="CX20" s="114">
        <v>8395.7778252658791</v>
      </c>
      <c r="CY20" s="114">
        <v>9628.5103153418604</v>
      </c>
      <c r="CZ20" s="114">
        <v>10387.78574649542</v>
      </c>
      <c r="DA20" s="114">
        <v>5399.2882099091375</v>
      </c>
      <c r="DB20" s="114">
        <v>7591.797801326873</v>
      </c>
      <c r="DC20" s="114">
        <v>7334.9150909127429</v>
      </c>
      <c r="DD20" s="114">
        <v>8476.3469069451658</v>
      </c>
      <c r="DE20" s="114">
        <v>7136.5454907094918</v>
      </c>
      <c r="DF20" s="114">
        <v>12189.590361523226</v>
      </c>
      <c r="DG20" s="114">
        <v>10648.72780157888</v>
      </c>
      <c r="DH20" s="114">
        <v>17229.332806826824</v>
      </c>
      <c r="DI20" s="114">
        <v>14447.027044393692</v>
      </c>
      <c r="DJ20" s="114">
        <v>5604.1942476810582</v>
      </c>
      <c r="DK20" s="114">
        <v>7695.897816513364</v>
      </c>
      <c r="DL20" s="114">
        <v>13249.818740778341</v>
      </c>
      <c r="DM20" s="114">
        <v>13271.016938294861</v>
      </c>
      <c r="DN20" s="114">
        <v>4296.7340814640766</v>
      </c>
      <c r="DO20" s="114">
        <v>8812.6585485313008</v>
      </c>
      <c r="DP20" s="114">
        <v>7145.7520134608558</v>
      </c>
      <c r="DQ20" s="114">
        <v>13099.253925347903</v>
      </c>
      <c r="DR20" s="114">
        <v>8100.220427170565</v>
      </c>
      <c r="DS20" s="114">
        <v>5760.5289084484957</v>
      </c>
      <c r="DT20" s="114">
        <v>10788.899726647685</v>
      </c>
      <c r="DU20" s="114">
        <v>15771.313883982421</v>
      </c>
      <c r="DV20" s="114">
        <v>9196.7872155038676</v>
      </c>
      <c r="DW20" s="114">
        <v>14104.978528961505</v>
      </c>
      <c r="DX20" s="114">
        <v>7093.9089679161607</v>
      </c>
      <c r="DY20" s="114">
        <v>14050.463485809969</v>
      </c>
      <c r="DZ20" s="114">
        <v>13970.643649119218</v>
      </c>
      <c r="EA20" s="114">
        <v>2920.3582016751634</v>
      </c>
      <c r="EB20" s="114">
        <v>6625.3319192426625</v>
      </c>
      <c r="EC20" s="114">
        <v>7265.11582331715</v>
      </c>
      <c r="ED20" s="114">
        <v>14197.753243479618</v>
      </c>
      <c r="EE20" s="114">
        <v>8266.8156923322131</v>
      </c>
      <c r="EF20" s="114">
        <v>7623.4736145244824</v>
      </c>
      <c r="EG20" s="114">
        <v>12120.23445854541</v>
      </c>
      <c r="EH20" s="114">
        <v>12832.479065819387</v>
      </c>
      <c r="EI20" s="114">
        <v>12797.849458954219</v>
      </c>
      <c r="EJ20" s="114">
        <v>2222.5853613014815</v>
      </c>
      <c r="EK20" s="114">
        <v>4247.6259745988536</v>
      </c>
      <c r="EL20" s="114">
        <v>3401.4578380147359</v>
      </c>
      <c r="EM20" s="114">
        <v>16962.607304492947</v>
      </c>
      <c r="EN20" s="114">
        <v>8206.0707009698708</v>
      </c>
      <c r="EO20" s="114">
        <v>5674.5806310626167</v>
      </c>
      <c r="EP20" s="114">
        <v>11388.204888415015</v>
      </c>
      <c r="EQ20" s="114">
        <v>8636.376643629812</v>
      </c>
      <c r="ER20" s="114">
        <v>9237.0951072571243</v>
      </c>
      <c r="ES20" s="114">
        <v>9975.9956302784449</v>
      </c>
      <c r="ET20" s="114">
        <v>568.08144145516371</v>
      </c>
      <c r="EU20" s="114">
        <v>175.44539334476957</v>
      </c>
      <c r="EV20" s="114">
        <v>195.04075104839274</v>
      </c>
      <c r="EW20" s="114">
        <v>7534.8937878364522</v>
      </c>
      <c r="EX20" s="114">
        <v>7375.792537497241</v>
      </c>
      <c r="EY20" s="114">
        <v>10947.68366247857</v>
      </c>
      <c r="EZ20" s="114">
        <v>4534.6472975538254</v>
      </c>
      <c r="FA20" s="114">
        <v>8180.4945749295221</v>
      </c>
      <c r="FB20" s="114">
        <v>5061.6811913327983</v>
      </c>
      <c r="FC20" s="114">
        <v>17559.09928828814</v>
      </c>
      <c r="FD20" s="114">
        <v>7923.0559308731345</v>
      </c>
      <c r="FE20" s="114">
        <v>7708.1916194498017</v>
      </c>
      <c r="FF20" s="114">
        <v>11529.518091964477</v>
      </c>
      <c r="FG20" s="114">
        <v>10373.419587089091</v>
      </c>
      <c r="FH20" s="114">
        <v>14382.563346212923</v>
      </c>
      <c r="FI20" s="114">
        <v>9981.0675009461665</v>
      </c>
      <c r="FJ20" s="114">
        <v>6195.4588918195568</v>
      </c>
      <c r="FK20" s="114">
        <v>6683.9209603032787</v>
      </c>
      <c r="FL20" s="114">
        <v>14986.975697243974</v>
      </c>
      <c r="FM20" s="114">
        <v>9800.0284260209573</v>
      </c>
      <c r="FN20" s="114">
        <v>957.55041742208539</v>
      </c>
      <c r="FO20" s="114">
        <v>8043.8751979431245</v>
      </c>
      <c r="FP20" s="114">
        <v>7174.4815279186596</v>
      </c>
      <c r="FQ20" s="114">
        <v>9713.0135071449095</v>
      </c>
      <c r="FR20" s="114">
        <v>15779.410575760725</v>
      </c>
      <c r="FS20" s="114">
        <v>12137.505033789688</v>
      </c>
      <c r="FT20" s="114">
        <v>11103.896625760668</v>
      </c>
      <c r="FU20" s="114">
        <v>16308.868176127397</v>
      </c>
      <c r="FV20" s="114">
        <v>19285.264905128468</v>
      </c>
      <c r="FW20" s="114">
        <v>6664.6746536359797</v>
      </c>
      <c r="FX20" s="114">
        <v>358.24005043604006</v>
      </c>
      <c r="FY20" s="114">
        <v>7318.1170932340165</v>
      </c>
      <c r="FZ20" s="114">
        <v>9242.9189170150512</v>
      </c>
      <c r="GA20" s="114">
        <v>11336.616412601015</v>
      </c>
      <c r="GB20" s="114">
        <v>10175.83482812176</v>
      </c>
      <c r="GC20" s="114">
        <v>8865.5339117724234</v>
      </c>
      <c r="GD20" s="114">
        <v>11693.332813548352</v>
      </c>
      <c r="GE20" s="114">
        <v>6764.0888964246315</v>
      </c>
      <c r="GF20" s="114">
        <v>6351.9262378221301</v>
      </c>
      <c r="GG20" s="114">
        <v>3392.9944384058917</v>
      </c>
      <c r="GH20" s="114">
        <v>3450.6408459090899</v>
      </c>
      <c r="GI20" s="114">
        <v>3362.6086750406744</v>
      </c>
      <c r="GJ20" s="114">
        <v>5298.0517178252694</v>
      </c>
      <c r="GK20" s="114">
        <v>11992.583742399052</v>
      </c>
      <c r="GL20" s="114">
        <v>846.53529823838289</v>
      </c>
      <c r="GM20" s="114">
        <v>15875.735042865595</v>
      </c>
      <c r="GN20" s="114">
        <v>11026.741263061864</v>
      </c>
      <c r="GO20" s="114">
        <v>10121.340050418463</v>
      </c>
      <c r="GP20" s="114">
        <v>10471.938921324669</v>
      </c>
      <c r="GQ20" s="114">
        <v>16939.667095280522</v>
      </c>
      <c r="GR20" s="114">
        <v>16247.613365117197</v>
      </c>
      <c r="GS20" s="114">
        <v>7281.3957220607135</v>
      </c>
      <c r="GT20" s="115">
        <v>10383.878356294132</v>
      </c>
    </row>
    <row r="21" spans="2:202" x14ac:dyDescent="0.6">
      <c r="B21" s="106" t="s">
        <v>18</v>
      </c>
      <c r="C21" s="63" t="s">
        <v>428</v>
      </c>
      <c r="D21" s="113">
        <v>3892.9545818431443</v>
      </c>
      <c r="E21" s="114">
        <v>2666.5539159056107</v>
      </c>
      <c r="F21" s="114">
        <v>2282.7886778302986</v>
      </c>
      <c r="G21" s="114">
        <v>7024.3430021968625</v>
      </c>
      <c r="H21" s="114">
        <v>8429.1243574832697</v>
      </c>
      <c r="I21" s="114">
        <v>13005.90865337474</v>
      </c>
      <c r="J21" s="114">
        <v>1965.2439184031948</v>
      </c>
      <c r="K21" s="114">
        <v>15146.92001704937</v>
      </c>
      <c r="L21" s="114">
        <v>981.20655204908167</v>
      </c>
      <c r="M21" s="114">
        <v>2224.4794432623517</v>
      </c>
      <c r="N21" s="114">
        <v>8688.3304242104168</v>
      </c>
      <c r="O21" s="114">
        <v>3592.2019206481918</v>
      </c>
      <c r="P21" s="114">
        <v>6161.1639827460522</v>
      </c>
      <c r="Q21" s="114">
        <v>8621.0740603211616</v>
      </c>
      <c r="R21" s="114" t="s">
        <v>237</v>
      </c>
      <c r="S21" s="114">
        <v>1607.6500797779015</v>
      </c>
      <c r="T21" s="114">
        <v>10058.071140267131</v>
      </c>
      <c r="U21" s="114">
        <v>5719.0436624709018</v>
      </c>
      <c r="V21" s="114">
        <v>5781.8604705832749</v>
      </c>
      <c r="W21" s="114">
        <v>11802.701941513977</v>
      </c>
      <c r="X21" s="114">
        <v>1293.7373761924316</v>
      </c>
      <c r="Y21" s="114">
        <v>8671.4753790101113</v>
      </c>
      <c r="Z21" s="114">
        <v>11099.560284945112</v>
      </c>
      <c r="AA21" s="114">
        <v>10837.565940795395</v>
      </c>
      <c r="AB21" s="114">
        <v>9451.5939392411601</v>
      </c>
      <c r="AC21" s="114">
        <v>1267.6399238541135</v>
      </c>
      <c r="AD21" s="114">
        <v>5247.5612163662054</v>
      </c>
      <c r="AE21" s="114">
        <v>6304.9643998911815</v>
      </c>
      <c r="AF21" s="114">
        <v>6123.703443367036</v>
      </c>
      <c r="AG21" s="114">
        <v>8152.1938461820482</v>
      </c>
      <c r="AH21" s="114">
        <v>5730.1098224780435</v>
      </c>
      <c r="AI21" s="114">
        <v>5749.6295154587324</v>
      </c>
      <c r="AJ21" s="114">
        <v>7161.5144927303718</v>
      </c>
      <c r="AK21" s="114">
        <v>6824.3915104954203</v>
      </c>
      <c r="AL21" s="114">
        <v>5541.2275861722364</v>
      </c>
      <c r="AM21" s="114">
        <v>4741.2489360981053</v>
      </c>
      <c r="AN21" s="114">
        <v>13397.76057430758</v>
      </c>
      <c r="AO21" s="114">
        <v>7524.6592719003565</v>
      </c>
      <c r="AP21" s="114">
        <v>6517.6629592112367</v>
      </c>
      <c r="AQ21" s="114">
        <v>10360.146152946132</v>
      </c>
      <c r="AR21" s="114">
        <v>7373.968515930148</v>
      </c>
      <c r="AS21" s="114">
        <v>6529.167181518781</v>
      </c>
      <c r="AT21" s="114">
        <v>6506.1617141116794</v>
      </c>
      <c r="AU21" s="114">
        <v>10516.265724966679</v>
      </c>
      <c r="AV21" s="114">
        <v>6061.1130368881886</v>
      </c>
      <c r="AW21" s="114">
        <v>1226.3304841207564</v>
      </c>
      <c r="AX21" s="114">
        <v>9161.2228748176149</v>
      </c>
      <c r="AY21" s="114">
        <v>2100.4053504113672</v>
      </c>
      <c r="AZ21" s="114">
        <v>977.12693361005506</v>
      </c>
      <c r="BA21" s="114">
        <v>987.31541690912252</v>
      </c>
      <c r="BB21" s="114">
        <v>4901.4995628315464</v>
      </c>
      <c r="BC21" s="114">
        <v>8558.8420913421978</v>
      </c>
      <c r="BD21" s="114">
        <v>8823.6748491886556</v>
      </c>
      <c r="BE21" s="114">
        <v>6517.7720163390986</v>
      </c>
      <c r="BF21" s="114">
        <v>11047.36680156138</v>
      </c>
      <c r="BG21" s="114">
        <v>2632.5915136046128</v>
      </c>
      <c r="BH21" s="114">
        <v>10459.098332697407</v>
      </c>
      <c r="BI21" s="114">
        <v>5826.258019076924</v>
      </c>
      <c r="BJ21" s="114">
        <v>4374.1161841034555</v>
      </c>
      <c r="BK21" s="114">
        <v>657.02178908690144</v>
      </c>
      <c r="BL21" s="114">
        <v>8869.6716057176673</v>
      </c>
      <c r="BM21" s="114">
        <v>5047.5951797223006</v>
      </c>
      <c r="BN21" s="114">
        <v>749.92734508120293</v>
      </c>
      <c r="BO21" s="114">
        <v>1831.5106568965623</v>
      </c>
      <c r="BP21" s="114">
        <v>6152.6568607203608</v>
      </c>
      <c r="BQ21" s="114">
        <v>5883.5378141670053</v>
      </c>
      <c r="BR21" s="114">
        <v>1855.5825341388349</v>
      </c>
      <c r="BS21" s="114">
        <v>950.28442581023887</v>
      </c>
      <c r="BT21" s="114">
        <v>1252.1048283938151</v>
      </c>
      <c r="BU21" s="114">
        <v>1330.3553517091595</v>
      </c>
      <c r="BV21" s="114">
        <v>5902.1828147804526</v>
      </c>
      <c r="BW21" s="114">
        <v>1796.8234688786399</v>
      </c>
      <c r="BX21" s="114">
        <v>8869.9953819074453</v>
      </c>
      <c r="BY21" s="114">
        <v>10429.099995832057</v>
      </c>
      <c r="BZ21" s="114">
        <v>6112.1874570641057</v>
      </c>
      <c r="CA21" s="114">
        <v>6006.6626186331277</v>
      </c>
      <c r="CB21" s="114">
        <v>9124.2937889705208</v>
      </c>
      <c r="CC21" s="114">
        <v>8979.322589993415</v>
      </c>
      <c r="CD21" s="114">
        <v>10284.294419205818</v>
      </c>
      <c r="CE21" s="114">
        <v>905.3094832073125</v>
      </c>
      <c r="CF21" s="114">
        <v>2958.2252382443285</v>
      </c>
      <c r="CG21" s="114">
        <v>5448.9715530632293</v>
      </c>
      <c r="CH21" s="114">
        <v>4890.9687125812497</v>
      </c>
      <c r="CI21" s="114">
        <v>9838.7742308910128</v>
      </c>
      <c r="CJ21" s="114">
        <v>2742.8767149987316</v>
      </c>
      <c r="CK21" s="114">
        <v>2629.4940670764308</v>
      </c>
      <c r="CL21" s="114">
        <v>2199.2303975322866</v>
      </c>
      <c r="CM21" s="114">
        <v>5440.9224491302684</v>
      </c>
      <c r="CN21" s="114">
        <v>1737.621732366003</v>
      </c>
      <c r="CO21" s="114">
        <v>1578.1913201374477</v>
      </c>
      <c r="CP21" s="114">
        <v>9282.280392264769</v>
      </c>
      <c r="CQ21" s="114">
        <v>8169.4877912825568</v>
      </c>
      <c r="CR21" s="114">
        <v>2527.9487372203189</v>
      </c>
      <c r="CS21" s="114">
        <v>2955.3754148229491</v>
      </c>
      <c r="CT21" s="114">
        <v>6140.4951944766599</v>
      </c>
      <c r="CU21" s="114">
        <v>3173.2086630719759</v>
      </c>
      <c r="CV21" s="114">
        <v>3636.2780462366709</v>
      </c>
      <c r="CW21" s="114">
        <v>7458.2366413667169</v>
      </c>
      <c r="CX21" s="114">
        <v>392.51587334034554</v>
      </c>
      <c r="CY21" s="114">
        <v>2311.2149805872523</v>
      </c>
      <c r="CZ21" s="114">
        <v>9195.8204335050068</v>
      </c>
      <c r="DA21" s="114">
        <v>6268.2736129052255</v>
      </c>
      <c r="DB21" s="114">
        <v>2597.9354025971502</v>
      </c>
      <c r="DC21" s="114">
        <v>1458.900345905741</v>
      </c>
      <c r="DD21" s="114">
        <v>167.94307013628412</v>
      </c>
      <c r="DE21" s="114">
        <v>1533.9953690045841</v>
      </c>
      <c r="DF21" s="114">
        <v>8240.408616875593</v>
      </c>
      <c r="DG21" s="114">
        <v>7530.979329342561</v>
      </c>
      <c r="DH21" s="114">
        <v>8685.7429576031154</v>
      </c>
      <c r="DI21" s="114">
        <v>6903.0030587228666</v>
      </c>
      <c r="DJ21" s="114">
        <v>5512.2745050566591</v>
      </c>
      <c r="DK21" s="114">
        <v>2240.7637563671628</v>
      </c>
      <c r="DL21" s="114">
        <v>8677.8108101685721</v>
      </c>
      <c r="DM21" s="114">
        <v>8690.6939851784391</v>
      </c>
      <c r="DN21" s="114">
        <v>10445.945558737034</v>
      </c>
      <c r="DO21" s="114">
        <v>732.25954975377226</v>
      </c>
      <c r="DP21" s="114">
        <v>1810.8835522792062</v>
      </c>
      <c r="DQ21" s="114">
        <v>5341.9597213219458</v>
      </c>
      <c r="DR21" s="114">
        <v>1367.435472212703</v>
      </c>
      <c r="DS21" s="114">
        <v>3440.2218350111107</v>
      </c>
      <c r="DT21" s="114">
        <v>8808.8619777885324</v>
      </c>
      <c r="DU21" s="114">
        <v>7154.7327878933529</v>
      </c>
      <c r="DV21" s="114">
        <v>8494.0606133994006</v>
      </c>
      <c r="DW21" s="114">
        <v>5490.9542162889611</v>
      </c>
      <c r="DX21" s="114">
        <v>1527.6123294276206</v>
      </c>
      <c r="DY21" s="114">
        <v>16907.982149184125</v>
      </c>
      <c r="DZ21" s="114">
        <v>17218.23211940303</v>
      </c>
      <c r="EA21" s="114">
        <v>10414.563000656466</v>
      </c>
      <c r="EB21" s="114">
        <v>4995.8373622921727</v>
      </c>
      <c r="EC21" s="114">
        <v>5258.4900054747504</v>
      </c>
      <c r="ED21" s="114">
        <v>7085.2388167038671</v>
      </c>
      <c r="EE21" s="114">
        <v>1355.9255778483412</v>
      </c>
      <c r="EF21" s="114">
        <v>1226.3502839204118</v>
      </c>
      <c r="EG21" s="114">
        <v>4241.3732812383741</v>
      </c>
      <c r="EH21" s="114">
        <v>4575.3983737180606</v>
      </c>
      <c r="EI21" s="114">
        <v>4218.6690600083339</v>
      </c>
      <c r="EJ21" s="114">
        <v>10271.93964527897</v>
      </c>
      <c r="EK21" s="114">
        <v>11884.831228524507</v>
      </c>
      <c r="EL21" s="114">
        <v>12021.111570462004</v>
      </c>
      <c r="EM21" s="114">
        <v>8965.7016792048125</v>
      </c>
      <c r="EN21" s="114">
        <v>450.44266825837275</v>
      </c>
      <c r="EO21" s="114">
        <v>3225.0401040073325</v>
      </c>
      <c r="EP21" s="114">
        <v>3733.1890739652022</v>
      </c>
      <c r="EQ21" s="114">
        <v>1032.2471550788377</v>
      </c>
      <c r="ER21" s="114">
        <v>708.13569111786524</v>
      </c>
      <c r="ES21" s="114">
        <v>6133.2282717646403</v>
      </c>
      <c r="ET21" s="114">
        <v>8463.1486381448522</v>
      </c>
      <c r="EU21" s="114">
        <v>8619.6168980567018</v>
      </c>
      <c r="EV21" s="114">
        <v>8735.0237298056927</v>
      </c>
      <c r="EW21" s="114">
        <v>1558.8352057716975</v>
      </c>
      <c r="EX21" s="114">
        <v>6245.368198944223</v>
      </c>
      <c r="EY21" s="114">
        <v>3608.7388878983502</v>
      </c>
      <c r="EZ21" s="114">
        <v>5832.9459069292998</v>
      </c>
      <c r="FA21" s="114">
        <v>1121.8889255951383</v>
      </c>
      <c r="FB21" s="114">
        <v>6192.7575366157835</v>
      </c>
      <c r="FC21" s="114">
        <v>8999.736226278188</v>
      </c>
      <c r="FD21" s="114">
        <v>936.44843122186899</v>
      </c>
      <c r="FE21" s="114">
        <v>1245.1811024303483</v>
      </c>
      <c r="FF21" s="114">
        <v>5958.6637023227831</v>
      </c>
      <c r="FG21" s="114">
        <v>8780.3083109076269</v>
      </c>
      <c r="FH21" s="114">
        <v>7303.7839006144486</v>
      </c>
      <c r="FI21" s="114">
        <v>5425.6847624054826</v>
      </c>
      <c r="FJ21" s="114">
        <v>2731.3307335707491</v>
      </c>
      <c r="FK21" s="114">
        <v>2301.733857444488</v>
      </c>
      <c r="FL21" s="114">
        <v>6992.5690992235541</v>
      </c>
      <c r="FM21" s="114">
        <v>4271.633293026237</v>
      </c>
      <c r="FN21" s="114">
        <v>9013.8729956750703</v>
      </c>
      <c r="FO21" s="114">
        <v>849.94114982561803</v>
      </c>
      <c r="FP21" s="114">
        <v>1617.2475336920752</v>
      </c>
      <c r="FQ21" s="114">
        <v>2355.7036357162206</v>
      </c>
      <c r="FR21" s="114">
        <v>8065.2389124467663</v>
      </c>
      <c r="FS21" s="114">
        <v>3538.3477932685014</v>
      </c>
      <c r="FT21" s="114">
        <v>6802.4162468659842</v>
      </c>
      <c r="FU21" s="114">
        <v>7688.0388594522556</v>
      </c>
      <c r="FV21" s="114">
        <v>11276.173983563565</v>
      </c>
      <c r="FW21" s="114">
        <v>5777.7349686319849</v>
      </c>
      <c r="FX21" s="114">
        <v>8978.0833484771738</v>
      </c>
      <c r="FY21" s="114">
        <v>2312.3528824742111</v>
      </c>
      <c r="FZ21" s="114">
        <v>1601.0015052821686</v>
      </c>
      <c r="GA21" s="114">
        <v>2874.2357719179686</v>
      </c>
      <c r="GB21" s="114">
        <v>5946.8672703446255</v>
      </c>
      <c r="GC21" s="114">
        <v>412.20565047380717</v>
      </c>
      <c r="GD21" s="114">
        <v>3950.2772237514359</v>
      </c>
      <c r="GE21" s="114">
        <v>1857.6703245953406</v>
      </c>
      <c r="GF21" s="114">
        <v>9726.7373390139692</v>
      </c>
      <c r="GG21" s="114">
        <v>7132.4601820552352</v>
      </c>
      <c r="GH21" s="114">
        <v>6833.0895314686632</v>
      </c>
      <c r="GI21" s="114">
        <v>7451.1720288462002</v>
      </c>
      <c r="GJ21" s="114">
        <v>12623.725393359273</v>
      </c>
      <c r="GK21" s="114">
        <v>3372.7878923849826</v>
      </c>
      <c r="GL21" s="114">
        <v>9340.6105610384129</v>
      </c>
      <c r="GM21" s="114">
        <v>7369.953985241491</v>
      </c>
      <c r="GN21" s="114">
        <v>4491.097664249015</v>
      </c>
      <c r="GO21" s="114">
        <v>7650.6524226062638</v>
      </c>
      <c r="GP21" s="114">
        <v>7897.3338429136793</v>
      </c>
      <c r="GQ21" s="114">
        <v>8337.6587011845204</v>
      </c>
      <c r="GR21" s="114">
        <v>15126.011670495793</v>
      </c>
      <c r="GS21" s="114">
        <v>1487.3434184158955</v>
      </c>
      <c r="GT21" s="115">
        <v>8864.7429816121075</v>
      </c>
    </row>
    <row r="22" spans="2:202" x14ac:dyDescent="0.6">
      <c r="B22" s="106" t="s">
        <v>19</v>
      </c>
      <c r="C22" s="63" t="s">
        <v>301</v>
      </c>
      <c r="D22" s="113">
        <v>5435.7213093469427</v>
      </c>
      <c r="E22" s="114">
        <v>1569.3388627416971</v>
      </c>
      <c r="F22" s="114">
        <v>938.13796290932009</v>
      </c>
      <c r="G22" s="114">
        <v>6618.2475853875667</v>
      </c>
      <c r="H22" s="114">
        <v>6862.1281059789844</v>
      </c>
      <c r="I22" s="114">
        <v>11511.597577926159</v>
      </c>
      <c r="J22" s="114">
        <v>3295.3431221311753</v>
      </c>
      <c r="K22" s="114">
        <v>16754.451250297676</v>
      </c>
      <c r="L22" s="114">
        <v>909.05635056789617</v>
      </c>
      <c r="M22" s="114">
        <v>3654.3956111649813</v>
      </c>
      <c r="N22" s="114">
        <v>7296.4360128558219</v>
      </c>
      <c r="O22" s="114">
        <v>4741.7055738000545</v>
      </c>
      <c r="P22" s="114">
        <v>7749.4455503126164</v>
      </c>
      <c r="Q22" s="114">
        <v>7029.5698159778913</v>
      </c>
      <c r="R22" s="114">
        <v>1607.6500797779015</v>
      </c>
      <c r="S22" s="114" t="s">
        <v>237</v>
      </c>
      <c r="T22" s="114">
        <v>8715.955837350155</v>
      </c>
      <c r="U22" s="114">
        <v>4926.5257953443916</v>
      </c>
      <c r="V22" s="114">
        <v>7379.0550355853293</v>
      </c>
      <c r="W22" s="114">
        <v>10197.033275249289</v>
      </c>
      <c r="X22" s="114">
        <v>1315.0709788617849</v>
      </c>
      <c r="Y22" s="114">
        <v>8596.1403416491103</v>
      </c>
      <c r="Z22" s="114">
        <v>9627.4149368458911</v>
      </c>
      <c r="AA22" s="114">
        <v>9393.368573015423</v>
      </c>
      <c r="AB22" s="114">
        <v>11058.445971773053</v>
      </c>
      <c r="AC22" s="114">
        <v>1700.6526673343119</v>
      </c>
      <c r="AD22" s="114">
        <v>4294.8413255877331</v>
      </c>
      <c r="AE22" s="114">
        <v>6425.5090830542968</v>
      </c>
      <c r="AF22" s="114">
        <v>4656.6079089476125</v>
      </c>
      <c r="AG22" s="114">
        <v>9751.170439361551</v>
      </c>
      <c r="AH22" s="114">
        <v>5191.8734317252247</v>
      </c>
      <c r="AI22" s="114">
        <v>5270.0124411244487</v>
      </c>
      <c r="AJ22" s="114">
        <v>6031.4640716282956</v>
      </c>
      <c r="AK22" s="114">
        <v>5674.9861498430919</v>
      </c>
      <c r="AL22" s="114">
        <v>5313.4091047854754</v>
      </c>
      <c r="AM22" s="114">
        <v>4374.2994974000494</v>
      </c>
      <c r="AN22" s="114">
        <v>11827.990630754757</v>
      </c>
      <c r="AO22" s="114">
        <v>9041.561132196457</v>
      </c>
      <c r="AP22" s="114">
        <v>8014.2373356587559</v>
      </c>
      <c r="AQ22" s="114">
        <v>8802.8347972432293</v>
      </c>
      <c r="AR22" s="114">
        <v>7849.6026469333874</v>
      </c>
      <c r="AS22" s="114">
        <v>6189.7034744409475</v>
      </c>
      <c r="AT22" s="114">
        <v>6160.4120719227103</v>
      </c>
      <c r="AU22" s="114">
        <v>9064.9740356886341</v>
      </c>
      <c r="AV22" s="114">
        <v>5080.4672038250092</v>
      </c>
      <c r="AW22" s="114">
        <v>1011.1551685641449</v>
      </c>
      <c r="AX22" s="114">
        <v>7804.3661490946542</v>
      </c>
      <c r="AY22" s="114">
        <v>2893.3375109388012</v>
      </c>
      <c r="AZ22" s="114">
        <v>712.57878465043655</v>
      </c>
      <c r="BA22" s="114">
        <v>769.38662771768566</v>
      </c>
      <c r="BB22" s="114">
        <v>5581.5024318577471</v>
      </c>
      <c r="BC22" s="114">
        <v>6981.4252030764355</v>
      </c>
      <c r="BD22" s="114">
        <v>7310.7182460640452</v>
      </c>
      <c r="BE22" s="114">
        <v>6172.9986957910451</v>
      </c>
      <c r="BF22" s="114">
        <v>9495.2325803115673</v>
      </c>
      <c r="BG22" s="114">
        <v>3193.8177690954726</v>
      </c>
      <c r="BH22" s="114">
        <v>9092.5231663207505</v>
      </c>
      <c r="BI22" s="114">
        <v>5248.2941206243495</v>
      </c>
      <c r="BJ22" s="114">
        <v>4986.994355112708</v>
      </c>
      <c r="BK22" s="114">
        <v>1608.1097448796077</v>
      </c>
      <c r="BL22" s="114">
        <v>8927.6353683529087</v>
      </c>
      <c r="BM22" s="114">
        <v>5579.5557930088371</v>
      </c>
      <c r="BN22" s="114">
        <v>1685.4407055672295</v>
      </c>
      <c r="BO22" s="114">
        <v>266.46911617753074</v>
      </c>
      <c r="BP22" s="114">
        <v>5609.082417043277</v>
      </c>
      <c r="BQ22" s="114">
        <v>4540.603036845825</v>
      </c>
      <c r="BR22" s="114">
        <v>3228.0492600802354</v>
      </c>
      <c r="BS22" s="114">
        <v>657.37006765062699</v>
      </c>
      <c r="BT22" s="114">
        <v>595.63320626017833</v>
      </c>
      <c r="BU22" s="114">
        <v>320.60838584271988</v>
      </c>
      <c r="BV22" s="114">
        <v>5037.3346920741023</v>
      </c>
      <c r="BW22" s="114">
        <v>2094.0891553251563</v>
      </c>
      <c r="BX22" s="114">
        <v>7284.1767704812901</v>
      </c>
      <c r="BY22" s="114">
        <v>9084.6969771868789</v>
      </c>
      <c r="BZ22" s="114">
        <v>4863.753408030484</v>
      </c>
      <c r="CA22" s="114">
        <v>4698.6084866348874</v>
      </c>
      <c r="CB22" s="114">
        <v>7518.7569651389194</v>
      </c>
      <c r="CC22" s="114">
        <v>7486.9998515381067</v>
      </c>
      <c r="CD22" s="114">
        <v>8900.9600869169881</v>
      </c>
      <c r="CE22" s="114">
        <v>1140.0104609482969</v>
      </c>
      <c r="CF22" s="114">
        <v>2135.3636462684117</v>
      </c>
      <c r="CG22" s="114">
        <v>6884.6898795489178</v>
      </c>
      <c r="CH22" s="114">
        <v>6440.8177229187731</v>
      </c>
      <c r="CI22" s="114">
        <v>11390.684577381084</v>
      </c>
      <c r="CJ22" s="114">
        <v>4097.080792550666</v>
      </c>
      <c r="CK22" s="114">
        <v>3773.3569221041271</v>
      </c>
      <c r="CL22" s="114">
        <v>771.2896441471006</v>
      </c>
      <c r="CM22" s="114">
        <v>3835.0025217878615</v>
      </c>
      <c r="CN22" s="114">
        <v>1174.870640890493</v>
      </c>
      <c r="CO22" s="114">
        <v>672.08182042589124</v>
      </c>
      <c r="CP22" s="114">
        <v>7823.6276291323911</v>
      </c>
      <c r="CQ22" s="114">
        <v>9488.3138159205137</v>
      </c>
      <c r="CR22" s="114">
        <v>3324.0212866415263</v>
      </c>
      <c r="CS22" s="114">
        <v>4545.8778821899969</v>
      </c>
      <c r="CT22" s="114">
        <v>6509.7741322338725</v>
      </c>
      <c r="CU22" s="114">
        <v>4327.7506548436513</v>
      </c>
      <c r="CV22" s="114">
        <v>5242.586341170123</v>
      </c>
      <c r="CW22" s="114">
        <v>9062.5936932946242</v>
      </c>
      <c r="CX22" s="114">
        <v>1467.0313700215013</v>
      </c>
      <c r="CY22" s="114">
        <v>3150.3939586834053</v>
      </c>
      <c r="CZ22" s="114">
        <v>9148.0786511021033</v>
      </c>
      <c r="DA22" s="114">
        <v>5114.7040175483826</v>
      </c>
      <c r="DB22" s="114">
        <v>2131.6159093931215</v>
      </c>
      <c r="DC22" s="114">
        <v>533.63570923798613</v>
      </c>
      <c r="DD22" s="114">
        <v>1479.2564768406619</v>
      </c>
      <c r="DE22" s="114">
        <v>184.83943201371616</v>
      </c>
      <c r="DF22" s="114">
        <v>8759.1106721131946</v>
      </c>
      <c r="DG22" s="114">
        <v>7718.7663391896203</v>
      </c>
      <c r="DH22" s="114">
        <v>10248.928061155893</v>
      </c>
      <c r="DI22" s="114">
        <v>8196.4618533696539</v>
      </c>
      <c r="DJ22" s="114">
        <v>4376.9943555478303</v>
      </c>
      <c r="DK22" s="114">
        <v>1852.0820993213474</v>
      </c>
      <c r="DL22" s="114">
        <v>9411.3262115759371</v>
      </c>
      <c r="DM22" s="114">
        <v>9427.8592867227726</v>
      </c>
      <c r="DN22" s="114">
        <v>9269.8217495151239</v>
      </c>
      <c r="DO22" s="114">
        <v>1839.4606672659731</v>
      </c>
      <c r="DP22" s="114">
        <v>791.07189381294199</v>
      </c>
      <c r="DQ22" s="114">
        <v>6824.8103420871221</v>
      </c>
      <c r="DR22" s="114">
        <v>1456.1295698591421</v>
      </c>
      <c r="DS22" s="114">
        <v>2041.484929652069</v>
      </c>
      <c r="DT22" s="114">
        <v>8901.488078386732</v>
      </c>
      <c r="DU22" s="114">
        <v>8741.8557655223867</v>
      </c>
      <c r="DV22" s="114">
        <v>8199.3397995427767</v>
      </c>
      <c r="DW22" s="114">
        <v>7075.5858152903929</v>
      </c>
      <c r="DX22" s="114">
        <v>192.62171238787181</v>
      </c>
      <c r="DY22" s="114">
        <v>18321.798294344451</v>
      </c>
      <c r="DZ22" s="114">
        <v>18732.421331580972</v>
      </c>
      <c r="EA22" s="114">
        <v>9004.4761563906013</v>
      </c>
      <c r="EB22" s="114">
        <v>4145.4841919565597</v>
      </c>
      <c r="EC22" s="114">
        <v>4619.0349052397914</v>
      </c>
      <c r="ED22" s="114">
        <v>8517.6640891070474</v>
      </c>
      <c r="EE22" s="114">
        <v>1609.7686178964855</v>
      </c>
      <c r="EF22" s="114">
        <v>1079.8767779440186</v>
      </c>
      <c r="EG22" s="114">
        <v>5516.1257712223651</v>
      </c>
      <c r="EH22" s="114">
        <v>6002.7786068665482</v>
      </c>
      <c r="EI22" s="114">
        <v>5779.0742448929232</v>
      </c>
      <c r="EJ22" s="114">
        <v>8774.9399675088516</v>
      </c>
      <c r="EK22" s="114">
        <v>10343.239342525012</v>
      </c>
      <c r="EL22" s="114">
        <v>10424.477679932708</v>
      </c>
      <c r="EM22" s="114">
        <v>10554.244629091592</v>
      </c>
      <c r="EN22" s="114">
        <v>1177.8799619352358</v>
      </c>
      <c r="EO22" s="114">
        <v>1704.2053961964507</v>
      </c>
      <c r="EP22" s="114">
        <v>4890.6907601785751</v>
      </c>
      <c r="EQ22" s="114">
        <v>1779.5378660809993</v>
      </c>
      <c r="ER22" s="114">
        <v>2279.2563421066598</v>
      </c>
      <c r="ES22" s="114">
        <v>6291.402037546306</v>
      </c>
      <c r="ET22" s="114">
        <v>6899.3580862521585</v>
      </c>
      <c r="EU22" s="114">
        <v>7035.4637085926634</v>
      </c>
      <c r="EV22" s="114">
        <v>7149.9623267331572</v>
      </c>
      <c r="EW22" s="114">
        <v>986.16112786768758</v>
      </c>
      <c r="EX22" s="114">
        <v>5609.1404302882283</v>
      </c>
      <c r="EY22" s="114">
        <v>4625.1123424461312</v>
      </c>
      <c r="EZ22" s="114">
        <v>4464.0944170230923</v>
      </c>
      <c r="FA22" s="114">
        <v>1381.5046124643643</v>
      </c>
      <c r="FB22" s="114">
        <v>4959.9180386445296</v>
      </c>
      <c r="FC22" s="114">
        <v>10568.425122682474</v>
      </c>
      <c r="FD22" s="114">
        <v>968.71350287706707</v>
      </c>
      <c r="FE22" s="114">
        <v>897.66283603109321</v>
      </c>
      <c r="FF22" s="114">
        <v>6623.2882942947017</v>
      </c>
      <c r="FG22" s="114">
        <v>8767.0219769143696</v>
      </c>
      <c r="FH22" s="114">
        <v>8740.5254286840845</v>
      </c>
      <c r="FI22" s="114">
        <v>5681.832246941578</v>
      </c>
      <c r="FJ22" s="114">
        <v>1286.5887818199508</v>
      </c>
      <c r="FK22" s="114">
        <v>1026.6798324729489</v>
      </c>
      <c r="FL22" s="114">
        <v>8400.8227719442366</v>
      </c>
      <c r="FM22" s="114">
        <v>4655.9077274194233</v>
      </c>
      <c r="FN22" s="114">
        <v>7406.2318163474101</v>
      </c>
      <c r="FO22" s="114">
        <v>1305.034326026316</v>
      </c>
      <c r="FP22" s="114">
        <v>492.86796437425556</v>
      </c>
      <c r="FQ22" s="114">
        <v>3224.8103509854391</v>
      </c>
      <c r="FR22" s="114">
        <v>9613.686473373531</v>
      </c>
      <c r="FS22" s="114">
        <v>5110.2020751893187</v>
      </c>
      <c r="FT22" s="114">
        <v>7209.1646920894245</v>
      </c>
      <c r="FU22" s="114">
        <v>9280.398029716227</v>
      </c>
      <c r="FV22" s="114">
        <v>12883.451170970993</v>
      </c>
      <c r="FW22" s="114">
        <v>4947.2147285430383</v>
      </c>
      <c r="FX22" s="114">
        <v>7387.4509318087194</v>
      </c>
      <c r="FY22" s="114">
        <v>1627.576813607634</v>
      </c>
      <c r="FZ22" s="114">
        <v>2514.6180852820607</v>
      </c>
      <c r="GA22" s="114">
        <v>4361.4452002310845</v>
      </c>
      <c r="GB22" s="114">
        <v>6192.0183843332616</v>
      </c>
      <c r="GC22" s="114">
        <v>1838.2167557502444</v>
      </c>
      <c r="GD22" s="114">
        <v>5157.1855565853075</v>
      </c>
      <c r="GE22" s="114">
        <v>313.07163664692661</v>
      </c>
      <c r="GF22" s="114">
        <v>9052.2068568554259</v>
      </c>
      <c r="GG22" s="114">
        <v>5893.2807701546644</v>
      </c>
      <c r="GH22" s="114">
        <v>5587.2270793515854</v>
      </c>
      <c r="GI22" s="114">
        <v>6219.5678383206578</v>
      </c>
      <c r="GJ22" s="114">
        <v>11145.10619910676</v>
      </c>
      <c r="GK22" s="114">
        <v>4965.0953919838457</v>
      </c>
      <c r="GL22" s="114">
        <v>7769.0573964182777</v>
      </c>
      <c r="GM22" s="114">
        <v>8977.3258001042414</v>
      </c>
      <c r="GN22" s="114">
        <v>5291.9404082573892</v>
      </c>
      <c r="GO22" s="114">
        <v>7679.9878330289785</v>
      </c>
      <c r="GP22" s="114">
        <v>7997.0578738800814</v>
      </c>
      <c r="GQ22" s="114">
        <v>9940.134331101759</v>
      </c>
      <c r="GR22" s="114">
        <v>16731.799700453259</v>
      </c>
      <c r="GS22" s="114">
        <v>470.42084649172949</v>
      </c>
      <c r="GT22" s="115">
        <v>8846.3242098682495</v>
      </c>
    </row>
    <row r="23" spans="2:202" x14ac:dyDescent="0.6">
      <c r="B23" s="106" t="s">
        <v>20</v>
      </c>
      <c r="C23" s="63" t="s">
        <v>429</v>
      </c>
      <c r="D23" s="113">
        <v>13813.572391077323</v>
      </c>
      <c r="E23" s="114">
        <v>9004.1145875709317</v>
      </c>
      <c r="F23" s="114">
        <v>8701.8298864373901</v>
      </c>
      <c r="G23" s="114">
        <v>11494.172370849503</v>
      </c>
      <c r="H23" s="114">
        <v>2809.1880097596231</v>
      </c>
      <c r="I23" s="114">
        <v>6649.0535969385637</v>
      </c>
      <c r="J23" s="114">
        <v>11978.759858578589</v>
      </c>
      <c r="K23" s="114">
        <v>13868.554383632871</v>
      </c>
      <c r="L23" s="114">
        <v>9624.95789826082</v>
      </c>
      <c r="M23" s="114">
        <v>12281.314536707396</v>
      </c>
      <c r="N23" s="114">
        <v>1444.9757074985766</v>
      </c>
      <c r="O23" s="114">
        <v>13444.033989254085</v>
      </c>
      <c r="P23" s="114">
        <v>15496.75180010318</v>
      </c>
      <c r="Q23" s="114">
        <v>3143.6770026313757</v>
      </c>
      <c r="R23" s="114">
        <v>10058.071140267131</v>
      </c>
      <c r="S23" s="114">
        <v>8715.955837350155</v>
      </c>
      <c r="T23" s="114" t="s">
        <v>527</v>
      </c>
      <c r="U23" s="114">
        <v>9879.3530906515716</v>
      </c>
      <c r="V23" s="114">
        <v>15062.077438553881</v>
      </c>
      <c r="W23" s="114">
        <v>4321.7534753032505</v>
      </c>
      <c r="X23" s="114">
        <v>9969.6888069076504</v>
      </c>
      <c r="Y23" s="114">
        <v>13155.116416160137</v>
      </c>
      <c r="Z23" s="114">
        <v>6401.7062923601452</v>
      </c>
      <c r="AA23" s="114">
        <v>6627.9821376783184</v>
      </c>
      <c r="AB23" s="114">
        <v>16498.083788388638</v>
      </c>
      <c r="AC23" s="114">
        <v>10383.656165736798</v>
      </c>
      <c r="AD23" s="114">
        <v>9298.5893057685771</v>
      </c>
      <c r="AE23" s="114">
        <v>13027.493173633513</v>
      </c>
      <c r="AF23" s="114">
        <v>6911.1910794182313</v>
      </c>
      <c r="AG23" s="114">
        <v>16546.916966709003</v>
      </c>
      <c r="AH23" s="114">
        <v>10721.631632156808</v>
      </c>
      <c r="AI23" s="114">
        <v>10914.127897095908</v>
      </c>
      <c r="AJ23" s="114">
        <v>3065.4549261334796</v>
      </c>
      <c r="AK23" s="114">
        <v>3345.1847146671798</v>
      </c>
      <c r="AL23" s="114">
        <v>11625.316870096673</v>
      </c>
      <c r="AM23" s="114">
        <v>10944.108540347705</v>
      </c>
      <c r="AN23" s="114">
        <v>5919.927261794568</v>
      </c>
      <c r="AO23" s="114">
        <v>13764.897798702477</v>
      </c>
      <c r="AP23" s="114">
        <v>13213.615076862869</v>
      </c>
      <c r="AQ23" s="114">
        <v>2113.5066621512578</v>
      </c>
      <c r="AR23" s="114">
        <v>14758.159028364515</v>
      </c>
      <c r="AS23" s="114">
        <v>11594.470536094381</v>
      </c>
      <c r="AT23" s="114">
        <v>11566.324853015843</v>
      </c>
      <c r="AU23" s="114">
        <v>966.34787944050265</v>
      </c>
      <c r="AV23" s="114">
        <v>9225.8037530058264</v>
      </c>
      <c r="AW23" s="114">
        <v>9688.6202023957248</v>
      </c>
      <c r="AX23" s="114">
        <v>912.57128484717839</v>
      </c>
      <c r="AY23" s="114">
        <v>11546.065096302502</v>
      </c>
      <c r="AZ23" s="114">
        <v>9411.3181165916885</v>
      </c>
      <c r="BA23" s="114">
        <v>9093.2216377497025</v>
      </c>
      <c r="BB23" s="114">
        <v>13734.125080509162</v>
      </c>
      <c r="BC23" s="114">
        <v>2895.6771569728849</v>
      </c>
      <c r="BD23" s="114">
        <v>1984.5740720753288</v>
      </c>
      <c r="BE23" s="114">
        <v>11573.024066048867</v>
      </c>
      <c r="BF23" s="114">
        <v>2213.77251750904</v>
      </c>
      <c r="BG23" s="114">
        <v>11675.97790151136</v>
      </c>
      <c r="BH23" s="114">
        <v>428.98231947096701</v>
      </c>
      <c r="BI23" s="114">
        <v>10614.60526425189</v>
      </c>
      <c r="BJ23" s="114">
        <v>13164.950013486105</v>
      </c>
      <c r="BK23" s="114">
        <v>9596.5527642598117</v>
      </c>
      <c r="BL23" s="114">
        <v>13722.992071528926</v>
      </c>
      <c r="BM23" s="114">
        <v>13475.54247963387</v>
      </c>
      <c r="BN23" s="114">
        <v>9574.8237288065393</v>
      </c>
      <c r="BO23" s="114">
        <v>8622.4452767685525</v>
      </c>
      <c r="BP23" s="114">
        <v>10802.180990934101</v>
      </c>
      <c r="BQ23" s="114">
        <v>7683.6380429573874</v>
      </c>
      <c r="BR23" s="114">
        <v>11890.324440617689</v>
      </c>
      <c r="BS23" s="114">
        <v>9262.1655621105328</v>
      </c>
      <c r="BT23" s="114">
        <v>9301.8060563969429</v>
      </c>
      <c r="BU23" s="114">
        <v>9034.3580733610888</v>
      </c>
      <c r="BV23" s="114">
        <v>9645.7606742875269</v>
      </c>
      <c r="BW23" s="114">
        <v>10649.217641310905</v>
      </c>
      <c r="BX23" s="114">
        <v>2910.3148777636834</v>
      </c>
      <c r="BY23" s="114">
        <v>371.14771267729492</v>
      </c>
      <c r="BZ23" s="114">
        <v>8101.5177164822326</v>
      </c>
      <c r="CA23" s="114">
        <v>7832.8910659160711</v>
      </c>
      <c r="CB23" s="114">
        <v>3485.9215371180094</v>
      </c>
      <c r="CC23" s="114">
        <v>1709.4557555823369</v>
      </c>
      <c r="CD23" s="114">
        <v>369.53907437010554</v>
      </c>
      <c r="CE23" s="114">
        <v>9855.9356654956064</v>
      </c>
      <c r="CF23" s="114">
        <v>7171.6441535074509</v>
      </c>
      <c r="CG23" s="114">
        <v>15489.655621326785</v>
      </c>
      <c r="CH23" s="114">
        <v>14713.156419001827</v>
      </c>
      <c r="CI23" s="114">
        <v>17996.626795270156</v>
      </c>
      <c r="CJ23" s="114">
        <v>12779.464566452596</v>
      </c>
      <c r="CK23" s="114">
        <v>12486.653005144979</v>
      </c>
      <c r="CL23" s="114">
        <v>7967.9774881768008</v>
      </c>
      <c r="CM23" s="114">
        <v>5565.3116551703151</v>
      </c>
      <c r="CN23" s="114">
        <v>9596.6140955301526</v>
      </c>
      <c r="CO23" s="114">
        <v>9220.6238642577446</v>
      </c>
      <c r="CP23" s="114">
        <v>1253.8539549389734</v>
      </c>
      <c r="CQ23" s="114">
        <v>12260.93324370552</v>
      </c>
      <c r="CR23" s="114">
        <v>11938.141824383491</v>
      </c>
      <c r="CS23" s="114">
        <v>12166.634020709274</v>
      </c>
      <c r="CT23" s="114">
        <v>13724.600037696146</v>
      </c>
      <c r="CU23" s="114">
        <v>13037.042187603751</v>
      </c>
      <c r="CV23" s="114">
        <v>13143.594861087147</v>
      </c>
      <c r="CW23" s="114">
        <v>15979.543251468405</v>
      </c>
      <c r="CX23" s="114">
        <v>9715.7727715802484</v>
      </c>
      <c r="CY23" s="114">
        <v>11800.213145893476</v>
      </c>
      <c r="CZ23" s="114">
        <v>13376.027299799332</v>
      </c>
      <c r="DA23" s="114">
        <v>8515.6566388520059</v>
      </c>
      <c r="DB23" s="114">
        <v>10008.864755361805</v>
      </c>
      <c r="DC23" s="114">
        <v>9176.0193737802347</v>
      </c>
      <c r="DD23" s="114">
        <v>9890.7812689047405</v>
      </c>
      <c r="DE23" s="114">
        <v>8876.824399089699</v>
      </c>
      <c r="DF23" s="114">
        <v>15326.502603471192</v>
      </c>
      <c r="DG23" s="114">
        <v>13791.852880427476</v>
      </c>
      <c r="DH23" s="114">
        <v>17522.409257798055</v>
      </c>
      <c r="DI23" s="114">
        <v>16910.779400318392</v>
      </c>
      <c r="DJ23" s="114">
        <v>8639.0808175405746</v>
      </c>
      <c r="DK23" s="114">
        <v>9994.9605791209342</v>
      </c>
      <c r="DL23" s="114">
        <v>16382.361559138697</v>
      </c>
      <c r="DM23" s="114">
        <v>16403.198794236665</v>
      </c>
      <c r="DN23" s="114">
        <v>1162.5532826709855</v>
      </c>
      <c r="DO23" s="114">
        <v>10526.370773378047</v>
      </c>
      <c r="DP23" s="114">
        <v>9142.5085168023434</v>
      </c>
      <c r="DQ23" s="114">
        <v>12619.338997911917</v>
      </c>
      <c r="DR23" s="114">
        <v>10093.106581273652</v>
      </c>
      <c r="DS23" s="114">
        <v>8180.4196831796407</v>
      </c>
      <c r="DT23" s="114">
        <v>13844.13346823181</v>
      </c>
      <c r="DU23" s="114">
        <v>16243.23222673308</v>
      </c>
      <c r="DV23" s="114">
        <v>12258.964451242669</v>
      </c>
      <c r="DW23" s="114">
        <v>15003.225881846116</v>
      </c>
      <c r="DX23" s="114">
        <v>8695.4613587476306</v>
      </c>
      <c r="DY23" s="114">
        <v>11745.880976316679</v>
      </c>
      <c r="DZ23" s="114">
        <v>11854.618808980507</v>
      </c>
      <c r="EA23" s="114">
        <v>612.48223594997489</v>
      </c>
      <c r="EB23" s="114">
        <v>9612.5572383668532</v>
      </c>
      <c r="EC23" s="114">
        <v>10300.296776133278</v>
      </c>
      <c r="ED23" s="114">
        <v>12849.196655613108</v>
      </c>
      <c r="EE23" s="114">
        <v>10262.319806747362</v>
      </c>
      <c r="EF23" s="114">
        <v>8848.1318339786121</v>
      </c>
      <c r="EG23" s="114">
        <v>14231.685131372362</v>
      </c>
      <c r="EH23" s="114">
        <v>14628.608592271068</v>
      </c>
      <c r="EI23" s="114">
        <v>14054.417391669049</v>
      </c>
      <c r="EJ23" s="114">
        <v>1336.4314566491535</v>
      </c>
      <c r="EK23" s="114">
        <v>5777.0343531420376</v>
      </c>
      <c r="EL23" s="114">
        <v>3474.0459842177352</v>
      </c>
      <c r="EM23" s="114">
        <v>15254.041864059334</v>
      </c>
      <c r="EN23" s="114">
        <v>9756.9096612810699</v>
      </c>
      <c r="EO23" s="114">
        <v>7906.6789979972646</v>
      </c>
      <c r="EP23" s="114">
        <v>13593.044802237633</v>
      </c>
      <c r="EQ23" s="114">
        <v>10494.922377452322</v>
      </c>
      <c r="ER23" s="114">
        <v>10461.560242409205</v>
      </c>
      <c r="ES23" s="114">
        <v>13063.930445527531</v>
      </c>
      <c r="ET23" s="114">
        <v>2746.2632578428538</v>
      </c>
      <c r="EU23" s="114">
        <v>2986.9112961750334</v>
      </c>
      <c r="EV23" s="114">
        <v>2951.9272038973577</v>
      </c>
      <c r="EW23" s="114">
        <v>9522.0177006457307</v>
      </c>
      <c r="EX23" s="114">
        <v>10502.435046269626</v>
      </c>
      <c r="EY23" s="114">
        <v>13270.715270643414</v>
      </c>
      <c r="EZ23" s="114">
        <v>7562.9839262681544</v>
      </c>
      <c r="FA23" s="114">
        <v>10078.297090154661</v>
      </c>
      <c r="FB23" s="114">
        <v>8164.6377254473555</v>
      </c>
      <c r="FC23" s="114">
        <v>17563.244127675498</v>
      </c>
      <c r="FD23" s="114">
        <v>9684.1480009240986</v>
      </c>
      <c r="FE23" s="114">
        <v>9576.4715406402356</v>
      </c>
      <c r="FF23" s="114">
        <v>14494.009251071948</v>
      </c>
      <c r="FG23" s="114">
        <v>13422.826108006217</v>
      </c>
      <c r="FH23" s="114">
        <v>12945.257537160536</v>
      </c>
      <c r="FI23" s="114">
        <v>12976.300974365493</v>
      </c>
      <c r="FJ23" s="114">
        <v>8356.2144258841781</v>
      </c>
      <c r="FK23" s="114">
        <v>8793.8370975457165</v>
      </c>
      <c r="FL23" s="114">
        <v>17035.400095284389</v>
      </c>
      <c r="FM23" s="114">
        <v>12572.221971843623</v>
      </c>
      <c r="FN23" s="114">
        <v>3836.9789443399</v>
      </c>
      <c r="FO23" s="114">
        <v>9265.7624207161862</v>
      </c>
      <c r="FP23" s="114">
        <v>9044.1376984124945</v>
      </c>
      <c r="FQ23" s="114">
        <v>11881.308374649647</v>
      </c>
      <c r="FR23" s="114">
        <v>14314.468442261756</v>
      </c>
      <c r="FS23" s="114">
        <v>13384.334907165952</v>
      </c>
      <c r="FT23" s="114">
        <v>14217.020561003874</v>
      </c>
      <c r="FU23" s="114">
        <v>16480.724914896076</v>
      </c>
      <c r="FV23" s="114">
        <v>16245.79037757243</v>
      </c>
      <c r="FW23" s="114">
        <v>9755.0164421280497</v>
      </c>
      <c r="FX23" s="114">
        <v>2978.6361741270912</v>
      </c>
      <c r="FY23" s="114">
        <v>9603.5256677291709</v>
      </c>
      <c r="FZ23" s="114">
        <v>11221.397027936511</v>
      </c>
      <c r="GA23" s="114">
        <v>12915.964587709826</v>
      </c>
      <c r="GB23" s="114">
        <v>13235.73066203372</v>
      </c>
      <c r="GC23" s="114">
        <v>10419.918482525831</v>
      </c>
      <c r="GD23" s="114">
        <v>13868.799138250728</v>
      </c>
      <c r="GE23" s="114">
        <v>8404.7520621983022</v>
      </c>
      <c r="GF23" s="114">
        <v>3519.0183415295342</v>
      </c>
      <c r="GG23" s="114">
        <v>2954.1074295423555</v>
      </c>
      <c r="GH23" s="114">
        <v>3242.561237122613</v>
      </c>
      <c r="GI23" s="114">
        <v>2652.1774752591782</v>
      </c>
      <c r="GJ23" s="114">
        <v>6678.8616865216973</v>
      </c>
      <c r="GK23" s="114">
        <v>13118.200565529016</v>
      </c>
      <c r="GL23" s="114">
        <v>2468.3479921709527</v>
      </c>
      <c r="GM23" s="114">
        <v>15505.707463748122</v>
      </c>
      <c r="GN23" s="114">
        <v>13671.896764718029</v>
      </c>
      <c r="GO23" s="114">
        <v>13259.004804777147</v>
      </c>
      <c r="GP23" s="114">
        <v>13602.762633323506</v>
      </c>
      <c r="GQ23" s="114">
        <v>16495.514407623501</v>
      </c>
      <c r="GR23" s="114">
        <v>14032.106767634492</v>
      </c>
      <c r="GS23" s="114">
        <v>9110.8988442072623</v>
      </c>
      <c r="GT23" s="115">
        <v>13422.220109927797</v>
      </c>
    </row>
    <row r="24" spans="2:202" x14ac:dyDescent="0.6">
      <c r="B24" s="106" t="s">
        <v>21</v>
      </c>
      <c r="C24" s="63" t="s">
        <v>532</v>
      </c>
      <c r="D24" s="113">
        <v>7481.6564216138067</v>
      </c>
      <c r="E24" s="114">
        <v>3357.6471544689553</v>
      </c>
      <c r="F24" s="114">
        <v>4013.3783577913896</v>
      </c>
      <c r="G24" s="114">
        <v>2024.3120875079185</v>
      </c>
      <c r="H24" s="114">
        <v>7072.6802197184661</v>
      </c>
      <c r="I24" s="114">
        <v>8021.648737000296</v>
      </c>
      <c r="J24" s="114">
        <v>5616.2677480127431</v>
      </c>
      <c r="K24" s="114">
        <v>15555.601079584783</v>
      </c>
      <c r="L24" s="114">
        <v>4837.9273679387125</v>
      </c>
      <c r="M24" s="114">
        <v>6018.874171983759</v>
      </c>
      <c r="N24" s="114">
        <v>8671.2447203702195</v>
      </c>
      <c r="O24" s="114">
        <v>5528.9809668106964</v>
      </c>
      <c r="P24" s="114">
        <v>9513.1109666501561</v>
      </c>
      <c r="Q24" s="114">
        <v>6793.7155040263824</v>
      </c>
      <c r="R24" s="114">
        <v>5719.0436624709018</v>
      </c>
      <c r="S24" s="114">
        <v>4926.5257953443916</v>
      </c>
      <c r="T24" s="114">
        <v>9879.3530906515716</v>
      </c>
      <c r="U24" s="114" t="s">
        <v>237</v>
      </c>
      <c r="V24" s="114">
        <v>9397.8298379027419</v>
      </c>
      <c r="W24" s="114">
        <v>8145.873034219745</v>
      </c>
      <c r="X24" s="114">
        <v>4426.3214577865256</v>
      </c>
      <c r="Y24" s="114">
        <v>4234.1721405435501</v>
      </c>
      <c r="Z24" s="114">
        <v>6268.6305228881611</v>
      </c>
      <c r="AA24" s="114">
        <v>5919.5545540728654</v>
      </c>
      <c r="AB24" s="114">
        <v>12435.698571566525</v>
      </c>
      <c r="AC24" s="114">
        <v>4516.7874998088064</v>
      </c>
      <c r="AD24" s="114">
        <v>774.53281457944172</v>
      </c>
      <c r="AE24" s="114">
        <v>3149.260590880056</v>
      </c>
      <c r="AF24" s="114">
        <v>2976.4373591900826</v>
      </c>
      <c r="AG24" s="114">
        <v>11177.887369626358</v>
      </c>
      <c r="AH24" s="114">
        <v>842.35464231566743</v>
      </c>
      <c r="AI24" s="114">
        <v>1034.8166499571603</v>
      </c>
      <c r="AJ24" s="114">
        <v>8872.2846762778372</v>
      </c>
      <c r="AK24" s="114">
        <v>8565.1969476928989</v>
      </c>
      <c r="AL24" s="114">
        <v>1777.7858949792533</v>
      </c>
      <c r="AM24" s="114">
        <v>1486.265890510241</v>
      </c>
      <c r="AN24" s="114">
        <v>8814.9341670292215</v>
      </c>
      <c r="AO24" s="114">
        <v>12329.110613202853</v>
      </c>
      <c r="AP24" s="114">
        <v>11551.516526706326</v>
      </c>
      <c r="AQ24" s="114">
        <v>8457.1356704653626</v>
      </c>
      <c r="AR24" s="114">
        <v>4914.9613521291421</v>
      </c>
      <c r="AS24" s="114">
        <v>1851.2873354655128</v>
      </c>
      <c r="AT24" s="114">
        <v>1817.9570397031403</v>
      </c>
      <c r="AU24" s="114">
        <v>9504.5023816218909</v>
      </c>
      <c r="AV24" s="114">
        <v>719.67584232235549</v>
      </c>
      <c r="AW24" s="114">
        <v>4547.6802203617926</v>
      </c>
      <c r="AX24" s="114">
        <v>9190.0026276447788</v>
      </c>
      <c r="AY24" s="114">
        <v>4499.6371404210568</v>
      </c>
      <c r="AZ24" s="114">
        <v>4995.4564827937756</v>
      </c>
      <c r="BA24" s="114">
        <v>5539.261290206613</v>
      </c>
      <c r="BB24" s="114">
        <v>4402.6208324932841</v>
      </c>
      <c r="BC24" s="114">
        <v>7004.5050412325345</v>
      </c>
      <c r="BD24" s="114">
        <v>7894.8024956164754</v>
      </c>
      <c r="BE24" s="114">
        <v>1828.2635033739045</v>
      </c>
      <c r="BF24" s="114">
        <v>8989.1649131408813</v>
      </c>
      <c r="BG24" s="114">
        <v>4001.0270161274493</v>
      </c>
      <c r="BH24" s="114">
        <v>10010.742309494386</v>
      </c>
      <c r="BI24" s="114">
        <v>741.12930647961298</v>
      </c>
      <c r="BJ24" s="114">
        <v>4064.6410574229717</v>
      </c>
      <c r="BK24" s="114">
        <v>6184.4106083281422</v>
      </c>
      <c r="BL24" s="114">
        <v>4746.4396882650753</v>
      </c>
      <c r="BM24" s="114">
        <v>3978.1252741277181</v>
      </c>
      <c r="BN24" s="114">
        <v>6290.538549786449</v>
      </c>
      <c r="BO24" s="114">
        <v>4700.255542557079</v>
      </c>
      <c r="BP24" s="114">
        <v>1009.0816339831524</v>
      </c>
      <c r="BQ24" s="114">
        <v>2204.8111930117734</v>
      </c>
      <c r="BR24" s="114">
        <v>5706.2445842671659</v>
      </c>
      <c r="BS24" s="114">
        <v>5217.8540625297119</v>
      </c>
      <c r="BT24" s="114">
        <v>4739.8119258011848</v>
      </c>
      <c r="BU24" s="114">
        <v>4914.1964849674187</v>
      </c>
      <c r="BV24" s="114">
        <v>291.28131154740782</v>
      </c>
      <c r="BW24" s="114">
        <v>4083.9934462818751</v>
      </c>
      <c r="BX24" s="114">
        <v>7060.3961050962689</v>
      </c>
      <c r="BY24" s="114">
        <v>10118.162566377259</v>
      </c>
      <c r="BZ24" s="114">
        <v>1785.3107238098828</v>
      </c>
      <c r="CA24" s="114">
        <v>2046.5659020403727</v>
      </c>
      <c r="CB24" s="114">
        <v>6686.0074398950137</v>
      </c>
      <c r="CC24" s="114">
        <v>8170.0820383689161</v>
      </c>
      <c r="CD24" s="114">
        <v>9792.4758483694422</v>
      </c>
      <c r="CE24" s="114">
        <v>4832.86409999442</v>
      </c>
      <c r="CF24" s="114">
        <v>6713.3116744830686</v>
      </c>
      <c r="CG24" s="114">
        <v>7731.7831279746761</v>
      </c>
      <c r="CH24" s="114">
        <v>8184.7035920253447</v>
      </c>
      <c r="CI24" s="114">
        <v>11619.435904989294</v>
      </c>
      <c r="CJ24" s="114">
        <v>5943.1302207700319</v>
      </c>
      <c r="CK24" s="114">
        <v>5254.3957953796762</v>
      </c>
      <c r="CL24" s="114">
        <v>5281.6200659415181</v>
      </c>
      <c r="CM24" s="114">
        <v>4814.5276266075052</v>
      </c>
      <c r="CN24" s="114">
        <v>4046.098724388009</v>
      </c>
      <c r="CO24" s="114">
        <v>4411.384422297423</v>
      </c>
      <c r="CP24" s="114">
        <v>8625.5086485697466</v>
      </c>
      <c r="CQ24" s="114">
        <v>13570.095117683461</v>
      </c>
      <c r="CR24" s="114">
        <v>4444.8997630692529</v>
      </c>
      <c r="CS24" s="114">
        <v>8003.5508875497626</v>
      </c>
      <c r="CT24" s="114">
        <v>3869.3360877022974</v>
      </c>
      <c r="CU24" s="114">
        <v>5416.2637294760934</v>
      </c>
      <c r="CV24" s="114">
        <v>8071.5204056144494</v>
      </c>
      <c r="CW24" s="114">
        <v>10837.022142786185</v>
      </c>
      <c r="CX24" s="114">
        <v>5907.346906937074</v>
      </c>
      <c r="CY24" s="114">
        <v>4548.4610858983315</v>
      </c>
      <c r="CZ24" s="114">
        <v>4752.1579309674862</v>
      </c>
      <c r="DA24" s="114">
        <v>1424.8811702105163</v>
      </c>
      <c r="DB24" s="114">
        <v>3121.5330070405698</v>
      </c>
      <c r="DC24" s="114">
        <v>4589.7276333857371</v>
      </c>
      <c r="DD24" s="114">
        <v>5730.2267910616565</v>
      </c>
      <c r="DE24" s="114">
        <v>4809.3049572718737</v>
      </c>
      <c r="DF24" s="114">
        <v>5639.3553460423718</v>
      </c>
      <c r="DG24" s="114">
        <v>4099.5340004345899</v>
      </c>
      <c r="DH24" s="114">
        <v>10960.966761082716</v>
      </c>
      <c r="DI24" s="114">
        <v>7846.6057874482794</v>
      </c>
      <c r="DJ24" s="114">
        <v>1287.3654656533515</v>
      </c>
      <c r="DK24" s="114">
        <v>3478.3166269622802</v>
      </c>
      <c r="DL24" s="114">
        <v>6673.4036575033151</v>
      </c>
      <c r="DM24" s="114">
        <v>6695.2696161281219</v>
      </c>
      <c r="DN24" s="114">
        <v>10978.408002413227</v>
      </c>
      <c r="DO24" s="114">
        <v>5188.6173544970961</v>
      </c>
      <c r="DP24" s="114">
        <v>4199.3109702548736</v>
      </c>
      <c r="DQ24" s="114">
        <v>10557.661343912623</v>
      </c>
      <c r="DR24" s="114">
        <v>4354.5064906738653</v>
      </c>
      <c r="DS24" s="114">
        <v>3233.914458316719</v>
      </c>
      <c r="DT24" s="114">
        <v>4789.7916101697701</v>
      </c>
      <c r="DU24" s="114">
        <v>10212.235401370392</v>
      </c>
      <c r="DV24" s="114">
        <v>3554.2410472003107</v>
      </c>
      <c r="DW24" s="114">
        <v>8978.0003413924805</v>
      </c>
      <c r="DX24" s="114">
        <v>5118.6566386228387</v>
      </c>
      <c r="DY24" s="114">
        <v>16520.890779506604</v>
      </c>
      <c r="DZ24" s="114">
        <v>16047.088207126415</v>
      </c>
      <c r="EA24" s="114">
        <v>9713.8236072446307</v>
      </c>
      <c r="EB24" s="114">
        <v>783.80443832993558</v>
      </c>
      <c r="EC24" s="114">
        <v>624.40425140974583</v>
      </c>
      <c r="ED24" s="114">
        <v>12288.664251665443</v>
      </c>
      <c r="EE24" s="114">
        <v>4391.4980645459309</v>
      </c>
      <c r="EF24" s="114">
        <v>5968.0650400965706</v>
      </c>
      <c r="EG24" s="114">
        <v>6265.7834728098132</v>
      </c>
      <c r="EH24" s="114">
        <v>7164.6204004045194</v>
      </c>
      <c r="EI24" s="114">
        <v>7835.8335075180894</v>
      </c>
      <c r="EJ24" s="114">
        <v>8988.8052352009745</v>
      </c>
      <c r="EK24" s="114">
        <v>7330.8834174386984</v>
      </c>
      <c r="EL24" s="114">
        <v>9009.7671679742434</v>
      </c>
      <c r="EM24" s="114">
        <v>12865.05976264397</v>
      </c>
      <c r="EN24" s="114">
        <v>5380.2978272281853</v>
      </c>
      <c r="EO24" s="114">
        <v>3762.8320363262828</v>
      </c>
      <c r="EP24" s="114">
        <v>5605.2049136357527</v>
      </c>
      <c r="EQ24" s="114">
        <v>4815.9109553606868</v>
      </c>
      <c r="ER24" s="114">
        <v>6321.4376960151021</v>
      </c>
      <c r="ES24" s="114">
        <v>3187.1438098874955</v>
      </c>
      <c r="ET24" s="114">
        <v>7135.4881716338541</v>
      </c>
      <c r="EU24" s="114">
        <v>6932.3831401091084</v>
      </c>
      <c r="EV24" s="114">
        <v>6988.6620432991022</v>
      </c>
      <c r="EW24" s="114">
        <v>4260.8201233284753</v>
      </c>
      <c r="EX24" s="114">
        <v>811.60571902846937</v>
      </c>
      <c r="EY24" s="114">
        <v>5102.9142668986624</v>
      </c>
      <c r="EZ24" s="114">
        <v>2335.2538357395147</v>
      </c>
      <c r="FA24" s="114">
        <v>4598.8644477196613</v>
      </c>
      <c r="FB24" s="114">
        <v>1734.7660731766127</v>
      </c>
      <c r="FC24" s="114">
        <v>11250.56838129342</v>
      </c>
      <c r="FD24" s="114">
        <v>4858.2021621059466</v>
      </c>
      <c r="FE24" s="114">
        <v>4572.4995620247</v>
      </c>
      <c r="FF24" s="114">
        <v>4771.4591246557757</v>
      </c>
      <c r="FG24" s="114">
        <v>4484.9525418648373</v>
      </c>
      <c r="FH24" s="114">
        <v>12472.17998284354</v>
      </c>
      <c r="FI24" s="114">
        <v>3230.7389456844276</v>
      </c>
      <c r="FJ24" s="114">
        <v>3827.9186179991025</v>
      </c>
      <c r="FK24" s="114">
        <v>3909.1452022803792</v>
      </c>
      <c r="FL24" s="114">
        <v>8544.2411904096116</v>
      </c>
      <c r="FM24" s="114">
        <v>3416.8664150752252</v>
      </c>
      <c r="FN24" s="114">
        <v>6359.8262945317019</v>
      </c>
      <c r="FO24" s="114">
        <v>6038.5352855206311</v>
      </c>
      <c r="FP24" s="114">
        <v>4509.7322547157482</v>
      </c>
      <c r="FQ24" s="114">
        <v>4601.2296930260654</v>
      </c>
      <c r="FR24" s="114">
        <v>12579.027630142818</v>
      </c>
      <c r="FS24" s="114">
        <v>7498.3857546370491</v>
      </c>
      <c r="FT24" s="114">
        <v>4340.043584387764</v>
      </c>
      <c r="FU24" s="114">
        <v>10692.533006429956</v>
      </c>
      <c r="FV24" s="114">
        <v>13715.367439460186</v>
      </c>
      <c r="FW24" s="114">
        <v>135.76989492459461</v>
      </c>
      <c r="FX24" s="114">
        <v>7037.1350101201442</v>
      </c>
      <c r="FY24" s="114">
        <v>3455.6232339642056</v>
      </c>
      <c r="FZ24" s="114">
        <v>4775.7531142369917</v>
      </c>
      <c r="GA24" s="114">
        <v>6559.0725078303612</v>
      </c>
      <c r="GB24" s="114">
        <v>3382.7182707636402</v>
      </c>
      <c r="GC24" s="114">
        <v>5542.2445297784652</v>
      </c>
      <c r="GD24" s="114">
        <v>5867.8683158893109</v>
      </c>
      <c r="GE24" s="114">
        <v>5023.409344599102</v>
      </c>
      <c r="GF24" s="114">
        <v>12348.907260684708</v>
      </c>
      <c r="GG24" s="114">
        <v>8413.28010491022</v>
      </c>
      <c r="GH24" s="114">
        <v>8186.1789665559836</v>
      </c>
      <c r="GI24" s="114">
        <v>8660.0867113270815</v>
      </c>
      <c r="GJ24" s="114">
        <v>7618.712498138163</v>
      </c>
      <c r="GK24" s="114">
        <v>7609.4818349861789</v>
      </c>
      <c r="GL24" s="114">
        <v>7590.1871272285689</v>
      </c>
      <c r="GM24" s="114">
        <v>11102.256076607084</v>
      </c>
      <c r="GN24" s="114">
        <v>4665.3177274373547</v>
      </c>
      <c r="GO24" s="114">
        <v>3709.8260053071663</v>
      </c>
      <c r="GP24" s="114">
        <v>4097.4509295944799</v>
      </c>
      <c r="GQ24" s="114">
        <v>11416.101102849543</v>
      </c>
      <c r="GR24" s="114">
        <v>15330.041164939237</v>
      </c>
      <c r="GS24" s="114">
        <v>4612.3825019085407</v>
      </c>
      <c r="GT24" s="115">
        <v>4542.633170580636</v>
      </c>
    </row>
    <row r="25" spans="2:202" x14ac:dyDescent="0.6">
      <c r="B25" s="106" t="s">
        <v>22</v>
      </c>
      <c r="C25" s="63" t="s">
        <v>430</v>
      </c>
      <c r="D25" s="113">
        <v>2086.8831278522598</v>
      </c>
      <c r="E25" s="114">
        <v>7948.0451718621262</v>
      </c>
      <c r="F25" s="114">
        <v>7863.0472450717461</v>
      </c>
      <c r="G25" s="114">
        <v>9110.6538658822883</v>
      </c>
      <c r="H25" s="114">
        <v>14184.987850983891</v>
      </c>
      <c r="I25" s="114">
        <v>16975.217715623377</v>
      </c>
      <c r="J25" s="114">
        <v>4358.8446697417166</v>
      </c>
      <c r="K25" s="114">
        <v>9396.3550402527071</v>
      </c>
      <c r="L25" s="114">
        <v>6577.5217268901197</v>
      </c>
      <c r="M25" s="114">
        <v>3918.7730400813603</v>
      </c>
      <c r="N25" s="114">
        <v>14019.708769668145</v>
      </c>
      <c r="O25" s="114">
        <v>3875.2850227417639</v>
      </c>
      <c r="P25" s="114">
        <v>439.03988357256861</v>
      </c>
      <c r="Q25" s="114">
        <v>14402.432212313701</v>
      </c>
      <c r="R25" s="114">
        <v>5781.8604705832749</v>
      </c>
      <c r="S25" s="114">
        <v>7379.0550355853293</v>
      </c>
      <c r="T25" s="114">
        <v>15062.077438553881</v>
      </c>
      <c r="U25" s="114">
        <v>9397.8298379027419</v>
      </c>
      <c r="V25" s="114" t="s">
        <v>237</v>
      </c>
      <c r="W25" s="114">
        <v>17394.559788265233</v>
      </c>
      <c r="X25" s="114">
        <v>6496.0610549328039</v>
      </c>
      <c r="Y25" s="114">
        <v>8943.7337091929894</v>
      </c>
      <c r="Z25" s="114">
        <v>15608.058759292586</v>
      </c>
      <c r="AA25" s="114">
        <v>15247.446966860545</v>
      </c>
      <c r="AB25" s="114">
        <v>3708.5551766526823</v>
      </c>
      <c r="AC25" s="114">
        <v>6114.6185688950627</v>
      </c>
      <c r="AD25" s="114">
        <v>9464.1050396630253</v>
      </c>
      <c r="AE25" s="114">
        <v>7283.3873225208672</v>
      </c>
      <c r="AF25" s="114">
        <v>11378.422283998241</v>
      </c>
      <c r="AG25" s="114">
        <v>2372.2482387695823</v>
      </c>
      <c r="AH25" s="114">
        <v>8788.5443538905147</v>
      </c>
      <c r="AI25" s="114">
        <v>8653.8142792715807</v>
      </c>
      <c r="AJ25" s="114">
        <v>12037.594971601942</v>
      </c>
      <c r="AK25" s="114">
        <v>11800.322100414845</v>
      </c>
      <c r="AL25" s="114">
        <v>7926.4677332607098</v>
      </c>
      <c r="AM25" s="114">
        <v>7911.5641532563104</v>
      </c>
      <c r="AN25" s="114">
        <v>17974.905202508995</v>
      </c>
      <c r="AO25" s="114">
        <v>3124.214246457092</v>
      </c>
      <c r="AP25" s="114">
        <v>2815.2745692028329</v>
      </c>
      <c r="AQ25" s="114">
        <v>16072.591638426242</v>
      </c>
      <c r="AR25" s="114">
        <v>6589.0823620077945</v>
      </c>
      <c r="AS25" s="114">
        <v>8675.4510599629975</v>
      </c>
      <c r="AT25" s="114">
        <v>8681.3821730941982</v>
      </c>
      <c r="AU25" s="114">
        <v>15856.443438648525</v>
      </c>
      <c r="AV25" s="114">
        <v>10076.811730894366</v>
      </c>
      <c r="AW25" s="114">
        <v>6669.7606268131831</v>
      </c>
      <c r="AX25" s="114">
        <v>14340.984825661619</v>
      </c>
      <c r="AY25" s="114">
        <v>5345.1780565617973</v>
      </c>
      <c r="AZ25" s="114">
        <v>6692.4452434753885</v>
      </c>
      <c r="BA25" s="114">
        <v>6743.3323572703703</v>
      </c>
      <c r="BB25" s="114">
        <v>5242.9405815898499</v>
      </c>
      <c r="BC25" s="114">
        <v>14328.349044444729</v>
      </c>
      <c r="BD25" s="114">
        <v>14463.081876324904</v>
      </c>
      <c r="BE25" s="114">
        <v>8684.4107498401481</v>
      </c>
      <c r="BF25" s="114">
        <v>16725.956710911705</v>
      </c>
      <c r="BG25" s="114">
        <v>5635.2443580634736</v>
      </c>
      <c r="BH25" s="114">
        <v>15485.638461576393</v>
      </c>
      <c r="BI25" s="114">
        <v>8937.8021272787664</v>
      </c>
      <c r="BJ25" s="114">
        <v>5406.5786984683236</v>
      </c>
      <c r="BK25" s="114">
        <v>6014.183969266609</v>
      </c>
      <c r="BL25" s="114">
        <v>8623.6370495429856</v>
      </c>
      <c r="BM25" s="114">
        <v>5715.7950177933781</v>
      </c>
      <c r="BN25" s="114">
        <v>5995.8417942565911</v>
      </c>
      <c r="BO25" s="114">
        <v>7580.0336070767189</v>
      </c>
      <c r="BP25" s="114">
        <v>9026.4175532950103</v>
      </c>
      <c r="BQ25" s="114">
        <v>10843.237248054311</v>
      </c>
      <c r="BR25" s="114">
        <v>4357.5336784697747</v>
      </c>
      <c r="BS25" s="114">
        <v>6725.7990785293559</v>
      </c>
      <c r="BT25" s="114">
        <v>6916.9016042478288</v>
      </c>
      <c r="BU25" s="114">
        <v>7080.3969245258422</v>
      </c>
      <c r="BV25" s="114">
        <v>9686.6636803610363</v>
      </c>
      <c r="BW25" s="114">
        <v>6171.8789695027745</v>
      </c>
      <c r="BX25" s="114">
        <v>14647.636400701847</v>
      </c>
      <c r="BY25" s="114">
        <v>15377.009724346683</v>
      </c>
      <c r="BZ25" s="114">
        <v>10788.642506173079</v>
      </c>
      <c r="CA25" s="114">
        <v>10856.417971171684</v>
      </c>
      <c r="CB25" s="114">
        <v>14887.289732135741</v>
      </c>
      <c r="CC25" s="114">
        <v>14561.135066463927</v>
      </c>
      <c r="CD25" s="114">
        <v>15401.369696200238</v>
      </c>
      <c r="CE25" s="114">
        <v>6378.591710267593</v>
      </c>
      <c r="CF25" s="114">
        <v>8242.5397568684857</v>
      </c>
      <c r="CG25" s="114">
        <v>1922.3874283688688</v>
      </c>
      <c r="CH25" s="114">
        <v>1216.5409593539166</v>
      </c>
      <c r="CI25" s="114">
        <v>4137.1118453067138</v>
      </c>
      <c r="CJ25" s="114">
        <v>3708.4488526226578</v>
      </c>
      <c r="CK25" s="114">
        <v>4352.4554153297713</v>
      </c>
      <c r="CL25" s="114">
        <v>7962.5547830040632</v>
      </c>
      <c r="CM25" s="114">
        <v>11209.416869544664</v>
      </c>
      <c r="CN25" s="114">
        <v>7019.1508780492877</v>
      </c>
      <c r="CO25" s="114">
        <v>7158.241188989944</v>
      </c>
      <c r="CP25" s="114">
        <v>14754.099075870838</v>
      </c>
      <c r="CQ25" s="114">
        <v>4807.6061336758457</v>
      </c>
      <c r="CR25" s="114">
        <v>5191.8756824808024</v>
      </c>
      <c r="CS25" s="114">
        <v>3054.3110605321713</v>
      </c>
      <c r="CT25" s="114">
        <v>6481.5036216287372</v>
      </c>
      <c r="CU25" s="114">
        <v>4042.9272653969874</v>
      </c>
      <c r="CV25" s="114">
        <v>2169.0738330547456</v>
      </c>
      <c r="CW25" s="114">
        <v>1705.0412454006027</v>
      </c>
      <c r="CX25" s="114">
        <v>6011.133121959655</v>
      </c>
      <c r="CY25" s="114">
        <v>5179.5760907472177</v>
      </c>
      <c r="CZ25" s="114">
        <v>9120.9160736949998</v>
      </c>
      <c r="DA25" s="114">
        <v>10663.577115218633</v>
      </c>
      <c r="DB25" s="114">
        <v>7225.4522078820883</v>
      </c>
      <c r="DC25" s="114">
        <v>7107.7721980263677</v>
      </c>
      <c r="DD25" s="114">
        <v>5926.0876496223327</v>
      </c>
      <c r="DE25" s="114">
        <v>7280.3945418997928</v>
      </c>
      <c r="DF25" s="114">
        <v>6827.5518495781107</v>
      </c>
      <c r="DG25" s="114">
        <v>7582.6969413168554</v>
      </c>
      <c r="DH25" s="114">
        <v>2977.7148661919932</v>
      </c>
      <c r="DI25" s="114">
        <v>3108.5077398415956</v>
      </c>
      <c r="DJ25" s="114">
        <v>10056.800774779505</v>
      </c>
      <c r="DK25" s="114">
        <v>7018.7047471865671</v>
      </c>
      <c r="DL25" s="114">
        <v>6306.4832563646714</v>
      </c>
      <c r="DM25" s="114">
        <v>6300.449643081688</v>
      </c>
      <c r="DN25" s="114">
        <v>14762.009171452679</v>
      </c>
      <c r="DO25" s="114">
        <v>5639.460587232239</v>
      </c>
      <c r="DP25" s="114">
        <v>7342.1495274394083</v>
      </c>
      <c r="DQ25" s="114">
        <v>2746.1924438796382</v>
      </c>
      <c r="DR25" s="114">
        <v>6434.5816711788893</v>
      </c>
      <c r="DS25" s="114">
        <v>8880.4243351773803</v>
      </c>
      <c r="DT25" s="114">
        <v>8483.9382970988463</v>
      </c>
      <c r="DU25" s="114">
        <v>1393.2398408701069</v>
      </c>
      <c r="DV25" s="114">
        <v>9536.4194540140288</v>
      </c>
      <c r="DW25" s="114">
        <v>419.90641759150452</v>
      </c>
      <c r="DX25" s="114">
        <v>7309.3974514402789</v>
      </c>
      <c r="DY25" s="114">
        <v>11402.57350767432</v>
      </c>
      <c r="DZ25" s="114">
        <v>11573.266882362072</v>
      </c>
      <c r="EA25" s="114">
        <v>15612.26218996466</v>
      </c>
      <c r="EB25" s="114">
        <v>9082.441874816639</v>
      </c>
      <c r="EC25" s="114">
        <v>8774.607197325844</v>
      </c>
      <c r="ED25" s="114">
        <v>3555.3550431288431</v>
      </c>
      <c r="EE25" s="114">
        <v>6279.3822730292595</v>
      </c>
      <c r="EF25" s="114">
        <v>6807.3842990416879</v>
      </c>
      <c r="EG25" s="114">
        <v>3146.8451113684687</v>
      </c>
      <c r="EH25" s="114">
        <v>2246.3366378800201</v>
      </c>
      <c r="EI25" s="114">
        <v>1706.0820868127798</v>
      </c>
      <c r="EJ25" s="114">
        <v>15797.982238133669</v>
      </c>
      <c r="EK25" s="114">
        <v>16698.420839553535</v>
      </c>
      <c r="EL25" s="114">
        <v>17802.906320994894</v>
      </c>
      <c r="EM25" s="114">
        <v>3564.7211119947774</v>
      </c>
      <c r="EN25" s="114">
        <v>6201.2117928884554</v>
      </c>
      <c r="EO25" s="114">
        <v>8844.0304122961024</v>
      </c>
      <c r="EP25" s="114">
        <v>3793.3321399046149</v>
      </c>
      <c r="EQ25" s="114">
        <v>5862.7242644479065</v>
      </c>
      <c r="ER25" s="114">
        <v>5171.4959603704719</v>
      </c>
      <c r="ES25" s="114">
        <v>7110.1441731861805</v>
      </c>
      <c r="ET25" s="114">
        <v>14213.787699227289</v>
      </c>
      <c r="EU25" s="114">
        <v>14396.197689223463</v>
      </c>
      <c r="EV25" s="114">
        <v>14512.217861057437</v>
      </c>
      <c r="EW25" s="114">
        <v>6967.0199020714399</v>
      </c>
      <c r="EX25" s="114">
        <v>9317.0896874984082</v>
      </c>
      <c r="EY25" s="114">
        <v>4296.7697334039613</v>
      </c>
      <c r="EZ25" s="114">
        <v>10865.865508772407</v>
      </c>
      <c r="FA25" s="114">
        <v>6313.538729872058</v>
      </c>
      <c r="FB25" s="114">
        <v>10811.570725246509</v>
      </c>
      <c r="FC25" s="114">
        <v>3267.6878688044158</v>
      </c>
      <c r="FD25" s="114">
        <v>6515.2323706552024</v>
      </c>
      <c r="FE25" s="114">
        <v>6754.9107504825124</v>
      </c>
      <c r="FF25" s="114">
        <v>5476.1968059682986</v>
      </c>
      <c r="FG25" s="114">
        <v>8803.4893521336671</v>
      </c>
      <c r="FH25" s="114">
        <v>3628.7731459283459</v>
      </c>
      <c r="FI25" s="114">
        <v>6600.1124335018012</v>
      </c>
      <c r="FJ25" s="114">
        <v>8317.7411613150998</v>
      </c>
      <c r="FK25" s="114">
        <v>7831.1823906968548</v>
      </c>
      <c r="FL25" s="114">
        <v>2482.1173852905904</v>
      </c>
      <c r="FM25" s="114">
        <v>6013.4915394594782</v>
      </c>
      <c r="FN25" s="114">
        <v>14741.324512326508</v>
      </c>
      <c r="FO25" s="114">
        <v>6380.3946115182143</v>
      </c>
      <c r="FP25" s="114">
        <v>7271.2554892176258</v>
      </c>
      <c r="FQ25" s="114">
        <v>5102.8090809587702</v>
      </c>
      <c r="FR25" s="114">
        <v>3206.2348965041651</v>
      </c>
      <c r="FS25" s="114">
        <v>2302.6039548215058</v>
      </c>
      <c r="FT25" s="114">
        <v>6591.909657151903</v>
      </c>
      <c r="FU25" s="114">
        <v>1909.1634274378639</v>
      </c>
      <c r="FV25" s="114">
        <v>5528.5660915635308</v>
      </c>
      <c r="FW25" s="114">
        <v>9525.0761335537827</v>
      </c>
      <c r="FX25" s="114">
        <v>14758.93249584506</v>
      </c>
      <c r="FY25" s="114">
        <v>7350.7547602870591</v>
      </c>
      <c r="FZ25" s="114">
        <v>5362.3739785100415</v>
      </c>
      <c r="GA25" s="114">
        <v>3198.8564245041916</v>
      </c>
      <c r="GB25" s="114">
        <v>6791.8581067917912</v>
      </c>
      <c r="GC25" s="114">
        <v>5550.6645665878432</v>
      </c>
      <c r="GD25" s="114">
        <v>3531.6135951229894</v>
      </c>
      <c r="GE25" s="114">
        <v>7639.3939206785726</v>
      </c>
      <c r="GF25" s="114">
        <v>12594.171396401931</v>
      </c>
      <c r="GG25" s="114">
        <v>12260.860382884652</v>
      </c>
      <c r="GH25" s="114">
        <v>12014.295741524886</v>
      </c>
      <c r="GI25" s="114">
        <v>12519.075290795648</v>
      </c>
      <c r="GJ25" s="114">
        <v>16650.78923335352</v>
      </c>
      <c r="GK25" s="114">
        <v>2414.6711831826169</v>
      </c>
      <c r="GL25" s="114">
        <v>15097.460502153062</v>
      </c>
      <c r="GM25" s="114">
        <v>1768.6320585029362</v>
      </c>
      <c r="GN25" s="114">
        <v>4843.4160192502868</v>
      </c>
      <c r="GO25" s="114">
        <v>8127.4848079487483</v>
      </c>
      <c r="GP25" s="114">
        <v>8023.594483411267</v>
      </c>
      <c r="GQ25" s="114">
        <v>2566.536632017318</v>
      </c>
      <c r="GR25" s="114">
        <v>9356.2029939886361</v>
      </c>
      <c r="GS25" s="114">
        <v>7156.7796851508147</v>
      </c>
      <c r="GT25" s="115">
        <v>8861.7615734006795</v>
      </c>
    </row>
    <row r="26" spans="2:202" x14ac:dyDescent="0.6">
      <c r="B26" s="106" t="s">
        <v>23</v>
      </c>
      <c r="C26" s="63" t="s">
        <v>554</v>
      </c>
      <c r="D26" s="113">
        <v>15309.700797386444</v>
      </c>
      <c r="E26" s="114">
        <v>9474.0209586446581</v>
      </c>
      <c r="F26" s="114">
        <v>9613.3866657252529</v>
      </c>
      <c r="G26" s="114">
        <v>8817.4372171268587</v>
      </c>
      <c r="H26" s="114">
        <v>3768.0093996240012</v>
      </c>
      <c r="I26" s="114">
        <v>2374.0220665688121</v>
      </c>
      <c r="J26" s="114">
        <v>13050.972669223203</v>
      </c>
      <c r="K26" s="114">
        <v>13076.606350910948</v>
      </c>
      <c r="L26" s="114">
        <v>10929.928817368738</v>
      </c>
      <c r="M26" s="114">
        <v>13494.907178644729</v>
      </c>
      <c r="N26" s="114">
        <v>4691.6136197119749</v>
      </c>
      <c r="O26" s="114">
        <v>13588.223237383159</v>
      </c>
      <c r="P26" s="114">
        <v>17616.235421094887</v>
      </c>
      <c r="Q26" s="114">
        <v>3393.2701746520938</v>
      </c>
      <c r="R26" s="114">
        <v>11802.701941513977</v>
      </c>
      <c r="S26" s="114">
        <v>10197.033275249289</v>
      </c>
      <c r="T26" s="114">
        <v>4321.7534753032505</v>
      </c>
      <c r="U26" s="114">
        <v>8145.873034219745</v>
      </c>
      <c r="V26" s="114">
        <v>17394.559788265233</v>
      </c>
      <c r="W26" s="114" t="s">
        <v>237</v>
      </c>
      <c r="X26" s="114">
        <v>10953.326425656718</v>
      </c>
      <c r="Y26" s="114">
        <v>9628.1284949261717</v>
      </c>
      <c r="Z26" s="114">
        <v>2385.0610267429306</v>
      </c>
      <c r="AA26" s="114">
        <v>2712.0555377452456</v>
      </c>
      <c r="AB26" s="114">
        <v>18672.958623621016</v>
      </c>
      <c r="AC26" s="114">
        <v>11318.885735275982</v>
      </c>
      <c r="AD26" s="114">
        <v>7992.034150689974</v>
      </c>
      <c r="AE26" s="114">
        <v>10684.925937616252</v>
      </c>
      <c r="AF26" s="114">
        <v>6016.4465904848148</v>
      </c>
      <c r="AG26" s="114">
        <v>19049.95684699226</v>
      </c>
      <c r="AH26" s="114">
        <v>8837.2351886707183</v>
      </c>
      <c r="AI26" s="114">
        <v>8993.6981976166589</v>
      </c>
      <c r="AJ26" s="114">
        <v>6759.2222300923577</v>
      </c>
      <c r="AK26" s="114">
        <v>6875.025811929645</v>
      </c>
      <c r="AL26" s="114">
        <v>9760.793447418142</v>
      </c>
      <c r="AM26" s="114">
        <v>9618.7392686252952</v>
      </c>
      <c r="AN26" s="114">
        <v>1908.7786098581162</v>
      </c>
      <c r="AO26" s="114">
        <v>18084.262318238743</v>
      </c>
      <c r="AP26" s="114">
        <v>17385.383429640126</v>
      </c>
      <c r="AQ26" s="114">
        <v>2374.3384020102817</v>
      </c>
      <c r="AR26" s="114">
        <v>11856.706898741721</v>
      </c>
      <c r="AS26" s="114">
        <v>9171.27401058533</v>
      </c>
      <c r="AT26" s="114">
        <v>9157.813416073388</v>
      </c>
      <c r="AU26" s="114">
        <v>3356.7894877412909</v>
      </c>
      <c r="AV26" s="114">
        <v>7441.206406864344</v>
      </c>
      <c r="AW26" s="114">
        <v>10805.346733626207</v>
      </c>
      <c r="AX26" s="114">
        <v>4629.8143891615318</v>
      </c>
      <c r="AY26" s="114">
        <v>12049.451023959109</v>
      </c>
      <c r="AZ26" s="114">
        <v>10847.573092601851</v>
      </c>
      <c r="BA26" s="114">
        <v>10896.859026503878</v>
      </c>
      <c r="BB26" s="114">
        <v>12494.836548413279</v>
      </c>
      <c r="BC26" s="114">
        <v>3571.8188389884126</v>
      </c>
      <c r="BD26" s="114">
        <v>3839.6911044186586</v>
      </c>
      <c r="BE26" s="114">
        <v>9157.681484601444</v>
      </c>
      <c r="BF26" s="114">
        <v>2109.2440255818451</v>
      </c>
      <c r="BG26" s="114">
        <v>11769.59161553931</v>
      </c>
      <c r="BH26" s="114">
        <v>4019.9812372412216</v>
      </c>
      <c r="BI26" s="114">
        <v>8689.8604186321427</v>
      </c>
      <c r="BJ26" s="114">
        <v>12208.513719250732</v>
      </c>
      <c r="BK26" s="114">
        <v>11695.223563140995</v>
      </c>
      <c r="BL26" s="114">
        <v>10097.374801628102</v>
      </c>
      <c r="BM26" s="114">
        <v>12038.588286042796</v>
      </c>
      <c r="BN26" s="114">
        <v>11736.600629724797</v>
      </c>
      <c r="BO26" s="114">
        <v>9972.2157172181087</v>
      </c>
      <c r="BP26" s="114">
        <v>8666.6591207717483</v>
      </c>
      <c r="BQ26" s="114">
        <v>6559.53888905029</v>
      </c>
      <c r="BR26" s="114">
        <v>13062.183019052214</v>
      </c>
      <c r="BS26" s="114">
        <v>10853.700164462909</v>
      </c>
      <c r="BT26" s="114">
        <v>10600.78877093118</v>
      </c>
      <c r="BU26" s="114">
        <v>10474.646553559331</v>
      </c>
      <c r="BV26" s="114">
        <v>7854.6021067317461</v>
      </c>
      <c r="BW26" s="114">
        <v>11231.058574900902</v>
      </c>
      <c r="BX26" s="114">
        <v>3218.684192284094</v>
      </c>
      <c r="BY26" s="114">
        <v>4181.0057235074401</v>
      </c>
      <c r="BZ26" s="114">
        <v>6643.6236504028066</v>
      </c>
      <c r="CA26" s="114">
        <v>6556.2090521528135</v>
      </c>
      <c r="CB26" s="114">
        <v>2752.7218183915197</v>
      </c>
      <c r="CC26" s="114">
        <v>3873.4308343525577</v>
      </c>
      <c r="CD26" s="114">
        <v>3961.0584891941157</v>
      </c>
      <c r="CE26" s="114">
        <v>11112.811399874266</v>
      </c>
      <c r="CF26" s="114">
        <v>9767.8871965180442</v>
      </c>
      <c r="CG26" s="114">
        <v>15876.344549294632</v>
      </c>
      <c r="CH26" s="114">
        <v>16207.422420782566</v>
      </c>
      <c r="CI26" s="114">
        <v>17463.725349446479</v>
      </c>
      <c r="CJ26" s="114">
        <v>13686.1271483978</v>
      </c>
      <c r="CK26" s="114">
        <v>13045.465174285609</v>
      </c>
      <c r="CL26" s="114">
        <v>9707.9190342492711</v>
      </c>
      <c r="CM26" s="114">
        <v>6384.6320644121424</v>
      </c>
      <c r="CN26" s="114">
        <v>10422.067779590576</v>
      </c>
      <c r="CO26" s="114">
        <v>10330.600895343325</v>
      </c>
      <c r="CP26" s="114">
        <v>3912.5340758885427</v>
      </c>
      <c r="CQ26" s="114">
        <v>16508.738032052624</v>
      </c>
      <c r="CR26" s="114">
        <v>12209.129568352066</v>
      </c>
      <c r="CS26" s="114">
        <v>14728.104335606231</v>
      </c>
      <c r="CT26" s="114">
        <v>11525.346917640883</v>
      </c>
      <c r="CU26" s="114">
        <v>13379.919690968743</v>
      </c>
      <c r="CV26" s="114">
        <v>15414.544308750397</v>
      </c>
      <c r="CW26" s="114">
        <v>18982.330761265272</v>
      </c>
      <c r="CX26" s="114">
        <v>11636.279834509402</v>
      </c>
      <c r="CY26" s="114">
        <v>12216.103881129129</v>
      </c>
      <c r="CZ26" s="114">
        <v>9643.4291003280923</v>
      </c>
      <c r="DA26" s="114">
        <v>6809.8471611152663</v>
      </c>
      <c r="DB26" s="114">
        <v>10170.17512697928</v>
      </c>
      <c r="DC26" s="114">
        <v>10401.305205814091</v>
      </c>
      <c r="DD26" s="114">
        <v>11675.923573233074</v>
      </c>
      <c r="DE26" s="114">
        <v>10271.1781478424</v>
      </c>
      <c r="DF26" s="114">
        <v>11961.375655920658</v>
      </c>
      <c r="DG26" s="114">
        <v>10770.993437326728</v>
      </c>
      <c r="DH26" s="114">
        <v>18159.397271012578</v>
      </c>
      <c r="DI26" s="114">
        <v>15585.85006377542</v>
      </c>
      <c r="DJ26" s="114">
        <v>7374.5754198934528</v>
      </c>
      <c r="DK26" s="114">
        <v>10383.392107525644</v>
      </c>
      <c r="DL26" s="114">
        <v>12814.881844618596</v>
      </c>
      <c r="DM26" s="114">
        <v>12829.384674223918</v>
      </c>
      <c r="DN26" s="114">
        <v>5194.7504502285228</v>
      </c>
      <c r="DO26" s="114">
        <v>11838.598092432348</v>
      </c>
      <c r="DP26" s="114">
        <v>10131.505116852917</v>
      </c>
      <c r="DQ26" s="114">
        <v>16458.506502900553</v>
      </c>
      <c r="DR26" s="114">
        <v>11003.396523232675</v>
      </c>
      <c r="DS26" s="114">
        <v>8551.0043482895653</v>
      </c>
      <c r="DT26" s="114">
        <v>10238.206078292507</v>
      </c>
      <c r="DU26" s="114">
        <v>18339.898711713893</v>
      </c>
      <c r="DV26" s="114">
        <v>8845.8262539168081</v>
      </c>
      <c r="DW26" s="114">
        <v>16997.594716746789</v>
      </c>
      <c r="DX26" s="114">
        <v>10294.588818552018</v>
      </c>
      <c r="DY26" s="114">
        <v>11180.02726202395</v>
      </c>
      <c r="DZ26" s="114">
        <v>10966.49568885478</v>
      </c>
      <c r="EA26" s="114">
        <v>3719.8134541769441</v>
      </c>
      <c r="EB26" s="114">
        <v>8376.8065300375129</v>
      </c>
      <c r="EC26" s="114">
        <v>8758.2091005743696</v>
      </c>
      <c r="ED26" s="114">
        <v>17155.68974297541</v>
      </c>
      <c r="EE26" s="114">
        <v>11152.498041092629</v>
      </c>
      <c r="EF26" s="114">
        <v>10927.53336722498</v>
      </c>
      <c r="EG26" s="114">
        <v>14386.856406658177</v>
      </c>
      <c r="EH26" s="114">
        <v>15270.92525140993</v>
      </c>
      <c r="EI26" s="114">
        <v>15690.929847545951</v>
      </c>
      <c r="EJ26" s="114">
        <v>3059.0585605210008</v>
      </c>
      <c r="EK26" s="114">
        <v>1496.0270166956593</v>
      </c>
      <c r="EL26" s="114">
        <v>1067.1261130166154</v>
      </c>
      <c r="EM26" s="114">
        <v>19018.883527730781</v>
      </c>
      <c r="EN26" s="114">
        <v>11361.859297714052</v>
      </c>
      <c r="EO26" s="114">
        <v>8632.6945568908177</v>
      </c>
      <c r="EP26" s="114">
        <v>13686.940855635474</v>
      </c>
      <c r="EQ26" s="114">
        <v>11585.19835855814</v>
      </c>
      <c r="ER26" s="114">
        <v>12470.359134505738</v>
      </c>
      <c r="ES26" s="114">
        <v>10826.409824193766</v>
      </c>
      <c r="ET26" s="114">
        <v>3762.2508353836606</v>
      </c>
      <c r="EU26" s="114">
        <v>3460.3958509529598</v>
      </c>
      <c r="EV26" s="114">
        <v>3347.6501074030666</v>
      </c>
      <c r="EW26" s="114">
        <v>10493.171991669189</v>
      </c>
      <c r="EX26" s="114">
        <v>8356.2187662092074</v>
      </c>
      <c r="EY26" s="114">
        <v>13184.185417361201</v>
      </c>
      <c r="EZ26" s="114">
        <v>6532.5141670924659</v>
      </c>
      <c r="FA26" s="114">
        <v>11142.863414298039</v>
      </c>
      <c r="FB26" s="114">
        <v>6629.6155717586007</v>
      </c>
      <c r="FC26" s="114">
        <v>18141.710056711559</v>
      </c>
      <c r="FD26" s="114">
        <v>10990.391097243266</v>
      </c>
      <c r="FE26" s="114">
        <v>10729.0674296082</v>
      </c>
      <c r="FF26" s="114">
        <v>12561.398399423178</v>
      </c>
      <c r="FG26" s="114">
        <v>9842.5844936756694</v>
      </c>
      <c r="FH26" s="114">
        <v>17264.294163736275</v>
      </c>
      <c r="FI26" s="114">
        <v>11189.892098250733</v>
      </c>
      <c r="FJ26" s="114">
        <v>9154.2266890645242</v>
      </c>
      <c r="FK26" s="114">
        <v>9633.0720650605435</v>
      </c>
      <c r="FL26" s="114">
        <v>16381.674931282889</v>
      </c>
      <c r="FM26" s="114">
        <v>11562.549662340603</v>
      </c>
      <c r="FN26" s="114">
        <v>2805.005166291397</v>
      </c>
      <c r="FO26" s="114">
        <v>11332.396996543859</v>
      </c>
      <c r="FP26" s="114">
        <v>10236.793369070216</v>
      </c>
      <c r="FQ26" s="114">
        <v>12293.434789135274</v>
      </c>
      <c r="FR26" s="114">
        <v>18610.311250330946</v>
      </c>
      <c r="FS26" s="114">
        <v>15130.205966145015</v>
      </c>
      <c r="FT26" s="114">
        <v>11629.770858326834</v>
      </c>
      <c r="FU26" s="114">
        <v>18731.492575228636</v>
      </c>
      <c r="FV26" s="114">
        <v>16918.171900541904</v>
      </c>
      <c r="FW26" s="114">
        <v>8013.3437146837659</v>
      </c>
      <c r="FX26" s="114">
        <v>3073.1161059714113</v>
      </c>
      <c r="FY26" s="114">
        <v>10059.937444829835</v>
      </c>
      <c r="FZ26" s="114">
        <v>12045.138904882258</v>
      </c>
      <c r="GA26" s="114">
        <v>14205.570148671424</v>
      </c>
      <c r="GB26" s="114">
        <v>11123.866308681674</v>
      </c>
      <c r="GC26" s="114">
        <v>11975.819068361212</v>
      </c>
      <c r="GD26" s="114">
        <v>13970.801980716815</v>
      </c>
      <c r="GE26" s="114">
        <v>9967.8840806731514</v>
      </c>
      <c r="GF26" s="114">
        <v>7704.4767305214727</v>
      </c>
      <c r="GG26" s="114">
        <v>6357.7499196825293</v>
      </c>
      <c r="GH26" s="114">
        <v>6518.6477198952998</v>
      </c>
      <c r="GI26" s="114">
        <v>6197.5732667313596</v>
      </c>
      <c r="GJ26" s="114">
        <v>2360.2143540616157</v>
      </c>
      <c r="GK26" s="114">
        <v>15072.975586759074</v>
      </c>
      <c r="GL26" s="114">
        <v>2951.5978987289968</v>
      </c>
      <c r="GM26" s="114">
        <v>19151.829842270905</v>
      </c>
      <c r="GN26" s="114">
        <v>12805.347056665103</v>
      </c>
      <c r="GO26" s="114">
        <v>10182.671756557465</v>
      </c>
      <c r="GP26" s="114">
        <v>10400.572258275246</v>
      </c>
      <c r="GQ26" s="114">
        <v>19189.279783700331</v>
      </c>
      <c r="GR26" s="114">
        <v>13081.297811381575</v>
      </c>
      <c r="GS26" s="114">
        <v>10358.427304148177</v>
      </c>
      <c r="GT26" s="115">
        <v>9809.3265660509333</v>
      </c>
    </row>
    <row r="27" spans="2:202" x14ac:dyDescent="0.6">
      <c r="B27" s="106" t="s">
        <v>24</v>
      </c>
      <c r="C27" s="63" t="s">
        <v>431</v>
      </c>
      <c r="D27" s="113">
        <v>4446.8462544385402</v>
      </c>
      <c r="E27" s="114">
        <v>1511.9466249955854</v>
      </c>
      <c r="F27" s="114">
        <v>1383.6384805471703</v>
      </c>
      <c r="G27" s="114">
        <v>5807.3663662831032</v>
      </c>
      <c r="H27" s="114">
        <v>7919.8381519048153</v>
      </c>
      <c r="I27" s="114">
        <v>11873.777811357866</v>
      </c>
      <c r="J27" s="114">
        <v>2182.9642115138945</v>
      </c>
      <c r="K27" s="114">
        <v>15835.041933188866</v>
      </c>
      <c r="L27" s="114">
        <v>535.31554518302642</v>
      </c>
      <c r="M27" s="114">
        <v>2599.469776500202</v>
      </c>
      <c r="N27" s="114">
        <v>8535.1584035116884</v>
      </c>
      <c r="O27" s="114">
        <v>3474.4318221262788</v>
      </c>
      <c r="P27" s="114">
        <v>6822.1369524579204</v>
      </c>
      <c r="Q27" s="114">
        <v>8015.1195351046854</v>
      </c>
      <c r="R27" s="114">
        <v>1293.7373761924316</v>
      </c>
      <c r="S27" s="114">
        <v>1315.0709788617849</v>
      </c>
      <c r="T27" s="114">
        <v>9969.6888069076504</v>
      </c>
      <c r="U27" s="114">
        <v>4426.3214577865256</v>
      </c>
      <c r="V27" s="114">
        <v>6496.0610549328039</v>
      </c>
      <c r="W27" s="114">
        <v>10953.326425656718</v>
      </c>
      <c r="X27" s="114" t="s">
        <v>237</v>
      </c>
      <c r="Y27" s="114">
        <v>7594.7500767042729</v>
      </c>
      <c r="Z27" s="114">
        <v>9964.3832845991437</v>
      </c>
      <c r="AA27" s="114">
        <v>9680.0821121931276</v>
      </c>
      <c r="AB27" s="114">
        <v>10202.353278846473</v>
      </c>
      <c r="AC27" s="114">
        <v>419.00127086726786</v>
      </c>
      <c r="AD27" s="114">
        <v>3960.5787423855536</v>
      </c>
      <c r="AE27" s="114">
        <v>5304.4326018699358</v>
      </c>
      <c r="AF27" s="114">
        <v>5047.9642929741658</v>
      </c>
      <c r="AG27" s="114">
        <v>8842.1110434850871</v>
      </c>
      <c r="AH27" s="114">
        <v>4469.1190575300516</v>
      </c>
      <c r="AI27" s="114">
        <v>4501.8564531955872</v>
      </c>
      <c r="AJ27" s="114">
        <v>7344.8379700095702</v>
      </c>
      <c r="AK27" s="114">
        <v>6987.6556458865007</v>
      </c>
      <c r="AL27" s="114">
        <v>4368.8576437695865</v>
      </c>
      <c r="AM27" s="114">
        <v>3511.4740481484778</v>
      </c>
      <c r="AN27" s="114">
        <v>12376.161510634225</v>
      </c>
      <c r="AO27" s="114">
        <v>8624.6375888431066</v>
      </c>
      <c r="AP27" s="114">
        <v>7652.8652316544585</v>
      </c>
      <c r="AQ27" s="114">
        <v>9857.1916252155061</v>
      </c>
      <c r="AR27" s="114">
        <v>6607.9204714988145</v>
      </c>
      <c r="AS27" s="114">
        <v>5328.6176132733817</v>
      </c>
      <c r="AT27" s="114">
        <v>5303.3511801001277</v>
      </c>
      <c r="AU27" s="114">
        <v>10248.71244308333</v>
      </c>
      <c r="AV27" s="114">
        <v>4773.402331242386</v>
      </c>
      <c r="AW27" s="114">
        <v>305.96344302891316</v>
      </c>
      <c r="AX27" s="114">
        <v>9057.253766973321</v>
      </c>
      <c r="AY27" s="114">
        <v>1589.6433495261163</v>
      </c>
      <c r="AZ27" s="114">
        <v>788.27239789881105</v>
      </c>
      <c r="BA27" s="114">
        <v>1388.3601548076688</v>
      </c>
      <c r="BB27" s="114">
        <v>4279.7183352040311</v>
      </c>
      <c r="BC27" s="114">
        <v>8012.3923543804649</v>
      </c>
      <c r="BD27" s="114">
        <v>8450.0010381565025</v>
      </c>
      <c r="BE27" s="114">
        <v>5315.3874812544227</v>
      </c>
      <c r="BF27" s="114">
        <v>10551.478524248341</v>
      </c>
      <c r="BG27" s="114">
        <v>1885.3976540046485</v>
      </c>
      <c r="BH27" s="114">
        <v>10331.89017656059</v>
      </c>
      <c r="BI27" s="114">
        <v>4558.2853571935611</v>
      </c>
      <c r="BJ27" s="114">
        <v>3691.1856540911513</v>
      </c>
      <c r="BK27" s="114">
        <v>1796.4741941806906</v>
      </c>
      <c r="BL27" s="114">
        <v>7859.7947065352264</v>
      </c>
      <c r="BM27" s="114">
        <v>4305.0876124409078</v>
      </c>
      <c r="BN27" s="114">
        <v>1904.393596860524</v>
      </c>
      <c r="BO27" s="114">
        <v>1354.8610907398941</v>
      </c>
      <c r="BP27" s="114">
        <v>4893.8199899494257</v>
      </c>
      <c r="BQ27" s="114">
        <v>4712.5125017635482</v>
      </c>
      <c r="BR27" s="114">
        <v>2155.5341668766541</v>
      </c>
      <c r="BS27" s="114">
        <v>1044.6318052315253</v>
      </c>
      <c r="BT27" s="114">
        <v>728.23265156001526</v>
      </c>
      <c r="BU27" s="114">
        <v>1032.0255298530406</v>
      </c>
      <c r="BV27" s="114">
        <v>4608.5082270592866</v>
      </c>
      <c r="BW27" s="114">
        <v>792.89103763081641</v>
      </c>
      <c r="BX27" s="114">
        <v>8286.4593035060407</v>
      </c>
      <c r="BY27" s="114">
        <v>10335.0134140017</v>
      </c>
      <c r="BZ27" s="114">
        <v>4889.3205464108423</v>
      </c>
      <c r="CA27" s="114">
        <v>4813.5529612879209</v>
      </c>
      <c r="CB27" s="114">
        <v>8413.4350651143595</v>
      </c>
      <c r="CC27" s="114">
        <v>8647.6439890121073</v>
      </c>
      <c r="CD27" s="114">
        <v>10132.61920035492</v>
      </c>
      <c r="CE27" s="114">
        <v>423.71078147578169</v>
      </c>
      <c r="CF27" s="114">
        <v>3378.2025844975492</v>
      </c>
      <c r="CG27" s="114">
        <v>5732.4144217748108</v>
      </c>
      <c r="CH27" s="114">
        <v>5440.112577239981</v>
      </c>
      <c r="CI27" s="114">
        <v>10324.00386097774</v>
      </c>
      <c r="CJ27" s="114">
        <v>2952.3305225872627</v>
      </c>
      <c r="CK27" s="114">
        <v>2529.2330797446348</v>
      </c>
      <c r="CL27" s="114">
        <v>2085.223693884368</v>
      </c>
      <c r="CM27" s="114">
        <v>4793.1352797846012</v>
      </c>
      <c r="CN27" s="114">
        <v>536.28495176279318</v>
      </c>
      <c r="CO27" s="114">
        <v>750.73415817078683</v>
      </c>
      <c r="CP27" s="114">
        <v>9012.4073764076547</v>
      </c>
      <c r="CQ27" s="114">
        <v>9408.3105639521928</v>
      </c>
      <c r="CR27" s="114">
        <v>2012.8005596463086</v>
      </c>
      <c r="CS27" s="114">
        <v>3995.7036454955878</v>
      </c>
      <c r="CT27" s="114">
        <v>5290.537033763223</v>
      </c>
      <c r="CU27" s="114">
        <v>3070.8481985316512</v>
      </c>
      <c r="CV27" s="114">
        <v>4479.955712537494</v>
      </c>
      <c r="CW27" s="114">
        <v>8201.0687205532795</v>
      </c>
      <c r="CX27" s="114">
        <v>1503.8725588759478</v>
      </c>
      <c r="CY27" s="114">
        <v>1846.9819311848235</v>
      </c>
      <c r="CZ27" s="114">
        <v>8136.2795614493007</v>
      </c>
      <c r="DA27" s="114">
        <v>5011.0268894080364</v>
      </c>
      <c r="DB27" s="114">
        <v>1307.3513955825206</v>
      </c>
      <c r="DC27" s="114">
        <v>803.47765761426876</v>
      </c>
      <c r="DD27" s="114">
        <v>1307.8021351823984</v>
      </c>
      <c r="DE27" s="114">
        <v>1134.734898330956</v>
      </c>
      <c r="DF27" s="114">
        <v>7511.0081761330011</v>
      </c>
      <c r="DG27" s="114">
        <v>6580.6353979118794</v>
      </c>
      <c r="DH27" s="114">
        <v>9218.0312060950382</v>
      </c>
      <c r="DI27" s="114">
        <v>6942.5987767148963</v>
      </c>
      <c r="DJ27" s="114">
        <v>4257.71136424617</v>
      </c>
      <c r="DK27" s="114">
        <v>949.49644850773848</v>
      </c>
      <c r="DL27" s="114">
        <v>8117.9309281410742</v>
      </c>
      <c r="DM27" s="114">
        <v>8133.9098233028599</v>
      </c>
      <c r="DN27" s="114">
        <v>10570.579972927602</v>
      </c>
      <c r="DO27" s="114">
        <v>915.13598359051332</v>
      </c>
      <c r="DP27" s="114">
        <v>871.80536947632356</v>
      </c>
      <c r="DQ27" s="114">
        <v>6505.0640578955627</v>
      </c>
      <c r="DR27" s="114">
        <v>145.11919467812177</v>
      </c>
      <c r="DS27" s="114">
        <v>2406.1337059733146</v>
      </c>
      <c r="DT27" s="114">
        <v>7816.6761377812618</v>
      </c>
      <c r="DU27" s="114">
        <v>7795.2772216511421</v>
      </c>
      <c r="DV27" s="114">
        <v>7325.4711033722051</v>
      </c>
      <c r="DW27" s="114">
        <v>6147.4970936177051</v>
      </c>
      <c r="DX27" s="114">
        <v>1404.6205336474759</v>
      </c>
      <c r="DY27" s="114">
        <v>17895.684271082147</v>
      </c>
      <c r="DZ27" s="114">
        <v>18044.332570371698</v>
      </c>
      <c r="EA27" s="114">
        <v>10219.084978369541</v>
      </c>
      <c r="EB27" s="114">
        <v>3702.7385614938366</v>
      </c>
      <c r="EC27" s="114">
        <v>3977.0234091565007</v>
      </c>
      <c r="ED27" s="114">
        <v>8270.6036545835286</v>
      </c>
      <c r="EE27" s="114">
        <v>296.89888118931918</v>
      </c>
      <c r="EF27" s="114">
        <v>1859.4815491296188</v>
      </c>
      <c r="EG27" s="114">
        <v>4284.0049889296251</v>
      </c>
      <c r="EH27" s="114">
        <v>4858.7429659410018</v>
      </c>
      <c r="EI27" s="114">
        <v>4815.6158751329931</v>
      </c>
      <c r="EJ27" s="114">
        <v>9917.617872642455</v>
      </c>
      <c r="EK27" s="114">
        <v>10827.578563006722</v>
      </c>
      <c r="EL27" s="114">
        <v>11343.72059517112</v>
      </c>
      <c r="EM27" s="114">
        <v>9903.2969492182365</v>
      </c>
      <c r="EN27" s="114">
        <v>978.80774583380105</v>
      </c>
      <c r="EO27" s="114">
        <v>2354.4286975714699</v>
      </c>
      <c r="EP27" s="114">
        <v>3623.39947223434</v>
      </c>
      <c r="EQ27" s="114">
        <v>633.46713253632049</v>
      </c>
      <c r="ER27" s="114">
        <v>1935.2957995987945</v>
      </c>
      <c r="ES27" s="114">
        <v>5151.8566363320033</v>
      </c>
      <c r="ET27" s="114">
        <v>7963.4731266285908</v>
      </c>
      <c r="EU27" s="114">
        <v>8046.3609641136009</v>
      </c>
      <c r="EV27" s="114">
        <v>8156.4672736011507</v>
      </c>
      <c r="EW27" s="114">
        <v>480.3513653694493</v>
      </c>
      <c r="EX27" s="114">
        <v>4970.1445219032139</v>
      </c>
      <c r="EY27" s="114">
        <v>3326.8291782309875</v>
      </c>
      <c r="EZ27" s="114">
        <v>4679.702516553145</v>
      </c>
      <c r="FA27" s="114">
        <v>200.86071550814017</v>
      </c>
      <c r="FB27" s="114">
        <v>4962.5704988450661</v>
      </c>
      <c r="FC27" s="114">
        <v>9546.0587405542756</v>
      </c>
      <c r="FD27" s="114">
        <v>517.53910728584003</v>
      </c>
      <c r="FE27" s="114">
        <v>417.91661187697133</v>
      </c>
      <c r="FF27" s="114">
        <v>5329.6643551133466</v>
      </c>
      <c r="FG27" s="114">
        <v>7733.8962715714079</v>
      </c>
      <c r="FH27" s="114">
        <v>8484.0109872470439</v>
      </c>
      <c r="FI27" s="114">
        <v>4494.291707661936</v>
      </c>
      <c r="FJ27" s="114">
        <v>1828.0854850871779</v>
      </c>
      <c r="FK27" s="114">
        <v>1338.7679947273305</v>
      </c>
      <c r="FL27" s="114">
        <v>7208.0244077506068</v>
      </c>
      <c r="FM27" s="114">
        <v>3409.6026310495108</v>
      </c>
      <c r="FN27" s="114">
        <v>8247.9396881598459</v>
      </c>
      <c r="FO27" s="114">
        <v>1743.6069701700153</v>
      </c>
      <c r="FP27" s="114">
        <v>925.91850966064544</v>
      </c>
      <c r="FQ27" s="114">
        <v>1924.3024183147304</v>
      </c>
      <c r="FR27" s="114">
        <v>9111.5664996398118</v>
      </c>
      <c r="FS27" s="114">
        <v>4194.0617831270438</v>
      </c>
      <c r="FT27" s="114">
        <v>5983.8246934550561</v>
      </c>
      <c r="FU27" s="114">
        <v>8346.1316289808801</v>
      </c>
      <c r="FV27" s="114">
        <v>12012.678348997546</v>
      </c>
      <c r="FW27" s="114">
        <v>4484.1006747017982</v>
      </c>
      <c r="FX27" s="114">
        <v>8371.5061916924024</v>
      </c>
      <c r="FY27" s="114">
        <v>1043.5049446549017</v>
      </c>
      <c r="FZ27" s="114">
        <v>1264.9654975585522</v>
      </c>
      <c r="GA27" s="114">
        <v>3329.6589174765518</v>
      </c>
      <c r="GB27" s="114">
        <v>5014.8942775617415</v>
      </c>
      <c r="GC27" s="114">
        <v>1181.574624379587</v>
      </c>
      <c r="GD27" s="114">
        <v>3902.6163572979654</v>
      </c>
      <c r="GE27" s="114">
        <v>1622.9623869094103</v>
      </c>
      <c r="GF27" s="114">
        <v>10327.7734717726</v>
      </c>
      <c r="GG27" s="114">
        <v>7193.8431758100278</v>
      </c>
      <c r="GH27" s="114">
        <v>6887.781540881123</v>
      </c>
      <c r="GI27" s="114">
        <v>7520.2837890263036</v>
      </c>
      <c r="GJ27" s="114">
        <v>11479.717431664949</v>
      </c>
      <c r="GK27" s="114">
        <v>4119.6703653612885</v>
      </c>
      <c r="GL27" s="114">
        <v>8804.8159496004264</v>
      </c>
      <c r="GM27" s="114">
        <v>8200.0038310655364</v>
      </c>
      <c r="GN27" s="114">
        <v>3978.0320155585728</v>
      </c>
      <c r="GO27" s="114">
        <v>6615.5611786474856</v>
      </c>
      <c r="GP27" s="114">
        <v>6901.1883304089051</v>
      </c>
      <c r="GQ27" s="114">
        <v>9051.0068513763308</v>
      </c>
      <c r="GR27" s="114">
        <v>15755.216126927922</v>
      </c>
      <c r="GS27" s="114">
        <v>870.10522711503745</v>
      </c>
      <c r="GT27" s="115">
        <v>7816.5358801207949</v>
      </c>
    </row>
    <row r="28" spans="2:202" x14ac:dyDescent="0.6">
      <c r="B28" s="106" t="s">
        <v>25</v>
      </c>
      <c r="C28" s="63" t="s">
        <v>432</v>
      </c>
      <c r="D28" s="113">
        <v>7985.1165060377934</v>
      </c>
      <c r="E28" s="114">
        <v>7168.0450418800347</v>
      </c>
      <c r="F28" s="114">
        <v>7829.9455258844564</v>
      </c>
      <c r="G28" s="114">
        <v>2210.0877471304671</v>
      </c>
      <c r="H28" s="114">
        <v>10533.925203051222</v>
      </c>
      <c r="I28" s="114">
        <v>8054.9766146340489</v>
      </c>
      <c r="J28" s="114">
        <v>7435.6757228446477</v>
      </c>
      <c r="K28" s="114">
        <v>11339.339640883341</v>
      </c>
      <c r="L28" s="114">
        <v>8123.2587345586353</v>
      </c>
      <c r="M28" s="114">
        <v>7615.1912622242698</v>
      </c>
      <c r="N28" s="114">
        <v>12336.972327405894</v>
      </c>
      <c r="O28" s="114">
        <v>6217.3924187271796</v>
      </c>
      <c r="P28" s="114">
        <v>8773.3557170692129</v>
      </c>
      <c r="Q28" s="114">
        <v>10097.784497303102</v>
      </c>
      <c r="R28" s="114">
        <v>8671.4753790101113</v>
      </c>
      <c r="S28" s="114">
        <v>8596.1403416491103</v>
      </c>
      <c r="T28" s="114">
        <v>13155.116416160137</v>
      </c>
      <c r="U28" s="114">
        <v>4234.1721405435501</v>
      </c>
      <c r="V28" s="114">
        <v>8943.7337091929894</v>
      </c>
      <c r="W28" s="114">
        <v>9628.1284949261717</v>
      </c>
      <c r="X28" s="114">
        <v>7594.7500767042729</v>
      </c>
      <c r="Y28" s="114" t="s">
        <v>237</v>
      </c>
      <c r="Z28" s="114">
        <v>7243.4528180073376</v>
      </c>
      <c r="AA28" s="114">
        <v>6925.4671805742346</v>
      </c>
      <c r="AB28" s="114">
        <v>10157.850836568727</v>
      </c>
      <c r="AC28" s="114">
        <v>7442.9196391816085</v>
      </c>
      <c r="AD28" s="114">
        <v>5007.1169792095679</v>
      </c>
      <c r="AE28" s="114">
        <v>2398.7873989136629</v>
      </c>
      <c r="AF28" s="114">
        <v>6885.950044463536</v>
      </c>
      <c r="AG28" s="114">
        <v>9432.9372579905776</v>
      </c>
      <c r="AH28" s="114">
        <v>3603.7687628111275</v>
      </c>
      <c r="AI28" s="114">
        <v>3467.4104618059941</v>
      </c>
      <c r="AJ28" s="114">
        <v>13023.789905609481</v>
      </c>
      <c r="AK28" s="114">
        <v>12742.230081505399</v>
      </c>
      <c r="AL28" s="114">
        <v>3283.3585596609323</v>
      </c>
      <c r="AM28" s="114">
        <v>4235.4107481578103</v>
      </c>
      <c r="AN28" s="114">
        <v>9063.1656085130817</v>
      </c>
      <c r="AO28" s="114">
        <v>11911.415394661339</v>
      </c>
      <c r="AP28" s="114">
        <v>11757.726093852858</v>
      </c>
      <c r="AQ28" s="114">
        <v>11175.062029891656</v>
      </c>
      <c r="AR28" s="114">
        <v>2355.116201514671</v>
      </c>
      <c r="AS28" s="114">
        <v>2492.288532317898</v>
      </c>
      <c r="AT28" s="114">
        <v>2525.3385975864589</v>
      </c>
      <c r="AU28" s="114">
        <v>12419.870280892968</v>
      </c>
      <c r="AV28" s="114">
        <v>4608.7296770828189</v>
      </c>
      <c r="AW28" s="114">
        <v>7843.5737810812143</v>
      </c>
      <c r="AX28" s="114">
        <v>12755.854180774366</v>
      </c>
      <c r="AY28" s="114">
        <v>6670.9193824385957</v>
      </c>
      <c r="AZ28" s="114">
        <v>8359.4793298626118</v>
      </c>
      <c r="BA28" s="114">
        <v>8968.6907291955413</v>
      </c>
      <c r="BB28" s="114">
        <v>4343.6945776435441</v>
      </c>
      <c r="BC28" s="114">
        <v>10387.703795286454</v>
      </c>
      <c r="BD28" s="114">
        <v>11340.454896638637</v>
      </c>
      <c r="BE28" s="114">
        <v>2512.8602103822518</v>
      </c>
      <c r="BF28" s="114">
        <v>11407.071491020635</v>
      </c>
      <c r="BG28" s="114">
        <v>6084.7699483156421</v>
      </c>
      <c r="BH28" s="114">
        <v>13092.644318751041</v>
      </c>
      <c r="BI28" s="114">
        <v>3609.7509147504393</v>
      </c>
      <c r="BJ28" s="114">
        <v>4627.4117202765892</v>
      </c>
      <c r="BK28" s="114">
        <v>9304.2198601369946</v>
      </c>
      <c r="BL28" s="114">
        <v>584.33644071316826</v>
      </c>
      <c r="BM28" s="114">
        <v>3974.3003140480623</v>
      </c>
      <c r="BN28" s="114">
        <v>9407.2195710664109</v>
      </c>
      <c r="BO28" s="114">
        <v>8438.9972102241118</v>
      </c>
      <c r="BP28" s="114">
        <v>3260.5557059122748</v>
      </c>
      <c r="BQ28" s="114">
        <v>6192.6399493964964</v>
      </c>
      <c r="BR28" s="114">
        <v>7580.9745593310608</v>
      </c>
      <c r="BS28" s="114">
        <v>8617.9923691311797</v>
      </c>
      <c r="BT28" s="114">
        <v>8191.0377804503396</v>
      </c>
      <c r="BU28" s="114">
        <v>8456.6183669456932</v>
      </c>
      <c r="BV28" s="114">
        <v>4322.0082192555237</v>
      </c>
      <c r="BW28" s="114">
        <v>6900.9492682202672</v>
      </c>
      <c r="BX28" s="114">
        <v>10293.084305268818</v>
      </c>
      <c r="BY28" s="114">
        <v>13244.861491596985</v>
      </c>
      <c r="BZ28" s="114">
        <v>5659.0824183960594</v>
      </c>
      <c r="CA28" s="114">
        <v>5979.2701314336764</v>
      </c>
      <c r="CB28" s="114">
        <v>9672.5693026791705</v>
      </c>
      <c r="CC28" s="114">
        <v>11600.448719276776</v>
      </c>
      <c r="CD28" s="114">
        <v>12920.19499586526</v>
      </c>
      <c r="CE28" s="114">
        <v>8003.8976886348837</v>
      </c>
      <c r="CF28" s="114">
        <v>10657.5825527047</v>
      </c>
      <c r="CG28" s="114">
        <v>7047.5710155924562</v>
      </c>
      <c r="CH28" s="114">
        <v>8057.6488732941825</v>
      </c>
      <c r="CI28" s="114">
        <v>8801.5549189864432</v>
      </c>
      <c r="CJ28" s="114">
        <v>7188.8983277315201</v>
      </c>
      <c r="CK28" s="114">
        <v>6710.2468098641411</v>
      </c>
      <c r="CL28" s="114">
        <v>9162.3232532416459</v>
      </c>
      <c r="CM28" s="114">
        <v>8972.2156487943685</v>
      </c>
      <c r="CN28" s="114">
        <v>7464.2798179290339</v>
      </c>
      <c r="CO28" s="114">
        <v>7949.0344338760524</v>
      </c>
      <c r="CP28" s="114">
        <v>12008.534238636381</v>
      </c>
      <c r="CQ28" s="114">
        <v>13675.212775814767</v>
      </c>
      <c r="CR28" s="114">
        <v>6318.350208002149</v>
      </c>
      <c r="CS28" s="114">
        <v>9517.0006471533743</v>
      </c>
      <c r="CT28" s="114">
        <v>2842.1361962790807</v>
      </c>
      <c r="CU28" s="114">
        <v>6439.2967015296754</v>
      </c>
      <c r="CV28" s="114">
        <v>8976.2247529694614</v>
      </c>
      <c r="CW28" s="114">
        <v>9534.484263351851</v>
      </c>
      <c r="CX28" s="114">
        <v>9005.6601739088492</v>
      </c>
      <c r="CY28" s="114">
        <v>6528.947240545107</v>
      </c>
      <c r="CZ28" s="114">
        <v>553.23595866751532</v>
      </c>
      <c r="DA28" s="114">
        <v>5180.1886819364645</v>
      </c>
      <c r="DB28" s="114">
        <v>6468.8440060846888</v>
      </c>
      <c r="DC28" s="114">
        <v>8119.6235451050698</v>
      </c>
      <c r="DD28" s="114">
        <v>8765.571789926893</v>
      </c>
      <c r="DE28" s="114">
        <v>8432.4080741984017</v>
      </c>
      <c r="DF28" s="114">
        <v>2339.7321530363965</v>
      </c>
      <c r="DG28" s="114">
        <v>1427.3101416058007</v>
      </c>
      <c r="DH28" s="114">
        <v>8723.3150620231409</v>
      </c>
      <c r="DI28" s="114">
        <v>6048.5816897362829</v>
      </c>
      <c r="DJ28" s="114">
        <v>5446.0861693555917</v>
      </c>
      <c r="DK28" s="114">
        <v>6774.9974297301987</v>
      </c>
      <c r="DL28" s="114">
        <v>3293.2957083484303</v>
      </c>
      <c r="DM28" s="114">
        <v>3311.7165962010049</v>
      </c>
      <c r="DN28" s="114">
        <v>14310.029404360666</v>
      </c>
      <c r="DO28" s="114">
        <v>7952.9342053894961</v>
      </c>
      <c r="DP28" s="114">
        <v>7805.1431132173248</v>
      </c>
      <c r="DQ28" s="114">
        <v>11390.956774139091</v>
      </c>
      <c r="DR28" s="114">
        <v>7466.0724816333377</v>
      </c>
      <c r="DS28" s="114">
        <v>7348.2245139657161</v>
      </c>
      <c r="DT28" s="114">
        <v>691.5820651699587</v>
      </c>
      <c r="DU28" s="114">
        <v>8903.9375279456508</v>
      </c>
      <c r="DV28" s="114">
        <v>901.06303922605014</v>
      </c>
      <c r="DW28" s="114">
        <v>8609.8447777571564</v>
      </c>
      <c r="DX28" s="114">
        <v>8768.5435582085556</v>
      </c>
      <c r="DY28" s="114">
        <v>12471.862702910044</v>
      </c>
      <c r="DZ28" s="114">
        <v>12039.591207144604</v>
      </c>
      <c r="EA28" s="114">
        <v>12745.51761875424</v>
      </c>
      <c r="EB28" s="114">
        <v>4909.7729409834265</v>
      </c>
      <c r="EC28" s="114">
        <v>4218.6239355035132</v>
      </c>
      <c r="ED28" s="114">
        <v>12493.631179429756</v>
      </c>
      <c r="EE28" s="114">
        <v>7403.3016111617671</v>
      </c>
      <c r="EF28" s="114">
        <v>9442.6024775816622</v>
      </c>
      <c r="EG28" s="114">
        <v>6386.0600841279575</v>
      </c>
      <c r="EH28" s="114">
        <v>7076.7332171134758</v>
      </c>
      <c r="EI28" s="114">
        <v>8164.2967827944158</v>
      </c>
      <c r="EJ28" s="114">
        <v>11913.552046687348</v>
      </c>
      <c r="EK28" s="114">
        <v>8213.4489269395435</v>
      </c>
      <c r="EL28" s="114">
        <v>10695.237577247568</v>
      </c>
      <c r="EM28" s="114">
        <v>11201.887387336841</v>
      </c>
      <c r="EN28" s="114">
        <v>8526.9416869165761</v>
      </c>
      <c r="EO28" s="114">
        <v>7869.1801439117335</v>
      </c>
      <c r="EP28" s="114">
        <v>6173.643356033811</v>
      </c>
      <c r="EQ28" s="114">
        <v>7641.5060328918989</v>
      </c>
      <c r="ER28" s="114">
        <v>8991.3494576636222</v>
      </c>
      <c r="ES28" s="114">
        <v>2586.9318513918847</v>
      </c>
      <c r="ET28" s="114">
        <v>10593.432425757524</v>
      </c>
      <c r="EU28" s="114">
        <v>10268.629440120318</v>
      </c>
      <c r="EV28" s="114">
        <v>10277.175448941454</v>
      </c>
      <c r="EW28" s="114">
        <v>7681.8508056834662</v>
      </c>
      <c r="EX28" s="114">
        <v>3423.4571634591362</v>
      </c>
      <c r="EY28" s="114">
        <v>5878.9381868344544</v>
      </c>
      <c r="EZ28" s="114">
        <v>6343.1170960097534</v>
      </c>
      <c r="FA28" s="114">
        <v>7685.122171545092</v>
      </c>
      <c r="FB28" s="114">
        <v>5559.144139072363</v>
      </c>
      <c r="FC28" s="114">
        <v>8883.1934908165313</v>
      </c>
      <c r="FD28" s="114">
        <v>8111.7395218311412</v>
      </c>
      <c r="FE28" s="114">
        <v>7919.8695887207195</v>
      </c>
      <c r="FF28" s="114">
        <v>3629.9785921891798</v>
      </c>
      <c r="FG28" s="114">
        <v>279.66385411960738</v>
      </c>
      <c r="FH28" s="114">
        <v>12547.246218171767</v>
      </c>
      <c r="FI28" s="114">
        <v>3322.5658227517019</v>
      </c>
      <c r="FJ28" s="114">
        <v>7796.4718376037172</v>
      </c>
      <c r="FK28" s="114">
        <v>7707.6345034188125</v>
      </c>
      <c r="FL28" s="114">
        <v>6835.8173994020817</v>
      </c>
      <c r="FM28" s="114">
        <v>4481.9265390922183</v>
      </c>
      <c r="FN28" s="114">
        <v>9323.0515625027074</v>
      </c>
      <c r="FO28" s="114">
        <v>9327.2856992932575</v>
      </c>
      <c r="FP28" s="114">
        <v>8108.8987567876884</v>
      </c>
      <c r="FQ28" s="114">
        <v>6519.0323318472902</v>
      </c>
      <c r="FR28" s="114">
        <v>11691.755245721924</v>
      </c>
      <c r="FS28" s="114">
        <v>8290.0187232290318</v>
      </c>
      <c r="FT28" s="114">
        <v>2446.1576330742942</v>
      </c>
      <c r="FU28" s="114">
        <v>9132.5880776304439</v>
      </c>
      <c r="FV28" s="114">
        <v>10598.117579190935</v>
      </c>
      <c r="FW28" s="114">
        <v>4301.2863721643598</v>
      </c>
      <c r="FX28" s="114">
        <v>10203.973562952777</v>
      </c>
      <c r="FY28" s="114">
        <v>6968.7283937793172</v>
      </c>
      <c r="FZ28" s="114">
        <v>7155.4008010414946</v>
      </c>
      <c r="GA28" s="114">
        <v>7702.3358934829803</v>
      </c>
      <c r="GB28" s="114">
        <v>2835.2546292788506</v>
      </c>
      <c r="GC28" s="114">
        <v>8324.7840884013931</v>
      </c>
      <c r="GD28" s="114">
        <v>6235.9916302794436</v>
      </c>
      <c r="GE28" s="114">
        <v>8794.507862152599</v>
      </c>
      <c r="GF28" s="114">
        <v>16367.112801986228</v>
      </c>
      <c r="GG28" s="114">
        <v>12523.76130694038</v>
      </c>
      <c r="GH28" s="114">
        <v>12330.104554183137</v>
      </c>
      <c r="GI28" s="114">
        <v>12729.496942761911</v>
      </c>
      <c r="GJ28" s="114">
        <v>7777.0468692489621</v>
      </c>
      <c r="GK28" s="114">
        <v>8568.4859889276813</v>
      </c>
      <c r="GL28" s="114">
        <v>10691.435642062474</v>
      </c>
      <c r="GM28" s="114">
        <v>10008.283314087721</v>
      </c>
      <c r="GN28" s="114">
        <v>4867.053792657458</v>
      </c>
      <c r="GO28" s="114">
        <v>1054.9150843667107</v>
      </c>
      <c r="GP28" s="114">
        <v>963.87394778535406</v>
      </c>
      <c r="GQ28" s="114">
        <v>9617.1190419622744</v>
      </c>
      <c r="GR28" s="114">
        <v>11112.986416237338</v>
      </c>
      <c r="GS28" s="114">
        <v>8167.1977993168903</v>
      </c>
      <c r="GT28" s="115">
        <v>314.94152629583402</v>
      </c>
    </row>
    <row r="29" spans="2:202" x14ac:dyDescent="0.6">
      <c r="B29" s="106" t="s">
        <v>26</v>
      </c>
      <c r="C29" s="63" t="s">
        <v>328</v>
      </c>
      <c r="D29" s="113">
        <v>13749.546216674868</v>
      </c>
      <c r="E29" s="114">
        <v>8465.8515836123588</v>
      </c>
      <c r="F29" s="114">
        <v>8822.5063716022014</v>
      </c>
      <c r="G29" s="114">
        <v>6558.9107839163989</v>
      </c>
      <c r="H29" s="114">
        <v>4814.8734474979719</v>
      </c>
      <c r="I29" s="114">
        <v>1910.5512014595713</v>
      </c>
      <c r="J29" s="114">
        <v>11742.989139626856</v>
      </c>
      <c r="K29" s="114">
        <v>13362.759762093252</v>
      </c>
      <c r="L29" s="114">
        <v>10124.787564367092</v>
      </c>
      <c r="M29" s="114">
        <v>12176.768213138395</v>
      </c>
      <c r="N29" s="114">
        <v>6328.6869238162808</v>
      </c>
      <c r="O29" s="114">
        <v>11784.296611931135</v>
      </c>
      <c r="P29" s="114">
        <v>15637.04798535756</v>
      </c>
      <c r="Q29" s="114">
        <v>4296.9980067220258</v>
      </c>
      <c r="R29" s="114">
        <v>11099.560284945112</v>
      </c>
      <c r="S29" s="114">
        <v>9627.4149368458911</v>
      </c>
      <c r="T29" s="114">
        <v>6401.7062923601452</v>
      </c>
      <c r="U29" s="114">
        <v>6268.6305228881611</v>
      </c>
      <c r="V29" s="114">
        <v>15608.058759292586</v>
      </c>
      <c r="W29" s="114">
        <v>2385.0610267429306</v>
      </c>
      <c r="X29" s="114">
        <v>9964.3832845991437</v>
      </c>
      <c r="Y29" s="114">
        <v>7243.4528180073376</v>
      </c>
      <c r="Z29" s="114" t="s">
        <v>237</v>
      </c>
      <c r="AA29" s="114">
        <v>361.49416745400686</v>
      </c>
      <c r="AB29" s="114">
        <v>17124.031273888235</v>
      </c>
      <c r="AC29" s="114">
        <v>10240.934068963334</v>
      </c>
      <c r="AD29" s="114">
        <v>6329.415233468666</v>
      </c>
      <c r="AE29" s="114">
        <v>8422.375663648565</v>
      </c>
      <c r="AF29" s="114">
        <v>4981.4444566690854</v>
      </c>
      <c r="AG29" s="114">
        <v>16674.926105396728</v>
      </c>
      <c r="AH29" s="114">
        <v>6828.4433696034057</v>
      </c>
      <c r="AI29" s="114">
        <v>6957.9439054096374</v>
      </c>
      <c r="AJ29" s="114">
        <v>8191.4539911408319</v>
      </c>
      <c r="AK29" s="114">
        <v>8189.4645826258629</v>
      </c>
      <c r="AL29" s="114">
        <v>7681.6559912013745</v>
      </c>
      <c r="AM29" s="114">
        <v>7745.6432245798833</v>
      </c>
      <c r="AN29" s="114">
        <v>2553.2396140297428</v>
      </c>
      <c r="AO29" s="114">
        <v>18564.994328768582</v>
      </c>
      <c r="AP29" s="114">
        <v>17614.114160320281</v>
      </c>
      <c r="AQ29" s="114">
        <v>4291.8487051774309</v>
      </c>
      <c r="AR29" s="114">
        <v>9483.6665111330349</v>
      </c>
      <c r="AS29" s="114">
        <v>6962.6716078449736</v>
      </c>
      <c r="AT29" s="114">
        <v>6954.0392101000289</v>
      </c>
      <c r="AU29" s="114">
        <v>5482.6769594613916</v>
      </c>
      <c r="AV29" s="114">
        <v>5628.942371543536</v>
      </c>
      <c r="AW29" s="114">
        <v>9915.7150452725637</v>
      </c>
      <c r="AX29" s="114">
        <v>6454.8057431575171</v>
      </c>
      <c r="AY29" s="114">
        <v>10633.825207148444</v>
      </c>
      <c r="AZ29" s="114">
        <v>10133.347557943827</v>
      </c>
      <c r="BA29" s="114">
        <v>10395.271973940782</v>
      </c>
      <c r="BB29" s="114">
        <v>10381.00707376818</v>
      </c>
      <c r="BC29" s="114">
        <v>4592.4593236772207</v>
      </c>
      <c r="BD29" s="114">
        <v>5278.7973980683728</v>
      </c>
      <c r="BE29" s="114">
        <v>6952.0049047029606</v>
      </c>
      <c r="BF29" s="114">
        <v>4298.7716936592597</v>
      </c>
      <c r="BG29" s="114">
        <v>10210.567368692804</v>
      </c>
      <c r="BH29" s="114">
        <v>6180.3291926196107</v>
      </c>
      <c r="BI29" s="114">
        <v>6679.4175588480284</v>
      </c>
      <c r="BJ29" s="114">
        <v>10202.081922740395</v>
      </c>
      <c r="BK29" s="114">
        <v>11235.516515690451</v>
      </c>
      <c r="BL29" s="114">
        <v>7718.7663718987296</v>
      </c>
      <c r="BM29" s="114">
        <v>9909.9944992825422</v>
      </c>
      <c r="BN29" s="114">
        <v>11310.782298384265</v>
      </c>
      <c r="BO29" s="114">
        <v>9366.4440978955117</v>
      </c>
      <c r="BP29" s="114">
        <v>6581.7408182851332</v>
      </c>
      <c r="BQ29" s="114">
        <v>5252.6109941998357</v>
      </c>
      <c r="BR29" s="114">
        <v>11803.096907308318</v>
      </c>
      <c r="BS29" s="114">
        <v>10230.507470483346</v>
      </c>
      <c r="BT29" s="114">
        <v>9851.103551455024</v>
      </c>
      <c r="BU29" s="114">
        <v>9830.1957626916083</v>
      </c>
      <c r="BV29" s="114">
        <v>5986.5777860971448</v>
      </c>
      <c r="BW29" s="114">
        <v>9984.9456492930603</v>
      </c>
      <c r="BX29" s="114">
        <v>4287.3639509417408</v>
      </c>
      <c r="BY29" s="114">
        <v>6344.5362758408019</v>
      </c>
      <c r="BZ29" s="114">
        <v>5130.555079616558</v>
      </c>
      <c r="CA29" s="114">
        <v>5162.8545966109714</v>
      </c>
      <c r="CB29" s="114">
        <v>3567.0508003444661</v>
      </c>
      <c r="CC29" s="114">
        <v>5427.650959052954</v>
      </c>
      <c r="CD29" s="114">
        <v>6072.1632181345276</v>
      </c>
      <c r="CE29" s="114">
        <v>10247.718405549382</v>
      </c>
      <c r="CF29" s="114">
        <v>9987.2922870202074</v>
      </c>
      <c r="CG29" s="114">
        <v>13775.126619738163</v>
      </c>
      <c r="CH29" s="114">
        <v>14417.576156865473</v>
      </c>
      <c r="CI29" s="114">
        <v>15607.006946181047</v>
      </c>
      <c r="CJ29" s="114">
        <v>12183.190707334188</v>
      </c>
      <c r="CK29" s="114">
        <v>11495.337045265642</v>
      </c>
      <c r="CL29" s="114">
        <v>9385.6306831658057</v>
      </c>
      <c r="CM29" s="114">
        <v>6266.7053299991931</v>
      </c>
      <c r="CN29" s="114">
        <v>9439.2680934305536</v>
      </c>
      <c r="CO29" s="114">
        <v>9521.4571360619593</v>
      </c>
      <c r="CP29" s="114">
        <v>5644.2735240609954</v>
      </c>
      <c r="CQ29" s="114">
        <v>18532.522984558527</v>
      </c>
      <c r="CR29" s="114">
        <v>10662.938254842489</v>
      </c>
      <c r="CS29" s="114">
        <v>13955.170097852048</v>
      </c>
      <c r="CT29" s="114">
        <v>9254.3180647091722</v>
      </c>
      <c r="CU29" s="114">
        <v>11684.848333045638</v>
      </c>
      <c r="CV29" s="114">
        <v>14260.542343256742</v>
      </c>
      <c r="CW29" s="114">
        <v>16720.884460048597</v>
      </c>
      <c r="CX29" s="114">
        <v>11072.940111556423</v>
      </c>
      <c r="CY29" s="114">
        <v>10733.75946701168</v>
      </c>
      <c r="CZ29" s="114">
        <v>7272.2744432716418</v>
      </c>
      <c r="DA29" s="114">
        <v>5132.4636509113507</v>
      </c>
      <c r="DB29" s="114">
        <v>8884.7947179767652</v>
      </c>
      <c r="DC29" s="114">
        <v>9645.1043839947906</v>
      </c>
      <c r="DD29" s="114">
        <v>11020.880792563765</v>
      </c>
      <c r="DE29" s="114">
        <v>9636.7205112610882</v>
      </c>
      <c r="DF29" s="114">
        <v>9578.571931259612</v>
      </c>
      <c r="DG29" s="114">
        <v>8402.2970091543921</v>
      </c>
      <c r="DH29" s="114">
        <v>15895.501458208391</v>
      </c>
      <c r="DI29" s="114">
        <v>13226.188111049389</v>
      </c>
      <c r="DJ29" s="114">
        <v>5830.7035445892379</v>
      </c>
      <c r="DK29" s="114">
        <v>9177.6525326103983</v>
      </c>
      <c r="DL29" s="114">
        <v>10454.091240252759</v>
      </c>
      <c r="DM29" s="114">
        <v>10469.487454705757</v>
      </c>
      <c r="DN29" s="114">
        <v>7413.2847692366913</v>
      </c>
      <c r="DO29" s="114">
        <v>10875.851761841212</v>
      </c>
      <c r="DP29" s="114">
        <v>9290.0115484703001</v>
      </c>
      <c r="DQ29" s="114">
        <v>16440.313546114045</v>
      </c>
      <c r="DR29" s="114">
        <v>9966.1381483260466</v>
      </c>
      <c r="DS29" s="114">
        <v>7660.3958844641638</v>
      </c>
      <c r="DT29" s="114">
        <v>7858.9301113875954</v>
      </c>
      <c r="DU29" s="114">
        <v>16064.270881662587</v>
      </c>
      <c r="DV29" s="114">
        <v>6464.6116831458803</v>
      </c>
      <c r="DW29" s="114">
        <v>15191.744898997442</v>
      </c>
      <c r="DX29" s="114">
        <v>9777.7859279139393</v>
      </c>
      <c r="DY29" s="114">
        <v>12017.55440282764</v>
      </c>
      <c r="DZ29" s="114">
        <v>11664.213152447279</v>
      </c>
      <c r="EA29" s="114">
        <v>5846.9574119113022</v>
      </c>
      <c r="EB29" s="114">
        <v>6692.864974033163</v>
      </c>
      <c r="EC29" s="114">
        <v>6892.0671019886277</v>
      </c>
      <c r="ED29" s="114">
        <v>18127.784734902431</v>
      </c>
      <c r="EE29" s="114">
        <v>10078.974078369563</v>
      </c>
      <c r="EF29" s="114">
        <v>10595.255555140859</v>
      </c>
      <c r="EG29" s="114">
        <v>12465.531164243261</v>
      </c>
      <c r="EH29" s="114">
        <v>13363.829610686707</v>
      </c>
      <c r="EI29" s="114">
        <v>14104.270438630414</v>
      </c>
      <c r="EJ29" s="114">
        <v>5066.2704682368694</v>
      </c>
      <c r="EK29" s="114">
        <v>1093.368409369644</v>
      </c>
      <c r="EL29" s="114">
        <v>3451.9880826839194</v>
      </c>
      <c r="EM29" s="114">
        <v>18365.787429666525</v>
      </c>
      <c r="EN29" s="114">
        <v>10654.717616694459</v>
      </c>
      <c r="EO29" s="114">
        <v>7924.7365456911857</v>
      </c>
      <c r="EP29" s="114">
        <v>11849.98155184705</v>
      </c>
      <c r="EQ29" s="114">
        <v>10544.669094959405</v>
      </c>
      <c r="ER29" s="114">
        <v>11807.283278761712</v>
      </c>
      <c r="ES29" s="114">
        <v>8579.9589131311786</v>
      </c>
      <c r="ET29" s="114">
        <v>4842.4023540613007</v>
      </c>
      <c r="EU29" s="114">
        <v>4444.7617397571103</v>
      </c>
      <c r="EV29" s="114">
        <v>4368.8521358836424</v>
      </c>
      <c r="EW29" s="114">
        <v>9577.6231064524382</v>
      </c>
      <c r="EX29" s="114">
        <v>6292.8059818585489</v>
      </c>
      <c r="EY29" s="114">
        <v>11353.612198864228</v>
      </c>
      <c r="EZ29" s="114">
        <v>5285.7004090526971</v>
      </c>
      <c r="FA29" s="114">
        <v>10165.241148827923</v>
      </c>
      <c r="FB29" s="114">
        <v>5076.7053948483981</v>
      </c>
      <c r="FC29" s="114">
        <v>15987.20602545098</v>
      </c>
      <c r="FD29" s="114">
        <v>10175.19830754726</v>
      </c>
      <c r="FE29" s="114">
        <v>9873.0355978093394</v>
      </c>
      <c r="FF29" s="114">
        <v>10289.833509599128</v>
      </c>
      <c r="FG29" s="114">
        <v>7460.1453173578921</v>
      </c>
      <c r="FH29" s="114">
        <v>18351.586299158451</v>
      </c>
      <c r="FI29" s="114">
        <v>9031.2198035229812</v>
      </c>
      <c r="FJ29" s="114">
        <v>8385.3669449241861</v>
      </c>
      <c r="FK29" s="114">
        <v>8798.136651296707</v>
      </c>
      <c r="FL29" s="114">
        <v>14023.964191306617</v>
      </c>
      <c r="FM29" s="114">
        <v>9603.757932145827</v>
      </c>
      <c r="FN29" s="114">
        <v>3358.8318399301884</v>
      </c>
      <c r="FO29" s="114">
        <v>10918.275541897921</v>
      </c>
      <c r="FP29" s="114">
        <v>9491.5788226295317</v>
      </c>
      <c r="FQ29" s="114">
        <v>10797.333268051574</v>
      </c>
      <c r="FR29" s="114">
        <v>18808.868121176874</v>
      </c>
      <c r="FS29" s="114">
        <v>13741.565325850837</v>
      </c>
      <c r="FT29" s="114">
        <v>9292.4089589188625</v>
      </c>
      <c r="FU29" s="114">
        <v>16362.91090866617</v>
      </c>
      <c r="FV29" s="114">
        <v>16367.204231347674</v>
      </c>
      <c r="FW29" s="114">
        <v>6148.1019044561126</v>
      </c>
      <c r="FX29" s="114">
        <v>4133.2329017016891</v>
      </c>
      <c r="FY29" s="114">
        <v>8943.0502120009405</v>
      </c>
      <c r="FZ29" s="114">
        <v>10786.291670303315</v>
      </c>
      <c r="GA29" s="114">
        <v>12786.617485087734</v>
      </c>
      <c r="GB29" s="114">
        <v>8890.3337358188037</v>
      </c>
      <c r="GC29" s="114">
        <v>11128.036534076295</v>
      </c>
      <c r="GD29" s="114">
        <v>12094.603591616635</v>
      </c>
      <c r="GE29" s="114">
        <v>9489.6360326149006</v>
      </c>
      <c r="GF29" s="114">
        <v>9906.2460685435035</v>
      </c>
      <c r="GG29" s="114">
        <v>7685.9535038067716</v>
      </c>
      <c r="GH29" s="114">
        <v>7746.5799845524707</v>
      </c>
      <c r="GI29" s="114">
        <v>7631.4396805415263</v>
      </c>
      <c r="GJ29" s="114">
        <v>1524.2354122712204</v>
      </c>
      <c r="GK29" s="114">
        <v>13815.725124299503</v>
      </c>
      <c r="GL29" s="114">
        <v>4342.8279263513668</v>
      </c>
      <c r="GM29" s="114">
        <v>17139.86877406514</v>
      </c>
      <c r="GN29" s="114">
        <v>10765.795699974711</v>
      </c>
      <c r="GO29" s="114">
        <v>7816.4857775593046</v>
      </c>
      <c r="GP29" s="114">
        <v>8022.0557602996023</v>
      </c>
      <c r="GQ29" s="114">
        <v>16850.898140533383</v>
      </c>
      <c r="GR29" s="114">
        <v>13273.631371005709</v>
      </c>
      <c r="GS29" s="114">
        <v>9622.7333519654021</v>
      </c>
      <c r="GT29" s="115">
        <v>7428.4991027033821</v>
      </c>
    </row>
    <row r="30" spans="2:202" x14ac:dyDescent="0.6">
      <c r="B30" s="106" t="s">
        <v>26</v>
      </c>
      <c r="C30" s="63" t="s">
        <v>555</v>
      </c>
      <c r="D30" s="113">
        <v>13401.198064076274</v>
      </c>
      <c r="E30" s="114">
        <v>8189.8376889841475</v>
      </c>
      <c r="F30" s="114">
        <v>8568.7979342990093</v>
      </c>
      <c r="G30" s="114">
        <v>6199.8914717025464</v>
      </c>
      <c r="H30" s="114">
        <v>4891.7166529108399</v>
      </c>
      <c r="I30" s="114">
        <v>2199.0960213830008</v>
      </c>
      <c r="J30" s="114">
        <v>11419.221835133703</v>
      </c>
      <c r="K30" s="114">
        <v>13526.27420513465</v>
      </c>
      <c r="L30" s="114">
        <v>9859.1649544153752</v>
      </c>
      <c r="M30" s="114">
        <v>11850.143297694571</v>
      </c>
      <c r="N30" s="114">
        <v>6472.6934562973029</v>
      </c>
      <c r="O30" s="114">
        <v>11429.530511648984</v>
      </c>
      <c r="P30" s="114">
        <v>15275.772234598437</v>
      </c>
      <c r="Q30" s="114">
        <v>4366.8702902450395</v>
      </c>
      <c r="R30" s="114">
        <v>10837.565940795395</v>
      </c>
      <c r="S30" s="114">
        <v>9393.368573015423</v>
      </c>
      <c r="T30" s="114">
        <v>6627.9821376783184</v>
      </c>
      <c r="U30" s="114">
        <v>5919.5545540728654</v>
      </c>
      <c r="V30" s="114">
        <v>15247.446966860545</v>
      </c>
      <c r="W30" s="114">
        <v>2712.0555377452456</v>
      </c>
      <c r="X30" s="114">
        <v>9680.0821121931276</v>
      </c>
      <c r="Y30" s="114">
        <v>6925.4671805742346</v>
      </c>
      <c r="Z30" s="114">
        <v>361.49416745400686</v>
      </c>
      <c r="AA30" s="114" t="s">
        <v>237</v>
      </c>
      <c r="AB30" s="114">
        <v>16903.937862680934</v>
      </c>
      <c r="AC30" s="114">
        <v>9945.7992717672932</v>
      </c>
      <c r="AD30" s="114">
        <v>5997.9617234362404</v>
      </c>
      <c r="AE30" s="114">
        <v>8064.4889508182623</v>
      </c>
      <c r="AF30" s="114">
        <v>4737.5640708692299</v>
      </c>
      <c r="AG30" s="114">
        <v>16357.368581719109</v>
      </c>
      <c r="AH30" s="114">
        <v>6470.7233355662584</v>
      </c>
      <c r="AI30" s="114">
        <v>6598.9978013139744</v>
      </c>
      <c r="AJ30" s="114">
        <v>8276.9572329562106</v>
      </c>
      <c r="AK30" s="114">
        <v>8254.1629976297409</v>
      </c>
      <c r="AL30" s="114">
        <v>7320.9795883065553</v>
      </c>
      <c r="AM30" s="114">
        <v>7393.754839788965</v>
      </c>
      <c r="AN30" s="114">
        <v>2896.5237026835498</v>
      </c>
      <c r="AO30" s="114">
        <v>18237.250605095393</v>
      </c>
      <c r="AP30" s="114">
        <v>17331.234664541993</v>
      </c>
      <c r="AQ30" s="114">
        <v>4514.4765234476199</v>
      </c>
      <c r="AR30" s="114">
        <v>9146.8310443027094</v>
      </c>
      <c r="AS30" s="114">
        <v>6601.7520324895549</v>
      </c>
      <c r="AT30" s="114">
        <v>6593.0055129480243</v>
      </c>
      <c r="AU30" s="114">
        <v>5726.0965563012032</v>
      </c>
      <c r="AV30" s="114">
        <v>5286.959419388224</v>
      </c>
      <c r="AW30" s="114">
        <v>9642.3524788252944</v>
      </c>
      <c r="AX30" s="114">
        <v>6630.8880445397263</v>
      </c>
      <c r="AY30" s="114">
        <v>10306.413761366488</v>
      </c>
      <c r="AZ30" s="114">
        <v>9877.9091501499843</v>
      </c>
      <c r="BA30" s="114">
        <v>10162.605956212006</v>
      </c>
      <c r="BB30" s="114">
        <v>10019.515185224891</v>
      </c>
      <c r="BC30" s="114">
        <v>4671.252137746781</v>
      </c>
      <c r="BD30" s="114">
        <v>5406.5940393062065</v>
      </c>
      <c r="BE30" s="114">
        <v>6591.0131345598793</v>
      </c>
      <c r="BF30" s="114">
        <v>4566.5301830109083</v>
      </c>
      <c r="BG30" s="114">
        <v>9873.7682655331755</v>
      </c>
      <c r="BH30" s="114">
        <v>6425.5885581137291</v>
      </c>
      <c r="BI30" s="114">
        <v>6321.785609767905</v>
      </c>
      <c r="BJ30" s="114">
        <v>9841.9575817912028</v>
      </c>
      <c r="BK30" s="114">
        <v>11000.183089581042</v>
      </c>
      <c r="BL30" s="114">
        <v>7411.1317321406677</v>
      </c>
      <c r="BM30" s="114">
        <v>9548.5197859978998</v>
      </c>
      <c r="BN30" s="114">
        <v>11078.778598585484</v>
      </c>
      <c r="BO30" s="114">
        <v>9130.3104869358795</v>
      </c>
      <c r="BP30" s="114">
        <v>6221.4359126716017</v>
      </c>
      <c r="BQ30" s="114">
        <v>4968.6884389880533</v>
      </c>
      <c r="BR30" s="114">
        <v>11482.93217554036</v>
      </c>
      <c r="BS30" s="114">
        <v>9984.8101287029895</v>
      </c>
      <c r="BT30" s="114">
        <v>9593.869729938493</v>
      </c>
      <c r="BU30" s="114">
        <v>9585.3923263864763</v>
      </c>
      <c r="BV30" s="114">
        <v>5638.9224881936907</v>
      </c>
      <c r="BW30" s="114">
        <v>9675.1185814057226</v>
      </c>
      <c r="BX30" s="114">
        <v>4382.5086200321084</v>
      </c>
      <c r="BY30" s="114">
        <v>6589.4052399448383</v>
      </c>
      <c r="BZ30" s="114">
        <v>4822.5102271340611</v>
      </c>
      <c r="CA30" s="114">
        <v>4869.0141868472319</v>
      </c>
      <c r="CB30" s="114">
        <v>3651.6371980246795</v>
      </c>
      <c r="CC30" s="114">
        <v>5571.3026498077334</v>
      </c>
      <c r="CD30" s="114">
        <v>6307.5763239476164</v>
      </c>
      <c r="CE30" s="114">
        <v>9974.6102989077881</v>
      </c>
      <c r="CF30" s="114">
        <v>9854.9106089511042</v>
      </c>
      <c r="CG30" s="114">
        <v>13414.103475749749</v>
      </c>
      <c r="CH30" s="114">
        <v>14058.915887574711</v>
      </c>
      <c r="CI30" s="114">
        <v>15396.099434166845</v>
      </c>
      <c r="CJ30" s="114">
        <v>11843.649815558334</v>
      </c>
      <c r="CK30" s="114">
        <v>11155.069682861211</v>
      </c>
      <c r="CL30" s="114">
        <v>9185.1424690479871</v>
      </c>
      <c r="CM30" s="114">
        <v>6133.5912736292248</v>
      </c>
      <c r="CN30" s="114">
        <v>9159.1698140986937</v>
      </c>
      <c r="CO30" s="114">
        <v>9260.0240096752386</v>
      </c>
      <c r="CP30" s="114">
        <v>5814.0509143859445</v>
      </c>
      <c r="CQ30" s="114">
        <v>18566.505642519132</v>
      </c>
      <c r="CR30" s="114">
        <v>10325.607180128554</v>
      </c>
      <c r="CS30" s="114">
        <v>13661.080516327704</v>
      </c>
      <c r="CT30" s="114">
        <v>8897.4588315770288</v>
      </c>
      <c r="CU30" s="114">
        <v>11335.469954442937</v>
      </c>
      <c r="CV30" s="114">
        <v>13933.422143544776</v>
      </c>
      <c r="CW30" s="114">
        <v>16373.087846476001</v>
      </c>
      <c r="CX30" s="114">
        <v>10826.94369283273</v>
      </c>
      <c r="CY30" s="114">
        <v>10400.827828405369</v>
      </c>
      <c r="CZ30" s="114">
        <v>6972.3357529398272</v>
      </c>
      <c r="DA30" s="114">
        <v>4805.9624572734247</v>
      </c>
      <c r="DB30" s="114">
        <v>8576.9700679070538</v>
      </c>
      <c r="DC30" s="114">
        <v>9388.7670498980297</v>
      </c>
      <c r="DD30" s="114">
        <v>10764.883066374552</v>
      </c>
      <c r="DE30" s="114">
        <v>9394.7606560450076</v>
      </c>
      <c r="DF30" s="114">
        <v>9263.8411575688351</v>
      </c>
      <c r="DG30" s="114">
        <v>8063.0585310058368</v>
      </c>
      <c r="DH30" s="114">
        <v>15611.474004499159</v>
      </c>
      <c r="DI30" s="114">
        <v>12885.244982746732</v>
      </c>
      <c r="DJ30" s="114">
        <v>5513.9152119134233</v>
      </c>
      <c r="DK30" s="114">
        <v>8876.0645436828909</v>
      </c>
      <c r="DL30" s="114">
        <v>10157.111808998254</v>
      </c>
      <c r="DM30" s="114">
        <v>10173.004115407473</v>
      </c>
      <c r="DN30" s="114">
        <v>7665.7164841311969</v>
      </c>
      <c r="DO30" s="114">
        <v>10588.154983202756</v>
      </c>
      <c r="DP30" s="114">
        <v>9026.6828611320361</v>
      </c>
      <c r="DQ30" s="114">
        <v>16177.339306440428</v>
      </c>
      <c r="DR30" s="114">
        <v>9676.8232278439591</v>
      </c>
      <c r="DS30" s="114">
        <v>7404.6528561559508</v>
      </c>
      <c r="DT30" s="114">
        <v>7550.3844424358385</v>
      </c>
      <c r="DU30" s="114">
        <v>15714.763332411449</v>
      </c>
      <c r="DV30" s="114">
        <v>6133.8939715019042</v>
      </c>
      <c r="DW30" s="114">
        <v>14831.488892693764</v>
      </c>
      <c r="DX30" s="114">
        <v>9548.8524237830825</v>
      </c>
      <c r="DY30" s="114">
        <v>12269.829355372633</v>
      </c>
      <c r="DZ30" s="114">
        <v>11902.512167619412</v>
      </c>
      <c r="EA30" s="114">
        <v>6087.5368153399768</v>
      </c>
      <c r="EB30" s="114">
        <v>6357.9442492728267</v>
      </c>
      <c r="EC30" s="114">
        <v>6542.2994864627817</v>
      </c>
      <c r="ED30" s="114">
        <v>17910.943294342676</v>
      </c>
      <c r="EE30" s="114">
        <v>9785.2742173663846</v>
      </c>
      <c r="EF30" s="114">
        <v>10381.589348660609</v>
      </c>
      <c r="EG30" s="114">
        <v>12105.991339357726</v>
      </c>
      <c r="EH30" s="114">
        <v>13003.834801159255</v>
      </c>
      <c r="EI30" s="114">
        <v>13753.445930413325</v>
      </c>
      <c r="EJ30" s="114">
        <v>5291.754613610552</v>
      </c>
      <c r="EK30" s="114">
        <v>1454.8567166463033</v>
      </c>
      <c r="EL30" s="114">
        <v>3776.3320399685185</v>
      </c>
      <c r="EM30" s="114">
        <v>18100.29145019496</v>
      </c>
      <c r="EN30" s="114">
        <v>10395.877895344092</v>
      </c>
      <c r="EO30" s="114">
        <v>7689.1663975115571</v>
      </c>
      <c r="EP30" s="114">
        <v>11493.787532591332</v>
      </c>
      <c r="EQ30" s="114">
        <v>10251.360562700949</v>
      </c>
      <c r="ER30" s="114">
        <v>11543.764612734523</v>
      </c>
      <c r="ES30" s="114">
        <v>8221.1307917047707</v>
      </c>
      <c r="ET30" s="114">
        <v>4923.6822364212667</v>
      </c>
      <c r="EU30" s="114">
        <v>4522.3022516621049</v>
      </c>
      <c r="EV30" s="114">
        <v>4454.291716328712</v>
      </c>
      <c r="EW30" s="114">
        <v>9303.864045984501</v>
      </c>
      <c r="EX30" s="114">
        <v>5933.3826975198108</v>
      </c>
      <c r="EY30" s="114">
        <v>10998.375432709783</v>
      </c>
      <c r="EZ30" s="114">
        <v>5009.1146744114039</v>
      </c>
      <c r="FA30" s="114">
        <v>9880.7792161370799</v>
      </c>
      <c r="FB30" s="114">
        <v>4764.4552470236986</v>
      </c>
      <c r="FC30" s="114">
        <v>15722.118959863385</v>
      </c>
      <c r="FD30" s="114">
        <v>9908.0800401993129</v>
      </c>
      <c r="FE30" s="114">
        <v>9603.6695516998989</v>
      </c>
      <c r="FF30" s="114">
        <v>9933.5354788812165</v>
      </c>
      <c r="FG30" s="114">
        <v>7147.48201117387</v>
      </c>
      <c r="FH30" s="114">
        <v>18133.420003071635</v>
      </c>
      <c r="FI30" s="114">
        <v>8669.8651111558665</v>
      </c>
      <c r="FJ30" s="114">
        <v>8138.0246662476966</v>
      </c>
      <c r="FK30" s="114">
        <v>8539.4427377507345</v>
      </c>
      <c r="FL30" s="114">
        <v>13682.960619701464</v>
      </c>
      <c r="FM30" s="114">
        <v>9245.4604782052393</v>
      </c>
      <c r="FN30" s="114">
        <v>3414.3675118937981</v>
      </c>
      <c r="FO30" s="114">
        <v>10691.390090544797</v>
      </c>
      <c r="FP30" s="114">
        <v>9237.7534459694725</v>
      </c>
      <c r="FQ30" s="114">
        <v>10463.156749427222</v>
      </c>
      <c r="FR30" s="114">
        <v>18447.389370694502</v>
      </c>
      <c r="FS30" s="114">
        <v>13402.562136490413</v>
      </c>
      <c r="FT30" s="114">
        <v>8944.1233420955687</v>
      </c>
      <c r="FU30" s="114">
        <v>16027.495549722507</v>
      </c>
      <c r="FV30" s="114">
        <v>16326.254098832447</v>
      </c>
      <c r="FW30" s="114">
        <v>5800.2082872867659</v>
      </c>
      <c r="FX30" s="114">
        <v>4232.0951627682571</v>
      </c>
      <c r="FY30" s="114">
        <v>8651.9592868628406</v>
      </c>
      <c r="FZ30" s="114">
        <v>10471.25839296606</v>
      </c>
      <c r="GA30" s="114">
        <v>12450.130982096893</v>
      </c>
      <c r="GB30" s="114">
        <v>8530.9630338860916</v>
      </c>
      <c r="GC30" s="114">
        <v>10850.32936034004</v>
      </c>
      <c r="GD30" s="114">
        <v>11736.714245651941</v>
      </c>
      <c r="GE30" s="114">
        <v>9268.1534298934785</v>
      </c>
      <c r="GF30" s="114">
        <v>10143.469515457191</v>
      </c>
      <c r="GG30" s="114">
        <v>7759.0442207048736</v>
      </c>
      <c r="GH30" s="114">
        <v>7801.7087225467112</v>
      </c>
      <c r="GI30" s="114">
        <v>7723.6249719556135</v>
      </c>
      <c r="GJ30" s="114">
        <v>1800.5385669197365</v>
      </c>
      <c r="GK30" s="114">
        <v>13484.623154440445</v>
      </c>
      <c r="GL30" s="114">
        <v>4484.7378113085952</v>
      </c>
      <c r="GM30" s="114">
        <v>16784.218939416001</v>
      </c>
      <c r="GN30" s="114">
        <v>10404.79408018408</v>
      </c>
      <c r="GO30" s="114">
        <v>7475.9798594365966</v>
      </c>
      <c r="GP30" s="114">
        <v>7688.6855134131702</v>
      </c>
      <c r="GQ30" s="114">
        <v>16542.060610860422</v>
      </c>
      <c r="GR30" s="114">
        <v>13424.976322580658</v>
      </c>
      <c r="GS30" s="114">
        <v>9368.9504150151042</v>
      </c>
      <c r="GT30" s="115">
        <v>7118.346836828694</v>
      </c>
    </row>
    <row r="31" spans="2:202" x14ac:dyDescent="0.6">
      <c r="B31" s="106" t="s">
        <v>27</v>
      </c>
      <c r="C31" s="63" t="s">
        <v>433</v>
      </c>
      <c r="D31" s="113">
        <v>5765.3856289074602</v>
      </c>
      <c r="E31" s="114">
        <v>11634.989126652648</v>
      </c>
      <c r="F31" s="114">
        <v>11571.597948165645</v>
      </c>
      <c r="G31" s="114">
        <v>11382.29067923131</v>
      </c>
      <c r="H31" s="114">
        <v>17583.924654895738</v>
      </c>
      <c r="I31" s="114">
        <v>16444.499753699842</v>
      </c>
      <c r="J31" s="114">
        <v>8046.8465306910957</v>
      </c>
      <c r="K31" s="114">
        <v>5700.2466687527358</v>
      </c>
      <c r="L31" s="114">
        <v>10280.985118116105</v>
      </c>
      <c r="M31" s="114">
        <v>7613.2863109250702</v>
      </c>
      <c r="N31" s="114">
        <v>16472.619884688651</v>
      </c>
      <c r="O31" s="114">
        <v>7265.3141673537984</v>
      </c>
      <c r="P31" s="114">
        <v>3385.8464672949872</v>
      </c>
      <c r="Q31" s="114">
        <v>17962.471941681808</v>
      </c>
      <c r="R31" s="114">
        <v>9451.5939392411601</v>
      </c>
      <c r="S31" s="114">
        <v>11058.445971773053</v>
      </c>
      <c r="T31" s="114">
        <v>16498.083788388638</v>
      </c>
      <c r="U31" s="114">
        <v>12435.698571566525</v>
      </c>
      <c r="V31" s="114">
        <v>3708.5551766526823</v>
      </c>
      <c r="W31" s="114">
        <v>18672.958623621016</v>
      </c>
      <c r="X31" s="114">
        <v>10202.353278846473</v>
      </c>
      <c r="Y31" s="114">
        <v>10157.850836568727</v>
      </c>
      <c r="Z31" s="114">
        <v>17124.031273888235</v>
      </c>
      <c r="AA31" s="114">
        <v>16903.937862680934</v>
      </c>
      <c r="AB31" s="114" t="s">
        <v>237</v>
      </c>
      <c r="AC31" s="114">
        <v>9815.8384758346347</v>
      </c>
      <c r="AD31" s="114">
        <v>12735.455582760686</v>
      </c>
      <c r="AE31" s="114">
        <v>9572.6481962809958</v>
      </c>
      <c r="AF31" s="114">
        <v>14937.88799491327</v>
      </c>
      <c r="AG31" s="114">
        <v>1381.6372458085307</v>
      </c>
      <c r="AH31" s="114">
        <v>11661.895878621253</v>
      </c>
      <c r="AI31" s="114">
        <v>11486.152248088234</v>
      </c>
      <c r="AJ31" s="114">
        <v>14462.380970049675</v>
      </c>
      <c r="AK31" s="114">
        <v>14382.774633169602</v>
      </c>
      <c r="AL31" s="114">
        <v>10705.39354206793</v>
      </c>
      <c r="AM31" s="114">
        <v>11028.770584248545</v>
      </c>
      <c r="AN31" s="114">
        <v>16772.847737962682</v>
      </c>
      <c r="AO31" s="114">
        <v>3044.9296369136678</v>
      </c>
      <c r="AP31" s="114">
        <v>3897.0290171655001</v>
      </c>
      <c r="AQ31" s="114">
        <v>18611.483231211299</v>
      </c>
      <c r="AR31" s="114">
        <v>8139.7087694330357</v>
      </c>
      <c r="AS31" s="114">
        <v>11116.597113197895</v>
      </c>
      <c r="AT31" s="114">
        <v>11136.242653170513</v>
      </c>
      <c r="AU31" s="114">
        <v>17390.339943364237</v>
      </c>
      <c r="AV31" s="114">
        <v>13155.373202493551</v>
      </c>
      <c r="AW31" s="114">
        <v>10378.239423685833</v>
      </c>
      <c r="AX31" s="114">
        <v>16421.499312673157</v>
      </c>
      <c r="AY31" s="114">
        <v>8968.6271913377295</v>
      </c>
      <c r="AZ31" s="114">
        <v>10385.651385002322</v>
      </c>
      <c r="BA31" s="114">
        <v>10384.648338162031</v>
      </c>
      <c r="BB31" s="114">
        <v>8036.6812634961098</v>
      </c>
      <c r="BC31" s="114">
        <v>17783.553358276615</v>
      </c>
      <c r="BD31" s="114">
        <v>17428.209771973805</v>
      </c>
      <c r="BE31" s="114">
        <v>11133.746338433855</v>
      </c>
      <c r="BF31" s="114">
        <v>18454.647345194404</v>
      </c>
      <c r="BG31" s="114">
        <v>9165.7385058982636</v>
      </c>
      <c r="BH31" s="114">
        <v>16691.140938406988</v>
      </c>
      <c r="BI31" s="114">
        <v>11801.507619925029</v>
      </c>
      <c r="BJ31" s="114">
        <v>8423.6684002853635</v>
      </c>
      <c r="BK31" s="114">
        <v>9605.4174681697732</v>
      </c>
      <c r="BL31" s="114">
        <v>9627.12185689941</v>
      </c>
      <c r="BM31" s="114">
        <v>8457.7872110579046</v>
      </c>
      <c r="BN31" s="114">
        <v>9570.0748249397202</v>
      </c>
      <c r="BO31" s="114">
        <v>11270.59460416695</v>
      </c>
      <c r="BP31" s="114">
        <v>11749.875252206706</v>
      </c>
      <c r="BQ31" s="114">
        <v>14296.763293105143</v>
      </c>
      <c r="BR31" s="114">
        <v>8055.3557431202898</v>
      </c>
      <c r="BS31" s="114">
        <v>10401.465508897563</v>
      </c>
      <c r="BT31" s="114">
        <v>10618.157890901452</v>
      </c>
      <c r="BU31" s="114">
        <v>10768.499544284643</v>
      </c>
      <c r="BV31" s="114">
        <v>12720.405556368176</v>
      </c>
      <c r="BW31" s="114">
        <v>9836.5900611450834</v>
      </c>
      <c r="BX31" s="114">
        <v>18137.14596757523</v>
      </c>
      <c r="BY31" s="114">
        <v>16528.2359019139</v>
      </c>
      <c r="BZ31" s="114">
        <v>14103.965843316535</v>
      </c>
      <c r="CA31" s="114">
        <v>14253.909449699155</v>
      </c>
      <c r="CB31" s="114">
        <v>18571.202282860606</v>
      </c>
      <c r="CC31" s="114">
        <v>17347.116041843427</v>
      </c>
      <c r="CD31" s="114">
        <v>16816.942236101</v>
      </c>
      <c r="CE31" s="114">
        <v>10085.181495555784</v>
      </c>
      <c r="CF31" s="114">
        <v>11586.685216337908</v>
      </c>
      <c r="CG31" s="114">
        <v>4843.9261573905378</v>
      </c>
      <c r="CH31" s="114">
        <v>4795.1141413055975</v>
      </c>
      <c r="CI31" s="114">
        <v>1517.7458310490176</v>
      </c>
      <c r="CJ31" s="114">
        <v>7347.1106345099597</v>
      </c>
      <c r="CK31" s="114">
        <v>7940.0231852866655</v>
      </c>
      <c r="CL31" s="114">
        <v>11589.195676550167</v>
      </c>
      <c r="CM31" s="114">
        <v>14892.253385245431</v>
      </c>
      <c r="CN31" s="114">
        <v>10722.007442056602</v>
      </c>
      <c r="CO31" s="114">
        <v>10865.851152620477</v>
      </c>
      <c r="CP31" s="114">
        <v>17211.261586271688</v>
      </c>
      <c r="CQ31" s="114">
        <v>4294.734977055241</v>
      </c>
      <c r="CR31" s="114">
        <v>8748.53280324138</v>
      </c>
      <c r="CS31" s="114">
        <v>6568.8392219671441</v>
      </c>
      <c r="CT31" s="114">
        <v>8745.7764366612519</v>
      </c>
      <c r="CU31" s="114">
        <v>7536.1885240860956</v>
      </c>
      <c r="CV31" s="114">
        <v>5815.8937806887825</v>
      </c>
      <c r="CW31" s="114">
        <v>2005.0691096703383</v>
      </c>
      <c r="CX31" s="114">
        <v>9644.7652519721451</v>
      </c>
      <c r="CY31" s="114">
        <v>8774.9868149692065</v>
      </c>
      <c r="CZ31" s="114">
        <v>10029.797313432919</v>
      </c>
      <c r="DA31" s="114">
        <v>13845.470395142405</v>
      </c>
      <c r="DB31" s="114">
        <v>10847.690240312113</v>
      </c>
      <c r="DC31" s="114">
        <v>10811.623071265269</v>
      </c>
      <c r="DD31" s="114">
        <v>9586.8319519739962</v>
      </c>
      <c r="DE31" s="114">
        <v>10970.473764674212</v>
      </c>
      <c r="DF31" s="114">
        <v>7839.9324322471457</v>
      </c>
      <c r="DG31" s="114">
        <v>9218.2378230600189</v>
      </c>
      <c r="DH31" s="114">
        <v>1517.2174014664242</v>
      </c>
      <c r="DI31" s="114">
        <v>4625.9854886421499</v>
      </c>
      <c r="DJ31" s="114">
        <v>13395.956407349422</v>
      </c>
      <c r="DK31" s="114">
        <v>10675.565150069242</v>
      </c>
      <c r="DL31" s="114">
        <v>6867.4145128449027</v>
      </c>
      <c r="DM31" s="114">
        <v>6849.5755337248884</v>
      </c>
      <c r="DN31" s="114">
        <v>15445.829098459792</v>
      </c>
      <c r="DO31" s="114">
        <v>9347.2810457195519</v>
      </c>
      <c r="DP31" s="114">
        <v>11050.700549331379</v>
      </c>
      <c r="DQ31" s="114">
        <v>4887.1987757596908</v>
      </c>
      <c r="DR31" s="114">
        <v>10137.20804510752</v>
      </c>
      <c r="DS31" s="114">
        <v>12572.549816635488</v>
      </c>
      <c r="DT31" s="114">
        <v>9493.8767940037178</v>
      </c>
      <c r="DU31" s="114">
        <v>2442.7277258831191</v>
      </c>
      <c r="DV31" s="114">
        <v>11016.12531653913</v>
      </c>
      <c r="DW31" s="114">
        <v>4057.0837853498583</v>
      </c>
      <c r="DX31" s="114">
        <v>10974.148424502466</v>
      </c>
      <c r="DY31" s="114">
        <v>7700.168224643854</v>
      </c>
      <c r="DZ31" s="114">
        <v>7865.0988712465487</v>
      </c>
      <c r="EA31" s="114">
        <v>17033.081135658747</v>
      </c>
      <c r="EB31" s="114">
        <v>12354.397056865613</v>
      </c>
      <c r="EC31" s="114">
        <v>11859.380929028241</v>
      </c>
      <c r="ED31" s="114">
        <v>3981.8572850579344</v>
      </c>
      <c r="EE31" s="114">
        <v>9979.3437566424618</v>
      </c>
      <c r="EF31" s="114">
        <v>10383.548292905412</v>
      </c>
      <c r="EG31" s="114">
        <v>6415.0170751110436</v>
      </c>
      <c r="EH31" s="114">
        <v>5589.8197050580256</v>
      </c>
      <c r="EI31" s="114">
        <v>5391.1158629366782</v>
      </c>
      <c r="EJ31" s="114">
        <v>17834.435221438845</v>
      </c>
      <c r="EK31" s="114">
        <v>17583.440765583568</v>
      </c>
      <c r="EL31" s="114">
        <v>18455.364866391803</v>
      </c>
      <c r="EM31" s="114">
        <v>1280.176374763877</v>
      </c>
      <c r="EN31" s="114">
        <v>9883.1583542384124</v>
      </c>
      <c r="EO31" s="114">
        <v>12552.420800016067</v>
      </c>
      <c r="EP31" s="114">
        <v>7147.2965290746652</v>
      </c>
      <c r="EQ31" s="114">
        <v>9569.419570930344</v>
      </c>
      <c r="ER31" s="114">
        <v>8804.6816347676358</v>
      </c>
      <c r="ES31" s="114">
        <v>9463.0677461433406</v>
      </c>
      <c r="ET31" s="114">
        <v>17586.808012602396</v>
      </c>
      <c r="EU31" s="114">
        <v>17896.653242013355</v>
      </c>
      <c r="EV31" s="114">
        <v>18009.049484295636</v>
      </c>
      <c r="EW31" s="114">
        <v>10674.82554498319</v>
      </c>
      <c r="EX31" s="114">
        <v>12069.282429048031</v>
      </c>
      <c r="EY31" s="114">
        <v>7633.3498626026449</v>
      </c>
      <c r="EZ31" s="114">
        <v>14352.773788573197</v>
      </c>
      <c r="FA31" s="114">
        <v>10021.295147405584</v>
      </c>
      <c r="FB31" s="114">
        <v>14093.328881756799</v>
      </c>
      <c r="FC31" s="114">
        <v>1290.3951740560078</v>
      </c>
      <c r="FD31" s="114">
        <v>10219.053023325712</v>
      </c>
      <c r="FE31" s="114">
        <v>10462.803830470515</v>
      </c>
      <c r="FF31" s="114">
        <v>7745.7457604729852</v>
      </c>
      <c r="FG31" s="114">
        <v>9911.0561994645923</v>
      </c>
      <c r="FH31" s="114">
        <v>3829.2752476732003</v>
      </c>
      <c r="FI31" s="114">
        <v>9237.8111464154881</v>
      </c>
      <c r="FJ31" s="114">
        <v>12026.011707794352</v>
      </c>
      <c r="FK31" s="114">
        <v>11538.937388157305</v>
      </c>
      <c r="FL31" s="114">
        <v>3896.0561754792079</v>
      </c>
      <c r="FM31" s="114">
        <v>9088.1120654713432</v>
      </c>
      <c r="FN31" s="114">
        <v>18449.830553461314</v>
      </c>
      <c r="FO31" s="114">
        <v>9970.9152973320379</v>
      </c>
      <c r="FP31" s="114">
        <v>10975.577972654977</v>
      </c>
      <c r="FQ31" s="114">
        <v>8693.3401811099484</v>
      </c>
      <c r="FR31" s="114">
        <v>2386.3127276714458</v>
      </c>
      <c r="FS31" s="114">
        <v>6010.8740861526485</v>
      </c>
      <c r="FT31" s="114">
        <v>8496.4550597881916</v>
      </c>
      <c r="FU31" s="114">
        <v>1893.8304723050314</v>
      </c>
      <c r="FV31" s="114">
        <v>1825.8583122126081</v>
      </c>
      <c r="FW31" s="114">
        <v>12571.451492248141</v>
      </c>
      <c r="FX31" s="114">
        <v>18283.844951160107</v>
      </c>
      <c r="FY31" s="114">
        <v>11025.131894620452</v>
      </c>
      <c r="FZ31" s="114">
        <v>9041.5941221186058</v>
      </c>
      <c r="GA31" s="114">
        <v>6885.9436680599274</v>
      </c>
      <c r="GB31" s="114">
        <v>9196.596777447272</v>
      </c>
      <c r="GC31" s="114">
        <v>9246.1006834203836</v>
      </c>
      <c r="GD31" s="114">
        <v>6846.842769942431</v>
      </c>
      <c r="GE31" s="114">
        <v>11303.46661807031</v>
      </c>
      <c r="GF31" s="114">
        <v>12982.24479067735</v>
      </c>
      <c r="GG31" s="114">
        <v>14902.370702866865</v>
      </c>
      <c r="GH31" s="114">
        <v>14766.435927452665</v>
      </c>
      <c r="GI31" s="114">
        <v>15030.566163098491</v>
      </c>
      <c r="GJ31" s="114">
        <v>16557.704684651937</v>
      </c>
      <c r="GK31" s="114">
        <v>6113.2347830275739</v>
      </c>
      <c r="GL31" s="114">
        <v>18358.262560948293</v>
      </c>
      <c r="GM31" s="114">
        <v>2105.0009919486342</v>
      </c>
      <c r="GN31" s="114">
        <v>7818.5701725915542</v>
      </c>
      <c r="GO31" s="114">
        <v>9802.094918617875</v>
      </c>
      <c r="GP31" s="114">
        <v>9521.9663618277973</v>
      </c>
      <c r="GQ31" s="114">
        <v>1158.1221845602422</v>
      </c>
      <c r="GR31" s="114">
        <v>5674.6598025810845</v>
      </c>
      <c r="GS31" s="114">
        <v>10859.137223281976</v>
      </c>
      <c r="GT31" s="115">
        <v>9927.5910337419773</v>
      </c>
    </row>
    <row r="32" spans="2:202" x14ac:dyDescent="0.6">
      <c r="B32" s="106" t="s">
        <v>28</v>
      </c>
      <c r="C32" s="63" t="s">
        <v>434</v>
      </c>
      <c r="D32" s="113">
        <v>4053.0751465696289</v>
      </c>
      <c r="E32" s="114">
        <v>1847.8346175485219</v>
      </c>
      <c r="F32" s="114">
        <v>1792.26282511724</v>
      </c>
      <c r="G32" s="114">
        <v>5756.715658154576</v>
      </c>
      <c r="H32" s="114">
        <v>8334.0983745030262</v>
      </c>
      <c r="I32" s="114">
        <v>12144.507329287679</v>
      </c>
      <c r="J32" s="114">
        <v>1778.6534142504256</v>
      </c>
      <c r="K32" s="114">
        <v>15426.402504248021</v>
      </c>
      <c r="L32" s="114">
        <v>833.38154744818291</v>
      </c>
      <c r="M32" s="114">
        <v>2203.790279516099</v>
      </c>
      <c r="N32" s="114">
        <v>8950.7996577667873</v>
      </c>
      <c r="O32" s="114">
        <v>3060.5985509582119</v>
      </c>
      <c r="P32" s="114">
        <v>6431.7007753977932</v>
      </c>
      <c r="Q32" s="114">
        <v>8422.529074405169</v>
      </c>
      <c r="R32" s="114">
        <v>1267.6399238541135</v>
      </c>
      <c r="S32" s="114">
        <v>1700.6526673343119</v>
      </c>
      <c r="T32" s="114">
        <v>10383.656165736798</v>
      </c>
      <c r="U32" s="114">
        <v>4516.7874998088064</v>
      </c>
      <c r="V32" s="114">
        <v>6114.6185688950627</v>
      </c>
      <c r="W32" s="114">
        <v>11318.885735275982</v>
      </c>
      <c r="X32" s="114">
        <v>419.00127086726786</v>
      </c>
      <c r="Y32" s="114">
        <v>7442.9196391816085</v>
      </c>
      <c r="Z32" s="114">
        <v>10240.934068963334</v>
      </c>
      <c r="AA32" s="114">
        <v>9945.7992717672932</v>
      </c>
      <c r="AB32" s="114">
        <v>9815.8384758346347</v>
      </c>
      <c r="AC32" s="114" t="s">
        <v>237</v>
      </c>
      <c r="AD32" s="114">
        <v>4116.2057903967925</v>
      </c>
      <c r="AE32" s="114">
        <v>5107.2467143751028</v>
      </c>
      <c r="AF32" s="114">
        <v>5371.6840814911502</v>
      </c>
      <c r="AG32" s="114">
        <v>8450.0721113845702</v>
      </c>
      <c r="AH32" s="114">
        <v>4474.4260413866041</v>
      </c>
      <c r="AI32" s="114">
        <v>4487.7427697812509</v>
      </c>
      <c r="AJ32" s="114">
        <v>7729.7855529571434</v>
      </c>
      <c r="AK32" s="114">
        <v>7374.1410932699973</v>
      </c>
      <c r="AL32" s="114">
        <v>4276.9292044700996</v>
      </c>
      <c r="AM32" s="114">
        <v>3475.918919721129</v>
      </c>
      <c r="AN32" s="114">
        <v>12690.0638721306</v>
      </c>
      <c r="AO32" s="114">
        <v>8336.8991667552309</v>
      </c>
      <c r="AP32" s="114">
        <v>7385.791932997322</v>
      </c>
      <c r="AQ32" s="114">
        <v>10269.70460039245</v>
      </c>
      <c r="AR32" s="114">
        <v>6324.3221085638907</v>
      </c>
      <c r="AS32" s="114">
        <v>5262.0004061881891</v>
      </c>
      <c r="AT32" s="114">
        <v>5238.8391824956789</v>
      </c>
      <c r="AU32" s="114">
        <v>10667.693361638958</v>
      </c>
      <c r="AV32" s="114">
        <v>4921.7604206892165</v>
      </c>
      <c r="AW32" s="114">
        <v>697.29869571292022</v>
      </c>
      <c r="AX32" s="114">
        <v>9471.1074857203257</v>
      </c>
      <c r="AY32" s="114">
        <v>1192.9610943173191</v>
      </c>
      <c r="AZ32" s="114">
        <v>1089.7011144613273</v>
      </c>
      <c r="BA32" s="114">
        <v>1640.653757031374</v>
      </c>
      <c r="BB32" s="114">
        <v>3944.5964215070344</v>
      </c>
      <c r="BC32" s="114">
        <v>8424.33110125854</v>
      </c>
      <c r="BD32" s="114">
        <v>8868.5397518616919</v>
      </c>
      <c r="BE32" s="114">
        <v>5250.4784695788858</v>
      </c>
      <c r="BF32" s="114">
        <v>10963.620184120167</v>
      </c>
      <c r="BG32" s="114">
        <v>1554.0672267134357</v>
      </c>
      <c r="BH32" s="114">
        <v>10747.914387136343</v>
      </c>
      <c r="BI32" s="114">
        <v>4575.2039403275312</v>
      </c>
      <c r="BJ32" s="114">
        <v>3367.4478602145932</v>
      </c>
      <c r="BK32" s="114">
        <v>1866.8183155245301</v>
      </c>
      <c r="BL32" s="114">
        <v>7673.8126314611709</v>
      </c>
      <c r="BM32" s="114">
        <v>4003.214211055767</v>
      </c>
      <c r="BN32" s="114">
        <v>1972.071508398079</v>
      </c>
      <c r="BO32" s="114">
        <v>1762.9975634589903</v>
      </c>
      <c r="BP32" s="114">
        <v>4895.0181834579307</v>
      </c>
      <c r="BQ32" s="114">
        <v>4992.3363416396978</v>
      </c>
      <c r="BR32" s="114">
        <v>1760.775352095101</v>
      </c>
      <c r="BS32" s="114">
        <v>1324.3597585891405</v>
      </c>
      <c r="BT32" s="114">
        <v>1105.1550790170336</v>
      </c>
      <c r="BU32" s="114">
        <v>1399.6483107909887</v>
      </c>
      <c r="BV32" s="114">
        <v>4720.1636251212385</v>
      </c>
      <c r="BW32" s="114">
        <v>541.97093332128622</v>
      </c>
      <c r="BX32" s="114">
        <v>8695.3134301924292</v>
      </c>
      <c r="BY32" s="114">
        <v>10749.608490248187</v>
      </c>
      <c r="BZ32" s="114">
        <v>5130.7197174238172</v>
      </c>
      <c r="CA32" s="114">
        <v>5078.4236337023231</v>
      </c>
      <c r="CB32" s="114">
        <v>8808.8128564934577</v>
      </c>
      <c r="CC32" s="114">
        <v>9066.5898574730909</v>
      </c>
      <c r="CD32" s="114">
        <v>10549.392838692518</v>
      </c>
      <c r="CE32" s="114">
        <v>629.54005789373662</v>
      </c>
      <c r="CF32" s="114">
        <v>3700.9266943247922</v>
      </c>
      <c r="CG32" s="114">
        <v>5314.786061605947</v>
      </c>
      <c r="CH32" s="114">
        <v>5040.942509352828</v>
      </c>
      <c r="CI32" s="114">
        <v>9910.2681622739165</v>
      </c>
      <c r="CJ32" s="114">
        <v>2538.5066223197432</v>
      </c>
      <c r="CK32" s="114">
        <v>2111.099705471057</v>
      </c>
      <c r="CL32" s="114">
        <v>2471.4554163031521</v>
      </c>
      <c r="CM32" s="114">
        <v>5203.3447340767862</v>
      </c>
      <c r="CN32" s="114">
        <v>906.62805820514677</v>
      </c>
      <c r="CO32" s="114">
        <v>1168.6782388635932</v>
      </c>
      <c r="CP32" s="114">
        <v>9431.2523294177772</v>
      </c>
      <c r="CQ32" s="114">
        <v>9204.4937075209145</v>
      </c>
      <c r="CR32" s="114">
        <v>1627.5328840652292</v>
      </c>
      <c r="CS32" s="114">
        <v>3715.451023875276</v>
      </c>
      <c r="CT32" s="114">
        <v>5029.872210392793</v>
      </c>
      <c r="CU32" s="114">
        <v>2654.705503500637</v>
      </c>
      <c r="CV32" s="114">
        <v>4136.2106913930265</v>
      </c>
      <c r="CW32" s="114">
        <v>7818.5297211561665</v>
      </c>
      <c r="CX32" s="114">
        <v>1566.8810078297915</v>
      </c>
      <c r="CY32" s="114">
        <v>1449.8307771635787</v>
      </c>
      <c r="CZ32" s="114">
        <v>7975.957373831613</v>
      </c>
      <c r="DA32" s="114">
        <v>5215.8922937963862</v>
      </c>
      <c r="DB32" s="114">
        <v>1421.0718522536422</v>
      </c>
      <c r="DC32" s="114">
        <v>1209.1571312154078</v>
      </c>
      <c r="DD32" s="114">
        <v>1334.5196570783019</v>
      </c>
      <c r="DE32" s="114">
        <v>1526.0290904001624</v>
      </c>
      <c r="DF32" s="114">
        <v>7219.4696045289347</v>
      </c>
      <c r="DG32" s="114">
        <v>6364.4159182726225</v>
      </c>
      <c r="DH32" s="114">
        <v>8808.7603377972519</v>
      </c>
      <c r="DI32" s="114">
        <v>6527.8043587149732</v>
      </c>
      <c r="DJ32" s="114">
        <v>4470.77370036508</v>
      </c>
      <c r="DK32" s="114">
        <v>1085.372756736811</v>
      </c>
      <c r="DL32" s="114">
        <v>7784.9145894542316</v>
      </c>
      <c r="DM32" s="114">
        <v>7800.2519306705435</v>
      </c>
      <c r="DN32" s="114">
        <v>10969.275666248701</v>
      </c>
      <c r="DO32" s="114">
        <v>675.89910725620905</v>
      </c>
      <c r="DP32" s="114">
        <v>1286.9370996661696</v>
      </c>
      <c r="DQ32" s="114">
        <v>6258.5957761305854</v>
      </c>
      <c r="DR32" s="114">
        <v>322.96571906646307</v>
      </c>
      <c r="DS32" s="114">
        <v>2768.7962836138531</v>
      </c>
      <c r="DT32" s="114">
        <v>7622.2856926804179</v>
      </c>
      <c r="DU32" s="114">
        <v>7399.4489709970221</v>
      </c>
      <c r="DV32" s="114">
        <v>7233.1471675482262</v>
      </c>
      <c r="DW32" s="114">
        <v>5758.833068373212</v>
      </c>
      <c r="DX32" s="114">
        <v>1768.7131800992483</v>
      </c>
      <c r="DY32" s="114">
        <v>17515.976509498872</v>
      </c>
      <c r="DZ32" s="114">
        <v>17635.857817922562</v>
      </c>
      <c r="EA32" s="114">
        <v>10637.135209279979</v>
      </c>
      <c r="EB32" s="114">
        <v>3829.076011200088</v>
      </c>
      <c r="EC32" s="114">
        <v>4024.406214953</v>
      </c>
      <c r="ED32" s="114">
        <v>8029.3630687305185</v>
      </c>
      <c r="EE32" s="114">
        <v>167.04964208891994</v>
      </c>
      <c r="EF32" s="114">
        <v>2091.9814772860213</v>
      </c>
      <c r="EG32" s="114">
        <v>3865.8717041310679</v>
      </c>
      <c r="EH32" s="114">
        <v>4442.1981587974251</v>
      </c>
      <c r="EI32" s="114">
        <v>4425.102066776536</v>
      </c>
      <c r="EJ32" s="114">
        <v>10335.99593407873</v>
      </c>
      <c r="EK32" s="114">
        <v>11134.897827600056</v>
      </c>
      <c r="EL32" s="114">
        <v>11737.019017481007</v>
      </c>
      <c r="EM32" s="114">
        <v>9555.7254316869476</v>
      </c>
      <c r="EN32" s="114">
        <v>1088.944253898183</v>
      </c>
      <c r="EO32" s="114">
        <v>2753.141116311398</v>
      </c>
      <c r="EP32" s="114">
        <v>3209.6791619331698</v>
      </c>
      <c r="EQ32" s="114">
        <v>309.67677247660777</v>
      </c>
      <c r="ER32" s="114">
        <v>1806.2380069303956</v>
      </c>
      <c r="ES32" s="114">
        <v>4944.9507127918787</v>
      </c>
      <c r="ET32" s="114">
        <v>8378.1870165441833</v>
      </c>
      <c r="EU32" s="114">
        <v>8456.3637685920185</v>
      </c>
      <c r="EV32" s="114">
        <v>8565.9058858041863</v>
      </c>
      <c r="EW32" s="114">
        <v>894.15222010596244</v>
      </c>
      <c r="EX32" s="114">
        <v>5000.1034551374678</v>
      </c>
      <c r="EY32" s="114">
        <v>2925.4628032821765</v>
      </c>
      <c r="EZ32" s="114">
        <v>4969.9970899821092</v>
      </c>
      <c r="FA32" s="114">
        <v>322.61760783960426</v>
      </c>
      <c r="FB32" s="114">
        <v>5196.9622928495091</v>
      </c>
      <c r="FC32" s="114">
        <v>9137.4033687936317</v>
      </c>
      <c r="FD32" s="114">
        <v>789.87859687879688</v>
      </c>
      <c r="FE32" s="114">
        <v>810.83198909424414</v>
      </c>
      <c r="FF32" s="114">
        <v>5002.3702397993393</v>
      </c>
      <c r="FG32" s="114">
        <v>7565.8975400512663</v>
      </c>
      <c r="FH32" s="114">
        <v>8238.657952386031</v>
      </c>
      <c r="FI32" s="114">
        <v>4262.0760678866845</v>
      </c>
      <c r="FJ32" s="114">
        <v>2228.7077808486247</v>
      </c>
      <c r="FK32" s="114">
        <v>1739.3232584041277</v>
      </c>
      <c r="FL32" s="114">
        <v>6789.0351003830574</v>
      </c>
      <c r="FM32" s="114">
        <v>3141.9568758470082</v>
      </c>
      <c r="FN32" s="114">
        <v>8635.9234558293701</v>
      </c>
      <c r="FO32" s="114">
        <v>1896.1986324823465</v>
      </c>
      <c r="FP32" s="114">
        <v>1340.0713506060333</v>
      </c>
      <c r="FQ32" s="114">
        <v>1524.2221264579227</v>
      </c>
      <c r="FR32" s="114">
        <v>8800.4718804372787</v>
      </c>
      <c r="FS32" s="114">
        <v>3816.4752521253299</v>
      </c>
      <c r="FT32" s="114">
        <v>5715.0006747389061</v>
      </c>
      <c r="FU32" s="114">
        <v>7951.1323331180774</v>
      </c>
      <c r="FV32" s="114">
        <v>11619.80752646214</v>
      </c>
      <c r="FW32" s="114">
        <v>4586.3781751454162</v>
      </c>
      <c r="FX32" s="114">
        <v>8778.2843524603231</v>
      </c>
      <c r="FY32" s="114">
        <v>1301.6871341853273</v>
      </c>
      <c r="FZ32" s="114">
        <v>846.00223842580363</v>
      </c>
      <c r="GA32" s="114">
        <v>2933.2660369814971</v>
      </c>
      <c r="GB32" s="114">
        <v>4785.3269169695377</v>
      </c>
      <c r="GC32" s="114">
        <v>1027.0134433487156</v>
      </c>
      <c r="GD32" s="114">
        <v>3486.6945245119973</v>
      </c>
      <c r="GE32" s="114">
        <v>2012.6120887069058</v>
      </c>
      <c r="GF32" s="114">
        <v>10646.560775140364</v>
      </c>
      <c r="GG32" s="114">
        <v>7592.2626182768663</v>
      </c>
      <c r="GH32" s="114">
        <v>7286.1578999249223</v>
      </c>
      <c r="GI32" s="114">
        <v>7918.6549424364812</v>
      </c>
      <c r="GJ32" s="114">
        <v>11745.990835974395</v>
      </c>
      <c r="GK32" s="114">
        <v>3758.9168733239799</v>
      </c>
      <c r="GL32" s="114">
        <v>9216.4664075800374</v>
      </c>
      <c r="GM32" s="114">
        <v>7833.2354232106582</v>
      </c>
      <c r="GN32" s="114">
        <v>3616.6857644356287</v>
      </c>
      <c r="GO32" s="114">
        <v>6439.3465854877986</v>
      </c>
      <c r="GP32" s="114">
        <v>6706.4677531444777</v>
      </c>
      <c r="GQ32" s="114">
        <v>8661.7247878000962</v>
      </c>
      <c r="GR32" s="114">
        <v>15342.330126960169</v>
      </c>
      <c r="GS32" s="114">
        <v>1274.9872778418901</v>
      </c>
      <c r="GT32" s="115">
        <v>7649.632435795198</v>
      </c>
    </row>
    <row r="33" spans="2:202" x14ac:dyDescent="0.6">
      <c r="B33" s="106" t="s">
        <v>29</v>
      </c>
      <c r="C33" s="63" t="s">
        <v>435</v>
      </c>
      <c r="D33" s="113">
        <v>7459.3681776493786</v>
      </c>
      <c r="E33" s="114">
        <v>2734.0933506197489</v>
      </c>
      <c r="F33" s="114">
        <v>3363.2096477694281</v>
      </c>
      <c r="G33" s="114">
        <v>2797.0329968916981</v>
      </c>
      <c r="H33" s="114">
        <v>6512.7168747396699</v>
      </c>
      <c r="I33" s="114">
        <v>8168.1823584253052</v>
      </c>
      <c r="J33" s="114">
        <v>5426.428019466548</v>
      </c>
      <c r="K33" s="114">
        <v>16314.387573601167</v>
      </c>
      <c r="L33" s="114">
        <v>4317.2809815734754</v>
      </c>
      <c r="M33" s="114">
        <v>5853.4814798155503</v>
      </c>
      <c r="N33" s="114">
        <v>8033.7806592690704</v>
      </c>
      <c r="O33" s="114">
        <v>5600.2238936386466</v>
      </c>
      <c r="P33" s="114">
        <v>9629.7128085143231</v>
      </c>
      <c r="Q33" s="114">
        <v>6280.546642236327</v>
      </c>
      <c r="R33" s="114">
        <v>5247.5612163662054</v>
      </c>
      <c r="S33" s="114">
        <v>4294.8413255877331</v>
      </c>
      <c r="T33" s="114">
        <v>9298.5893057685771</v>
      </c>
      <c r="U33" s="114">
        <v>774.53281457944172</v>
      </c>
      <c r="V33" s="114">
        <v>9464.1050396630253</v>
      </c>
      <c r="W33" s="114">
        <v>7992.034150689974</v>
      </c>
      <c r="X33" s="114">
        <v>3960.5787423855536</v>
      </c>
      <c r="Y33" s="114">
        <v>5007.1169792095679</v>
      </c>
      <c r="Z33" s="114">
        <v>6329.415233468666</v>
      </c>
      <c r="AA33" s="114">
        <v>5997.9617234362404</v>
      </c>
      <c r="AB33" s="114">
        <v>12735.455582760686</v>
      </c>
      <c r="AC33" s="114">
        <v>4116.2057903967925</v>
      </c>
      <c r="AD33" s="114" t="s">
        <v>237</v>
      </c>
      <c r="AE33" s="114">
        <v>3774.0027753255658</v>
      </c>
      <c r="AF33" s="114">
        <v>2402.3463821443506</v>
      </c>
      <c r="AG33" s="114">
        <v>11418.402391318095</v>
      </c>
      <c r="AH33" s="114">
        <v>1508.7776550024657</v>
      </c>
      <c r="AI33" s="114">
        <v>1692.0319314036046</v>
      </c>
      <c r="AJ33" s="114">
        <v>8125.253112799358</v>
      </c>
      <c r="AK33" s="114">
        <v>7812.3738673257631</v>
      </c>
      <c r="AL33" s="114">
        <v>2333.2275081190128</v>
      </c>
      <c r="AM33" s="114">
        <v>1727.2339369348917</v>
      </c>
      <c r="AN33" s="114">
        <v>8878.3299460630296</v>
      </c>
      <c r="AO33" s="114">
        <v>12239.841954130088</v>
      </c>
      <c r="AP33" s="114">
        <v>11381.868405730052</v>
      </c>
      <c r="AQ33" s="114">
        <v>8027.5231287124316</v>
      </c>
      <c r="AR33" s="114">
        <v>5563.0966647843843</v>
      </c>
      <c r="AS33" s="114">
        <v>2594.2124899367486</v>
      </c>
      <c r="AT33" s="114">
        <v>2560.3465416145036</v>
      </c>
      <c r="AU33" s="114">
        <v>9002.6117306562101</v>
      </c>
      <c r="AV33" s="114">
        <v>813.66625809022196</v>
      </c>
      <c r="AW33" s="114">
        <v>4037.69475606468</v>
      </c>
      <c r="AX33" s="114">
        <v>8565.3640029319813</v>
      </c>
      <c r="AY33" s="114">
        <v>4309.8469280514555</v>
      </c>
      <c r="AZ33" s="114">
        <v>4446.3042157764958</v>
      </c>
      <c r="BA33" s="114">
        <v>4954.0933140307025</v>
      </c>
      <c r="BB33" s="114">
        <v>4734.4660464973631</v>
      </c>
      <c r="BC33" s="114">
        <v>6465.6737569995448</v>
      </c>
      <c r="BD33" s="114">
        <v>7320.1353558638102</v>
      </c>
      <c r="BE33" s="114">
        <v>2571.3606409306221</v>
      </c>
      <c r="BF33" s="114">
        <v>8603.9686480796045</v>
      </c>
      <c r="BG33" s="114">
        <v>3885.6306527050897</v>
      </c>
      <c r="BH33" s="114">
        <v>9463.5468816414013</v>
      </c>
      <c r="BI33" s="114">
        <v>1448.8033422469946</v>
      </c>
      <c r="BJ33" s="114">
        <v>4313.1855972634348</v>
      </c>
      <c r="BK33" s="114">
        <v>5654.5988566462756</v>
      </c>
      <c r="BL33" s="114">
        <v>5514.5394153261832</v>
      </c>
      <c r="BM33" s="114">
        <v>4351.7678128124617</v>
      </c>
      <c r="BN33" s="114">
        <v>5757.9395442205132</v>
      </c>
      <c r="BO33" s="114">
        <v>4054.9047578922768</v>
      </c>
      <c r="BP33" s="114">
        <v>1763.0918096568146</v>
      </c>
      <c r="BQ33" s="114">
        <v>1642.4197169633064</v>
      </c>
      <c r="BR33" s="114">
        <v>5497.2491927249384</v>
      </c>
      <c r="BS33" s="114">
        <v>4650.7201227765554</v>
      </c>
      <c r="BT33" s="114">
        <v>4176.1296913291508</v>
      </c>
      <c r="BU33" s="114">
        <v>4318.4069555563574</v>
      </c>
      <c r="BV33" s="114">
        <v>768.29279255858194</v>
      </c>
      <c r="BW33" s="114">
        <v>3748.0300634508521</v>
      </c>
      <c r="BX33" s="114">
        <v>6557.1798378996409</v>
      </c>
      <c r="BY33" s="114">
        <v>9559.9978616737953</v>
      </c>
      <c r="BZ33" s="114">
        <v>1369.0191601378012</v>
      </c>
      <c r="CA33" s="114">
        <v>1541.9483226750829</v>
      </c>
      <c r="CB33" s="114">
        <v>6256.0254944933786</v>
      </c>
      <c r="CC33" s="114">
        <v>7593.0864588471713</v>
      </c>
      <c r="CD33" s="114">
        <v>9241.8736928363578</v>
      </c>
      <c r="CE33" s="114">
        <v>4344.5365644719232</v>
      </c>
      <c r="CF33" s="114">
        <v>5987.825638166958</v>
      </c>
      <c r="CG33" s="114">
        <v>7928.187527774865</v>
      </c>
      <c r="CH33" s="114">
        <v>8248.9962431125732</v>
      </c>
      <c r="CI33" s="114">
        <v>12068.477408444729</v>
      </c>
      <c r="CJ33" s="114">
        <v>5861.4755653177563</v>
      </c>
      <c r="CK33" s="114">
        <v>5177.3136018022788</v>
      </c>
      <c r="CL33" s="114">
        <v>4585.9592962249271</v>
      </c>
      <c r="CM33" s="114">
        <v>4081.3679556077714</v>
      </c>
      <c r="CN33" s="114">
        <v>3524.8609476699703</v>
      </c>
      <c r="CO33" s="114">
        <v>3835.2609262043775</v>
      </c>
      <c r="CP33" s="114">
        <v>8049.3706089256984</v>
      </c>
      <c r="CQ33" s="114">
        <v>13305.603266253287</v>
      </c>
      <c r="CR33" s="114">
        <v>4338.500959490485</v>
      </c>
      <c r="CS33" s="114">
        <v>7747.2789493000264</v>
      </c>
      <c r="CT33" s="114">
        <v>4426.3306481707659</v>
      </c>
      <c r="CU33" s="114">
        <v>5424.209225404622</v>
      </c>
      <c r="CV33" s="114">
        <v>7935.7932635117959</v>
      </c>
      <c r="CW33" s="114">
        <v>11002.712829061798</v>
      </c>
      <c r="CX33" s="114">
        <v>5392.4345276887716</v>
      </c>
      <c r="CY33" s="114">
        <v>4404.3556666065415</v>
      </c>
      <c r="CZ33" s="114">
        <v>5526.5309138101384</v>
      </c>
      <c r="DA33" s="114">
        <v>1205.3861336599607</v>
      </c>
      <c r="DB33" s="114">
        <v>2695.1477037118539</v>
      </c>
      <c r="DC33" s="114">
        <v>4008.9372267745853</v>
      </c>
      <c r="DD33" s="114">
        <v>5237.663808046922</v>
      </c>
      <c r="DE33" s="114">
        <v>4194.0530403246876</v>
      </c>
      <c r="DF33" s="114">
        <v>6329.0492096507414</v>
      </c>
      <c r="DG33" s="114">
        <v>4810.9435090088919</v>
      </c>
      <c r="DH33" s="114">
        <v>11311.624274711632</v>
      </c>
      <c r="DI33" s="114">
        <v>8239.3719667816786</v>
      </c>
      <c r="DJ33" s="114">
        <v>679.47051355632823</v>
      </c>
      <c r="DK33" s="114">
        <v>3037.4850640813552</v>
      </c>
      <c r="DL33" s="114">
        <v>7344.0945925347796</v>
      </c>
      <c r="DM33" s="114">
        <v>7365.8633040359891</v>
      </c>
      <c r="DN33" s="114">
        <v>10365.007037229336</v>
      </c>
      <c r="DO33" s="114">
        <v>4791.3594735504921</v>
      </c>
      <c r="DP33" s="114">
        <v>3610.6486616922748</v>
      </c>
      <c r="DQ33" s="114">
        <v>10317.347999176171</v>
      </c>
      <c r="DR33" s="114">
        <v>3910.0621777829647</v>
      </c>
      <c r="DS33" s="114">
        <v>2495.9002044044778</v>
      </c>
      <c r="DT33" s="114">
        <v>5554.5987518427528</v>
      </c>
      <c r="DU33" s="114">
        <v>10407.766474896067</v>
      </c>
      <c r="DV33" s="114">
        <v>4325.917606600794</v>
      </c>
      <c r="DW33" s="114">
        <v>9048.3769832591861</v>
      </c>
      <c r="DX33" s="114">
        <v>4487.355811761975</v>
      </c>
      <c r="DY33" s="114">
        <v>17238.78836480439</v>
      </c>
      <c r="DZ33" s="114">
        <v>16758.910722920235</v>
      </c>
      <c r="EA33" s="114">
        <v>9183.6437176585732</v>
      </c>
      <c r="EB33" s="114">
        <v>385.14170161097843</v>
      </c>
      <c r="EC33" s="114">
        <v>1003.0751620812995</v>
      </c>
      <c r="ED33" s="114">
        <v>12080.660731188631</v>
      </c>
      <c r="EE33" s="114">
        <v>3974.2763582742286</v>
      </c>
      <c r="EF33" s="114">
        <v>5359.9209857720807</v>
      </c>
      <c r="EG33" s="114">
        <v>6397.5482286222641</v>
      </c>
      <c r="EH33" s="114">
        <v>7278.9863026713774</v>
      </c>
      <c r="EI33" s="114">
        <v>7828.8853713203789</v>
      </c>
      <c r="EJ33" s="114">
        <v>8499.4929971943475</v>
      </c>
      <c r="EK33" s="114">
        <v>7345.6569268389103</v>
      </c>
      <c r="EL33" s="114">
        <v>8773.8763813946989</v>
      </c>
      <c r="EM33" s="114">
        <v>13007.22189766579</v>
      </c>
      <c r="EN33" s="114">
        <v>4873.7857273834907</v>
      </c>
      <c r="EO33" s="114">
        <v>3021.4976981416248</v>
      </c>
      <c r="EP33" s="114">
        <v>5695.5432339422032</v>
      </c>
      <c r="EQ33" s="114">
        <v>4424.3482674328807</v>
      </c>
      <c r="ER33" s="114">
        <v>5891.8100977297563</v>
      </c>
      <c r="ES33" s="114">
        <v>3783.3032270554977</v>
      </c>
      <c r="ET33" s="114">
        <v>6574.8545402664267</v>
      </c>
      <c r="EU33" s="114">
        <v>6407.198250917023</v>
      </c>
      <c r="EV33" s="114">
        <v>6473.7724061396802</v>
      </c>
      <c r="EW33" s="114">
        <v>3727.3580035518271</v>
      </c>
      <c r="EX33" s="114">
        <v>1586.0044454362621</v>
      </c>
      <c r="EY33" s="114">
        <v>5192.3035049407908</v>
      </c>
      <c r="EZ33" s="114">
        <v>1747.342437066937</v>
      </c>
      <c r="FA33" s="114">
        <v>4147.1224915074527</v>
      </c>
      <c r="FB33" s="114">
        <v>1367.3255762892743</v>
      </c>
      <c r="FC33" s="114">
        <v>11617.09274623328</v>
      </c>
      <c r="FD33" s="114">
        <v>4345.5638153879991</v>
      </c>
      <c r="FE33" s="114">
        <v>4046.1848801352066</v>
      </c>
      <c r="FF33" s="114">
        <v>5249.4771976850789</v>
      </c>
      <c r="FG33" s="114">
        <v>5256.1234713190361</v>
      </c>
      <c r="FH33" s="114">
        <v>12278.788859746985</v>
      </c>
      <c r="FI33" s="114">
        <v>3702.4289733859491</v>
      </c>
      <c r="FJ33" s="114">
        <v>3131.6747152763628</v>
      </c>
      <c r="FK33" s="114">
        <v>3268.327900952072</v>
      </c>
      <c r="FL33" s="114">
        <v>8890.0773458523709</v>
      </c>
      <c r="FM33" s="114">
        <v>3648.1622043577991</v>
      </c>
      <c r="FN33" s="114">
        <v>5948.3898081634125</v>
      </c>
      <c r="FO33" s="114">
        <v>5473.1394148451236</v>
      </c>
      <c r="FP33" s="114">
        <v>3911.2985955015806</v>
      </c>
      <c r="FQ33" s="114">
        <v>4468.3711162999643</v>
      </c>
      <c r="FR33" s="114">
        <v>12571.169401714458</v>
      </c>
      <c r="FS33" s="114">
        <v>7416.4211259649874</v>
      </c>
      <c r="FT33" s="114">
        <v>4957.7978899803174</v>
      </c>
      <c r="FU33" s="114">
        <v>10916.756929747093</v>
      </c>
      <c r="FV33" s="114">
        <v>14164.226508051099</v>
      </c>
      <c r="FW33" s="114">
        <v>727.54489070993009</v>
      </c>
      <c r="FX33" s="114">
        <v>6550.7282492177792</v>
      </c>
      <c r="FY33" s="114">
        <v>2938.3957706076681</v>
      </c>
      <c r="FZ33" s="114">
        <v>4507.4228869639492</v>
      </c>
      <c r="GA33" s="114">
        <v>6458.8647727317857</v>
      </c>
      <c r="GB33" s="114">
        <v>3937.7774275164743</v>
      </c>
      <c r="GC33" s="114">
        <v>5121.503512270423</v>
      </c>
      <c r="GD33" s="114">
        <v>5978.9414210369641</v>
      </c>
      <c r="GE33" s="114">
        <v>4361.4168858811236</v>
      </c>
      <c r="GF33" s="114">
        <v>11611.813398103261</v>
      </c>
      <c r="GG33" s="114">
        <v>7677.9114982897136</v>
      </c>
      <c r="GH33" s="114">
        <v>7443.1201485913689</v>
      </c>
      <c r="GI33" s="114">
        <v>7933.4497434674895</v>
      </c>
      <c r="GJ33" s="114">
        <v>7762.8577174108059</v>
      </c>
      <c r="GK33" s="114">
        <v>7487.0471940969192</v>
      </c>
      <c r="GL33" s="114">
        <v>7102.6609187645745</v>
      </c>
      <c r="GM33" s="114">
        <v>11213.135397133055</v>
      </c>
      <c r="GN33" s="114">
        <v>4917.7167931060303</v>
      </c>
      <c r="GO33" s="114">
        <v>4451.8203441460018</v>
      </c>
      <c r="GP33" s="114">
        <v>4838.8972449505163</v>
      </c>
      <c r="GQ33" s="114">
        <v>11657.328883540782</v>
      </c>
      <c r="GR33" s="114">
        <v>16089.757573252418</v>
      </c>
      <c r="GS33" s="114">
        <v>4023.4149639455322</v>
      </c>
      <c r="GT33" s="115">
        <v>5314.7384365835615</v>
      </c>
    </row>
    <row r="34" spans="2:202" x14ac:dyDescent="0.6">
      <c r="B34" s="106" t="s">
        <v>30</v>
      </c>
      <c r="C34" s="63" t="s">
        <v>533</v>
      </c>
      <c r="D34" s="113">
        <v>5894.9227578643531</v>
      </c>
      <c r="E34" s="114">
        <v>5166.6101500545619</v>
      </c>
      <c r="F34" s="114">
        <v>5781.8450925502184</v>
      </c>
      <c r="G34" s="114">
        <v>1869.3246668269187</v>
      </c>
      <c r="H34" s="114">
        <v>10219.188565571079</v>
      </c>
      <c r="I34" s="114">
        <v>9726.1679992863264</v>
      </c>
      <c r="J34" s="114">
        <v>5051.617823586912</v>
      </c>
      <c r="K34" s="114">
        <v>12673.906683798723</v>
      </c>
      <c r="L34" s="114">
        <v>5839.5459040947762</v>
      </c>
      <c r="M34" s="114">
        <v>5258.3030006971258</v>
      </c>
      <c r="N34" s="114">
        <v>11805.194698058662</v>
      </c>
      <c r="O34" s="114">
        <v>3968.6059202390802</v>
      </c>
      <c r="P34" s="114">
        <v>7238.1931976572896</v>
      </c>
      <c r="Q34" s="114">
        <v>9922.4602571500764</v>
      </c>
      <c r="R34" s="114">
        <v>6304.9643998911815</v>
      </c>
      <c r="S34" s="114">
        <v>6425.5090830542968</v>
      </c>
      <c r="T34" s="114">
        <v>13027.493173633513</v>
      </c>
      <c r="U34" s="114">
        <v>3149.260590880056</v>
      </c>
      <c r="V34" s="114">
        <v>7283.3873225208672</v>
      </c>
      <c r="W34" s="114">
        <v>10684.925937616252</v>
      </c>
      <c r="X34" s="114">
        <v>5304.4326018699358</v>
      </c>
      <c r="Y34" s="114">
        <v>2398.7873989136629</v>
      </c>
      <c r="Z34" s="114">
        <v>8422.375663648565</v>
      </c>
      <c r="AA34" s="114">
        <v>8064.4889508182623</v>
      </c>
      <c r="AB34" s="114">
        <v>9572.6481962809958</v>
      </c>
      <c r="AC34" s="114">
        <v>5107.2467143751028</v>
      </c>
      <c r="AD34" s="114">
        <v>3774.0027753255658</v>
      </c>
      <c r="AE34" s="114" t="s">
        <v>237</v>
      </c>
      <c r="AF34" s="114">
        <v>6123.9616811927963</v>
      </c>
      <c r="AG34" s="114">
        <v>8481.3141301726901</v>
      </c>
      <c r="AH34" s="114">
        <v>2307.7658888785777</v>
      </c>
      <c r="AI34" s="114">
        <v>2115.3444766715588</v>
      </c>
      <c r="AJ34" s="114">
        <v>11736.602778442877</v>
      </c>
      <c r="AK34" s="114">
        <v>11396.506448916029</v>
      </c>
      <c r="AL34" s="114">
        <v>1457.1541421130564</v>
      </c>
      <c r="AM34" s="114">
        <v>2340.8025766253177</v>
      </c>
      <c r="AN34" s="114">
        <v>10701.86848932495</v>
      </c>
      <c r="AO34" s="114">
        <v>10406.077342913944</v>
      </c>
      <c r="AP34" s="114">
        <v>9976.1703065976744</v>
      </c>
      <c r="AQ34" s="114">
        <v>11493.856204662046</v>
      </c>
      <c r="AR34" s="114">
        <v>1792.3991252920471</v>
      </c>
      <c r="AS34" s="114">
        <v>1544.0079504248104</v>
      </c>
      <c r="AT34" s="114">
        <v>1563.6628242282923</v>
      </c>
      <c r="AU34" s="114">
        <v>12608.736674696203</v>
      </c>
      <c r="AV34" s="114">
        <v>3807.3855614505146</v>
      </c>
      <c r="AW34" s="114">
        <v>5575.4033983600848</v>
      </c>
      <c r="AX34" s="114">
        <v>12331.740616360557</v>
      </c>
      <c r="AY34" s="114">
        <v>4275.4695979081134</v>
      </c>
      <c r="AZ34" s="114">
        <v>6087.8602836533646</v>
      </c>
      <c r="BA34" s="114">
        <v>6692.6487701117567</v>
      </c>
      <c r="BB34" s="114">
        <v>2140.6203631149847</v>
      </c>
      <c r="BC34" s="114">
        <v>10144.633400103214</v>
      </c>
      <c r="BD34" s="114">
        <v>11043.219208287506</v>
      </c>
      <c r="BE34" s="114">
        <v>1561.0994854132066</v>
      </c>
      <c r="BF34" s="114">
        <v>11952.759840355275</v>
      </c>
      <c r="BG34" s="114">
        <v>3694.2219139552485</v>
      </c>
      <c r="BH34" s="114">
        <v>13146.175714726174</v>
      </c>
      <c r="BI34" s="114">
        <v>2412.8947059743664</v>
      </c>
      <c r="BJ34" s="114">
        <v>2286.3591774133929</v>
      </c>
      <c r="BK34" s="114">
        <v>6948.6876621958763</v>
      </c>
      <c r="BL34" s="114">
        <v>2567.5537200419335</v>
      </c>
      <c r="BM34" s="114">
        <v>1697.982730605803</v>
      </c>
      <c r="BN34" s="114">
        <v>7049.0392592971102</v>
      </c>
      <c r="BO34" s="114">
        <v>6310.1072251140304</v>
      </c>
      <c r="BP34" s="114">
        <v>2246.188520546134</v>
      </c>
      <c r="BQ34" s="114">
        <v>5351.3389767000817</v>
      </c>
      <c r="BR34" s="114">
        <v>5195.1834165991113</v>
      </c>
      <c r="BS34" s="114">
        <v>6346.5082826543176</v>
      </c>
      <c r="BT34" s="114">
        <v>5954.4612271356273</v>
      </c>
      <c r="BU34" s="114">
        <v>6239.9941374608843</v>
      </c>
      <c r="BV34" s="114">
        <v>3382.7721532826863</v>
      </c>
      <c r="BW34" s="114">
        <v>4568.410241532375</v>
      </c>
      <c r="BX34" s="114">
        <v>10181.730593030754</v>
      </c>
      <c r="BY34" s="114">
        <v>13258.868994624032</v>
      </c>
      <c r="BZ34" s="114">
        <v>4926.5661649841068</v>
      </c>
      <c r="CA34" s="114">
        <v>5195.6624610184745</v>
      </c>
      <c r="CB34" s="114">
        <v>9749.4969559943529</v>
      </c>
      <c r="CC34" s="114">
        <v>11318.646816114668</v>
      </c>
      <c r="CD34" s="114">
        <v>12930.38681382112</v>
      </c>
      <c r="CE34" s="114">
        <v>5696.5317756297527</v>
      </c>
      <c r="CF34" s="114">
        <v>8552.8020077292076</v>
      </c>
      <c r="CG34" s="114">
        <v>5379.5206349640175</v>
      </c>
      <c r="CH34" s="114">
        <v>6203.4124121322102</v>
      </c>
      <c r="CI34" s="114">
        <v>8558.5935392444808</v>
      </c>
      <c r="CJ34" s="114">
        <v>4871.3911416027049</v>
      </c>
      <c r="CK34" s="114">
        <v>4344.3049170554896</v>
      </c>
      <c r="CL34" s="114">
        <v>7078.6345521545336</v>
      </c>
      <c r="CM34" s="114">
        <v>7799.6805645189816</v>
      </c>
      <c r="CN34" s="114">
        <v>5256.0330341177769</v>
      </c>
      <c r="CO34" s="114">
        <v>5756.6875947457429</v>
      </c>
      <c r="CP34" s="114">
        <v>11773.694934643139</v>
      </c>
      <c r="CQ34" s="114">
        <v>12064.176160982544</v>
      </c>
      <c r="CR34" s="114">
        <v>3919.6049180005275</v>
      </c>
      <c r="CS34" s="114">
        <v>7230.7649287658223</v>
      </c>
      <c r="CT34" s="114">
        <v>840.74374016675506</v>
      </c>
      <c r="CU34" s="114">
        <v>4129.2421259120993</v>
      </c>
      <c r="CV34" s="114">
        <v>6815.0420082417268</v>
      </c>
      <c r="CW34" s="114">
        <v>8333.5683755705613</v>
      </c>
      <c r="CX34" s="114">
        <v>6653.3014521126688</v>
      </c>
      <c r="CY34" s="114">
        <v>4130.2206043371343</v>
      </c>
      <c r="CZ34" s="114">
        <v>2900.0993839173893</v>
      </c>
      <c r="DA34" s="114">
        <v>4523.1940451339788</v>
      </c>
      <c r="DB34" s="114">
        <v>4312.5142504123378</v>
      </c>
      <c r="DC34" s="114">
        <v>5915.0121853632081</v>
      </c>
      <c r="DD34" s="114">
        <v>6408.7929926151992</v>
      </c>
      <c r="DE34" s="114">
        <v>6249.4288922997712</v>
      </c>
      <c r="DF34" s="114">
        <v>2611.7142679731137</v>
      </c>
      <c r="DG34" s="114">
        <v>1294.4837917604286</v>
      </c>
      <c r="DH34" s="114">
        <v>8056.4338500954709</v>
      </c>
      <c r="DI34" s="114">
        <v>4964.5869156171375</v>
      </c>
      <c r="DJ34" s="114">
        <v>4408.6974322771948</v>
      </c>
      <c r="DK34" s="114">
        <v>4573.427166482079</v>
      </c>
      <c r="DL34" s="114">
        <v>3583.6156331251432</v>
      </c>
      <c r="DM34" s="114">
        <v>3605.1818209115736</v>
      </c>
      <c r="DN34" s="114">
        <v>14125.505375581899</v>
      </c>
      <c r="DO34" s="114">
        <v>5578.7910783251118</v>
      </c>
      <c r="DP34" s="114">
        <v>5649.6682752021597</v>
      </c>
      <c r="DQ34" s="114">
        <v>9361.7533045934815</v>
      </c>
      <c r="DR34" s="114">
        <v>5168.0358315056101</v>
      </c>
      <c r="DS34" s="114">
        <v>5595.358920095362</v>
      </c>
      <c r="DT34" s="114">
        <v>2515.4805262813234</v>
      </c>
      <c r="DU34" s="114">
        <v>7673.2558748079064</v>
      </c>
      <c r="DV34" s="114">
        <v>2503.5118518411132</v>
      </c>
      <c r="DW34" s="114">
        <v>6891.6188749534385</v>
      </c>
      <c r="DX34" s="114">
        <v>6580.8189917382088</v>
      </c>
      <c r="DY34" s="114">
        <v>14316.46447821109</v>
      </c>
      <c r="DZ34" s="114">
        <v>13956.088379561699</v>
      </c>
      <c r="EA34" s="114">
        <v>12839.689163830972</v>
      </c>
      <c r="EB34" s="114">
        <v>3506.5651438815557</v>
      </c>
      <c r="EC34" s="114">
        <v>2777.2987981468709</v>
      </c>
      <c r="ED34" s="114">
        <v>10757.094948769909</v>
      </c>
      <c r="EE34" s="114">
        <v>5085.9356307647686</v>
      </c>
      <c r="EF34" s="114">
        <v>7163.6992022046334</v>
      </c>
      <c r="EG34" s="114">
        <v>4324.0812541146161</v>
      </c>
      <c r="EH34" s="114">
        <v>5143.9421343101067</v>
      </c>
      <c r="EI34" s="114">
        <v>6142.8033194379959</v>
      </c>
      <c r="EJ34" s="114">
        <v>12085.470274959616</v>
      </c>
      <c r="EK34" s="114">
        <v>9504.3588262831563</v>
      </c>
      <c r="EL34" s="114">
        <v>11687.818285102812</v>
      </c>
      <c r="EM34" s="114">
        <v>10290.66176192099</v>
      </c>
      <c r="EN34" s="114">
        <v>6196.1722860470745</v>
      </c>
      <c r="EO34" s="114">
        <v>6066.9310772427352</v>
      </c>
      <c r="EP34" s="114">
        <v>3953.3625817041293</v>
      </c>
      <c r="EQ34" s="114">
        <v>5282.9041756296738</v>
      </c>
      <c r="ER34" s="114">
        <v>6596.2802274477208</v>
      </c>
      <c r="ES34" s="114">
        <v>199.0104489496976</v>
      </c>
      <c r="ET34" s="114">
        <v>10282.067437396307</v>
      </c>
      <c r="EU34" s="114">
        <v>10066.77327638822</v>
      </c>
      <c r="EV34" s="114">
        <v>10117.42640316822</v>
      </c>
      <c r="EW34" s="114">
        <v>5461.5997844100184</v>
      </c>
      <c r="EX34" s="114">
        <v>2558.6814474771932</v>
      </c>
      <c r="EY34" s="114">
        <v>3587.6098789359967</v>
      </c>
      <c r="EZ34" s="114">
        <v>5477.6274076015143</v>
      </c>
      <c r="FA34" s="114">
        <v>5371.6024739098166</v>
      </c>
      <c r="FB34" s="114">
        <v>4865.9836256569779</v>
      </c>
      <c r="FC34" s="114">
        <v>8311.3057072816791</v>
      </c>
      <c r="FD34" s="114">
        <v>5820.1524185515764</v>
      </c>
      <c r="FE34" s="114">
        <v>5663.1433953091318</v>
      </c>
      <c r="FF34" s="114">
        <v>1876.7759710731857</v>
      </c>
      <c r="FG34" s="114">
        <v>2480.0145682265397</v>
      </c>
      <c r="FH34" s="114">
        <v>10867.670171400769</v>
      </c>
      <c r="FI34" s="114">
        <v>929.96642274255441</v>
      </c>
      <c r="FJ34" s="114">
        <v>5858.4615069347992</v>
      </c>
      <c r="FK34" s="114">
        <v>5657.0964585666943</v>
      </c>
      <c r="FL34" s="114">
        <v>5735.5693038854515</v>
      </c>
      <c r="FM34" s="114">
        <v>2083.200888994993</v>
      </c>
      <c r="FN34" s="114">
        <v>9409.2305174679368</v>
      </c>
      <c r="FO34" s="114">
        <v>7003.3236839496894</v>
      </c>
      <c r="FP34" s="114">
        <v>5932.8028202263131</v>
      </c>
      <c r="FQ34" s="114">
        <v>4120.391660052509</v>
      </c>
      <c r="FR34" s="114">
        <v>10396.284206632561</v>
      </c>
      <c r="FS34" s="114">
        <v>6128.5197778642523</v>
      </c>
      <c r="FT34" s="114">
        <v>1190.9057695358374</v>
      </c>
      <c r="FU34" s="114">
        <v>8056.9145774560257</v>
      </c>
      <c r="FV34" s="114">
        <v>10628.991986435893</v>
      </c>
      <c r="FW34" s="114">
        <v>3272.6285345015276</v>
      </c>
      <c r="FX34" s="114">
        <v>10146.89002442327</v>
      </c>
      <c r="FY34" s="114">
        <v>4833.0681406910626</v>
      </c>
      <c r="FZ34" s="114">
        <v>4763.7688241825781</v>
      </c>
      <c r="GA34" s="114">
        <v>5426.2028032001372</v>
      </c>
      <c r="GB34" s="114">
        <v>509.73761582143283</v>
      </c>
      <c r="GC34" s="114">
        <v>5945.4127631717565</v>
      </c>
      <c r="GD34" s="114">
        <v>4078.9929427362104</v>
      </c>
      <c r="GE34" s="114">
        <v>6664.1199777520469</v>
      </c>
      <c r="GF34" s="114">
        <v>15202.3186833124</v>
      </c>
      <c r="GG34" s="114">
        <v>11346.366268847883</v>
      </c>
      <c r="GH34" s="114">
        <v>11084.835805685776</v>
      </c>
      <c r="GI34" s="114">
        <v>11626.532281324218</v>
      </c>
      <c r="GJ34" s="114">
        <v>9377.1178845829672</v>
      </c>
      <c r="GK34" s="114">
        <v>6374.2674447378276</v>
      </c>
      <c r="GL34" s="114">
        <v>10696.564049283512</v>
      </c>
      <c r="GM34" s="114">
        <v>8720.9110549508623</v>
      </c>
      <c r="GN34" s="114">
        <v>2640.946708818336</v>
      </c>
      <c r="GO34" s="114">
        <v>1352.3059003248447</v>
      </c>
      <c r="GP34" s="114">
        <v>1599.3978890642554</v>
      </c>
      <c r="GQ34" s="114">
        <v>8706.6916610328099</v>
      </c>
      <c r="GR34" s="114">
        <v>12460.461757490943</v>
      </c>
      <c r="GS34" s="114">
        <v>5969.7869499010103</v>
      </c>
      <c r="GT34" s="115">
        <v>2564.8466471261636</v>
      </c>
    </row>
    <row r="35" spans="2:202" x14ac:dyDescent="0.6">
      <c r="B35" s="106" t="s">
        <v>31</v>
      </c>
      <c r="C35" s="63" t="s">
        <v>436</v>
      </c>
      <c r="D35" s="113">
        <v>9293.4449852366106</v>
      </c>
      <c r="E35" s="114">
        <v>3536.1174657284346</v>
      </c>
      <c r="F35" s="114">
        <v>3842.6160449769213</v>
      </c>
      <c r="G35" s="114">
        <v>4797.1935574286208</v>
      </c>
      <c r="H35" s="114">
        <v>4113.8776175842313</v>
      </c>
      <c r="I35" s="114">
        <v>6883.0651929320711</v>
      </c>
      <c r="J35" s="114">
        <v>7049.0197230413369</v>
      </c>
      <c r="K35" s="114">
        <v>17843.498717825085</v>
      </c>
      <c r="L35" s="114">
        <v>5155.7409617804542</v>
      </c>
      <c r="M35" s="114">
        <v>7495.1213501203956</v>
      </c>
      <c r="N35" s="114">
        <v>5700.0587131457223</v>
      </c>
      <c r="O35" s="114">
        <v>7672.7772268844656</v>
      </c>
      <c r="P35" s="114">
        <v>11628.827906725941</v>
      </c>
      <c r="Q35" s="114">
        <v>3881.2733026788778</v>
      </c>
      <c r="R35" s="114">
        <v>6123.703443367036</v>
      </c>
      <c r="S35" s="114">
        <v>4656.6079089476125</v>
      </c>
      <c r="T35" s="114">
        <v>6911.1910794182313</v>
      </c>
      <c r="U35" s="114">
        <v>2976.4373591900826</v>
      </c>
      <c r="V35" s="114">
        <v>11378.422283998241</v>
      </c>
      <c r="W35" s="114">
        <v>6016.4465904848148</v>
      </c>
      <c r="X35" s="114">
        <v>5047.9642929741658</v>
      </c>
      <c r="Y35" s="114">
        <v>6885.950044463536</v>
      </c>
      <c r="Z35" s="114">
        <v>4981.4444566690854</v>
      </c>
      <c r="AA35" s="114">
        <v>4737.5640708692299</v>
      </c>
      <c r="AB35" s="114">
        <v>14937.88799491327</v>
      </c>
      <c r="AC35" s="114">
        <v>5371.6840814911502</v>
      </c>
      <c r="AD35" s="114">
        <v>2402.3463821443506</v>
      </c>
      <c r="AE35" s="114">
        <v>6123.9616811927963</v>
      </c>
      <c r="AF35" s="114" t="s">
        <v>237</v>
      </c>
      <c r="AG35" s="114">
        <v>13566.685021519228</v>
      </c>
      <c r="AH35" s="114">
        <v>3816.3792784602356</v>
      </c>
      <c r="AI35" s="114">
        <v>4008.7081404961309</v>
      </c>
      <c r="AJ35" s="114">
        <v>6151.8658916686154</v>
      </c>
      <c r="AK35" s="114">
        <v>5893.1037201254239</v>
      </c>
      <c r="AL35" s="114">
        <v>4715.2583728694872</v>
      </c>
      <c r="AM35" s="114">
        <v>4108.0895850836268</v>
      </c>
      <c r="AN35" s="114">
        <v>7328.3180399586518</v>
      </c>
      <c r="AO35" s="114">
        <v>13646.101028191848</v>
      </c>
      <c r="AP35" s="114">
        <v>12640.537640792321</v>
      </c>
      <c r="AQ35" s="114">
        <v>5664.3891604069877</v>
      </c>
      <c r="AR35" s="114">
        <v>7889.8824958588393</v>
      </c>
      <c r="AS35" s="114">
        <v>4770.1950337350199</v>
      </c>
      <c r="AT35" s="114">
        <v>4738.9442818221069</v>
      </c>
      <c r="AU35" s="114">
        <v>6602.3358645755552</v>
      </c>
      <c r="AV35" s="114">
        <v>2369.2062962798782</v>
      </c>
      <c r="AW35" s="114">
        <v>4963.7325497407992</v>
      </c>
      <c r="AX35" s="114">
        <v>6214.4539688948371</v>
      </c>
      <c r="AY35" s="114">
        <v>6033.342010898833</v>
      </c>
      <c r="AZ35" s="114">
        <v>5153.4765111955076</v>
      </c>
      <c r="BA35" s="114">
        <v>5425.9897880704566</v>
      </c>
      <c r="BB35" s="114">
        <v>7088.8674995331421</v>
      </c>
      <c r="BC35" s="114">
        <v>4063.3826106513179</v>
      </c>
      <c r="BD35" s="114">
        <v>4927.8500807387309</v>
      </c>
      <c r="BE35" s="114">
        <v>4747.5471587816173</v>
      </c>
      <c r="BF35" s="114">
        <v>6273.1496712691733</v>
      </c>
      <c r="BG35" s="114">
        <v>5783.215338963968</v>
      </c>
      <c r="BH35" s="114">
        <v>7063.7326376100527</v>
      </c>
      <c r="BI35" s="114">
        <v>3716.6704301282061</v>
      </c>
      <c r="BJ35" s="114">
        <v>6619.5320763193831</v>
      </c>
      <c r="BK35" s="114">
        <v>6262.7006376488471</v>
      </c>
      <c r="BL35" s="114">
        <v>7453.6051837764671</v>
      </c>
      <c r="BM35" s="114">
        <v>6730.5446166219672</v>
      </c>
      <c r="BN35" s="114">
        <v>6341.9824870405264</v>
      </c>
      <c r="BO35" s="114">
        <v>4393.0238146948204</v>
      </c>
      <c r="BP35" s="114">
        <v>3939.9766336666712</v>
      </c>
      <c r="BQ35" s="114">
        <v>772.82810564200349</v>
      </c>
      <c r="BR35" s="114">
        <v>7072.0353398767938</v>
      </c>
      <c r="BS35" s="114">
        <v>5249.7695833229564</v>
      </c>
      <c r="BT35" s="114">
        <v>4872.6648558630077</v>
      </c>
      <c r="BU35" s="114">
        <v>4849.7202959864699</v>
      </c>
      <c r="BV35" s="114">
        <v>2761.8452348186706</v>
      </c>
      <c r="BW35" s="114">
        <v>5225.9547492492284</v>
      </c>
      <c r="BX35" s="114">
        <v>4160.2363764859228</v>
      </c>
      <c r="BY35" s="114">
        <v>7163.1266592512466</v>
      </c>
      <c r="BZ35" s="114">
        <v>1245.4611947722906</v>
      </c>
      <c r="CA35" s="114">
        <v>941.59738235642499</v>
      </c>
      <c r="CB35" s="114">
        <v>3909.8550192778575</v>
      </c>
      <c r="CC35" s="114">
        <v>5202.2256768883672</v>
      </c>
      <c r="CD35" s="114">
        <v>6842.6813183564973</v>
      </c>
      <c r="CE35" s="114">
        <v>5293.0984412965408</v>
      </c>
      <c r="CF35" s="114">
        <v>5459.1439749318324</v>
      </c>
      <c r="CG35" s="114">
        <v>10098.378445983075</v>
      </c>
      <c r="CH35" s="114">
        <v>10206.932263808349</v>
      </c>
      <c r="CI35" s="114">
        <v>14444.411502623223</v>
      </c>
      <c r="CJ35" s="114">
        <v>7670.1487874093564</v>
      </c>
      <c r="CK35" s="114">
        <v>7038.3831485636356</v>
      </c>
      <c r="CL35" s="114">
        <v>4506.1341398686236</v>
      </c>
      <c r="CM35" s="114">
        <v>2206.4457368377848</v>
      </c>
      <c r="CN35" s="114">
        <v>4512.8158300269297</v>
      </c>
      <c r="CO35" s="114">
        <v>4547.9373313184105</v>
      </c>
      <c r="CP35" s="114">
        <v>5658.4853264623216</v>
      </c>
      <c r="CQ35" s="114">
        <v>14102.997326219467</v>
      </c>
      <c r="CR35" s="114">
        <v>6211.3095048459199</v>
      </c>
      <c r="CS35" s="114">
        <v>9031.3663440361142</v>
      </c>
      <c r="CT35" s="114">
        <v>6816.7817502705047</v>
      </c>
      <c r="CU35" s="114">
        <v>7411.3705859508964</v>
      </c>
      <c r="CV35" s="114">
        <v>9506.0287733984424</v>
      </c>
      <c r="CW35" s="114">
        <v>13040.11546658425</v>
      </c>
      <c r="CX35" s="114">
        <v>6092.2649034630922</v>
      </c>
      <c r="CY35" s="114">
        <v>6205.1265972992669</v>
      </c>
      <c r="CZ35" s="114">
        <v>7327.0010895457226</v>
      </c>
      <c r="DA35" s="114">
        <v>1714.723239898387</v>
      </c>
      <c r="DB35" s="114">
        <v>4154.193442148272</v>
      </c>
      <c r="DC35" s="114">
        <v>4666.2094505895802</v>
      </c>
      <c r="DD35" s="114">
        <v>6040.7446475041916</v>
      </c>
      <c r="DE35" s="114">
        <v>4657.7687131794492</v>
      </c>
      <c r="DF35" s="114">
        <v>8588.1851803788813</v>
      </c>
      <c r="DG35" s="114">
        <v>7032.5160647477669</v>
      </c>
      <c r="DH35" s="114">
        <v>13608.658367108372</v>
      </c>
      <c r="DI35" s="114">
        <v>10600.879620849197</v>
      </c>
      <c r="DJ35" s="114">
        <v>1731.3118743363214</v>
      </c>
      <c r="DK35" s="114">
        <v>4379.5140512869802</v>
      </c>
      <c r="DL35" s="114">
        <v>9634.9328452431346</v>
      </c>
      <c r="DM35" s="114">
        <v>9656.8057446224648</v>
      </c>
      <c r="DN35" s="114">
        <v>8002.176145844207</v>
      </c>
      <c r="DO35" s="114">
        <v>5961.985171684847</v>
      </c>
      <c r="DP35" s="114">
        <v>4319.9116783762029</v>
      </c>
      <c r="DQ35" s="114">
        <v>11459.480568718061</v>
      </c>
      <c r="DR35" s="114">
        <v>5071.7946061491184</v>
      </c>
      <c r="DS35" s="114">
        <v>2684.1609352790792</v>
      </c>
      <c r="DT35" s="114">
        <v>7527.3761713590602</v>
      </c>
      <c r="DU35" s="114">
        <v>12513.735069774262</v>
      </c>
      <c r="DV35" s="114">
        <v>6050.5825814109503</v>
      </c>
      <c r="DW35" s="114">
        <v>10986.558497048585</v>
      </c>
      <c r="DX35" s="114">
        <v>4814.8543628723592</v>
      </c>
      <c r="DY35" s="114">
        <v>16997.601261255255</v>
      </c>
      <c r="DZ35" s="114">
        <v>16639.986125305579</v>
      </c>
      <c r="EA35" s="114">
        <v>6781.46971096569</v>
      </c>
      <c r="EB35" s="114">
        <v>2744.1343400090836</v>
      </c>
      <c r="EC35" s="114">
        <v>3396.306502684457</v>
      </c>
      <c r="ED35" s="114">
        <v>13173.414000206851</v>
      </c>
      <c r="EE35" s="114">
        <v>5205.0043814742303</v>
      </c>
      <c r="EF35" s="114">
        <v>5663.706581967871</v>
      </c>
      <c r="EG35" s="114">
        <v>8523.8363789640134</v>
      </c>
      <c r="EH35" s="114">
        <v>9352.1823032741631</v>
      </c>
      <c r="EI35" s="114">
        <v>9674.6929767908459</v>
      </c>
      <c r="EJ35" s="114">
        <v>6102.9173195136191</v>
      </c>
      <c r="EK35" s="114">
        <v>5783.3701122653765</v>
      </c>
      <c r="EL35" s="114">
        <v>6627.8940932376445</v>
      </c>
      <c r="EM35" s="114">
        <v>14908.722213458241</v>
      </c>
      <c r="EN35" s="114">
        <v>5676.6492154889002</v>
      </c>
      <c r="EO35" s="114">
        <v>2952.8064608288496</v>
      </c>
      <c r="EP35" s="114">
        <v>7790.6764311091292</v>
      </c>
      <c r="EQ35" s="114">
        <v>5660.3892993104346</v>
      </c>
      <c r="ER35" s="114">
        <v>6831.8296343159318</v>
      </c>
      <c r="ES35" s="114">
        <v>6153.4681028659606</v>
      </c>
      <c r="ET35" s="114">
        <v>4176.2744410883597</v>
      </c>
      <c r="EU35" s="114">
        <v>4005.5049916139483</v>
      </c>
      <c r="EV35" s="114">
        <v>4073.7700404900233</v>
      </c>
      <c r="EW35" s="114">
        <v>4629.0400260198785</v>
      </c>
      <c r="EX35" s="114">
        <v>3663.7567308686216</v>
      </c>
      <c r="EY35" s="114">
        <v>7306.5436836265853</v>
      </c>
      <c r="EZ35" s="114">
        <v>655.12299934104351</v>
      </c>
      <c r="FA35" s="114">
        <v>5247.0106432125031</v>
      </c>
      <c r="FB35" s="114">
        <v>1335.3747427739918</v>
      </c>
      <c r="FC35" s="114">
        <v>13927.012775073197</v>
      </c>
      <c r="FD35" s="114">
        <v>5208.4873137429186</v>
      </c>
      <c r="FE35" s="114">
        <v>4911.8974710514431</v>
      </c>
      <c r="FF35" s="114">
        <v>7651.1742214530459</v>
      </c>
      <c r="FG35" s="114">
        <v>7160.8599235132888</v>
      </c>
      <c r="FH35" s="114">
        <v>13395.887962341667</v>
      </c>
      <c r="FI35" s="114">
        <v>6104.7448773945589</v>
      </c>
      <c r="FJ35" s="114">
        <v>3403.9571991419311</v>
      </c>
      <c r="FK35" s="114">
        <v>3822.8000479061493</v>
      </c>
      <c r="FL35" s="114">
        <v>11210.535711853268</v>
      </c>
      <c r="FM35" s="114">
        <v>5959.2464179838789</v>
      </c>
      <c r="FN35" s="114">
        <v>3627.111958468161</v>
      </c>
      <c r="FO35" s="114">
        <v>5957.4841351525465</v>
      </c>
      <c r="FP35" s="114">
        <v>4511.2831014538096</v>
      </c>
      <c r="FQ35" s="114">
        <v>6283.9312347573923</v>
      </c>
      <c r="FR35" s="114">
        <v>14158.075936591044</v>
      </c>
      <c r="FS35" s="114">
        <v>9134.1281699586762</v>
      </c>
      <c r="FT35" s="114">
        <v>7314.8287593302084</v>
      </c>
      <c r="FU35" s="114">
        <v>13053.519481235286</v>
      </c>
      <c r="FV35" s="114">
        <v>16522.810576689095</v>
      </c>
      <c r="FW35" s="114">
        <v>2856.9510111273157</v>
      </c>
      <c r="FX35" s="114">
        <v>4160.6427784170392</v>
      </c>
      <c r="FY35" s="114">
        <v>4079.0032962744017</v>
      </c>
      <c r="FZ35" s="114">
        <v>6044.4423341065194</v>
      </c>
      <c r="GA35" s="114">
        <v>8194.7673202165006</v>
      </c>
      <c r="GB35" s="114">
        <v>6327.6910100398281</v>
      </c>
      <c r="GC35" s="114">
        <v>6179.6510852022957</v>
      </c>
      <c r="GD35" s="114">
        <v>8091.5881041335633</v>
      </c>
      <c r="GE35" s="114">
        <v>4542.8237344042045</v>
      </c>
      <c r="GF35" s="114">
        <v>9518.3431053356471</v>
      </c>
      <c r="GG35" s="114">
        <v>5640.1534699224067</v>
      </c>
      <c r="GH35" s="114">
        <v>5459.5299078332673</v>
      </c>
      <c r="GI35" s="114">
        <v>5844.4743686968886</v>
      </c>
      <c r="GJ35" s="114">
        <v>6504.8625244066825</v>
      </c>
      <c r="GK35" s="114">
        <v>9114.1747543972597</v>
      </c>
      <c r="GL35" s="114">
        <v>4710.0657335932838</v>
      </c>
      <c r="GM35" s="114">
        <v>13140.818486040875</v>
      </c>
      <c r="GN35" s="114">
        <v>7213.644947153557</v>
      </c>
      <c r="GO35" s="114">
        <v>6585.3178618077545</v>
      </c>
      <c r="GP35" s="114">
        <v>6967.1543737575748</v>
      </c>
      <c r="GQ35" s="114">
        <v>13799.969433407781</v>
      </c>
      <c r="GR35" s="114">
        <v>17648.706680861054</v>
      </c>
      <c r="GS35" s="114">
        <v>4642.3419391317766</v>
      </c>
      <c r="GT35" s="115">
        <v>7200.0401212975648</v>
      </c>
    </row>
    <row r="36" spans="2:202" x14ac:dyDescent="0.6">
      <c r="B36" s="106" t="s">
        <v>32</v>
      </c>
      <c r="C36" s="63" t="s">
        <v>437</v>
      </c>
      <c r="D36" s="113">
        <v>4396.9970206075404</v>
      </c>
      <c r="E36" s="114">
        <v>10259.802521955013</v>
      </c>
      <c r="F36" s="114">
        <v>10218.373541825858</v>
      </c>
      <c r="G36" s="114">
        <v>10338.254178665027</v>
      </c>
      <c r="H36" s="114">
        <v>16513.512259351755</v>
      </c>
      <c r="I36" s="114">
        <v>16832.330113677457</v>
      </c>
      <c r="J36" s="114">
        <v>6676.1414675205069</v>
      </c>
      <c r="K36" s="114">
        <v>7027.1072967686587</v>
      </c>
      <c r="L36" s="114">
        <v>8945.5576649663453</v>
      </c>
      <c r="M36" s="114">
        <v>6246.2821362777495</v>
      </c>
      <c r="N36" s="114">
        <v>15965.617772914062</v>
      </c>
      <c r="O36" s="114">
        <v>5895.8347143941901</v>
      </c>
      <c r="P36" s="114">
        <v>2020.3192398026586</v>
      </c>
      <c r="Q36" s="114">
        <v>16767.916906916271</v>
      </c>
      <c r="R36" s="114">
        <v>8152.1938461820482</v>
      </c>
      <c r="S36" s="114">
        <v>9751.170439361551</v>
      </c>
      <c r="T36" s="114">
        <v>16546.916966709003</v>
      </c>
      <c r="U36" s="114">
        <v>11177.887369626358</v>
      </c>
      <c r="V36" s="114">
        <v>2372.2482387695823</v>
      </c>
      <c r="W36" s="114">
        <v>19049.95684699226</v>
      </c>
      <c r="X36" s="114">
        <v>8842.1110434850871</v>
      </c>
      <c r="Y36" s="114">
        <v>9432.9372579905776</v>
      </c>
      <c r="Z36" s="114">
        <v>16674.926105396728</v>
      </c>
      <c r="AA36" s="114">
        <v>16357.368581719109</v>
      </c>
      <c r="AB36" s="114">
        <v>1381.6372458085307</v>
      </c>
      <c r="AC36" s="114">
        <v>8450.0721113845702</v>
      </c>
      <c r="AD36" s="114">
        <v>11418.402391318095</v>
      </c>
      <c r="AE36" s="114">
        <v>8481.3141301726901</v>
      </c>
      <c r="AF36" s="114">
        <v>13566.685021519228</v>
      </c>
      <c r="AG36" s="114" t="s">
        <v>237</v>
      </c>
      <c r="AH36" s="114">
        <v>10440.468507586869</v>
      </c>
      <c r="AI36" s="114">
        <v>10273.834700670399</v>
      </c>
      <c r="AJ36" s="114">
        <v>13883.285113093447</v>
      </c>
      <c r="AK36" s="114">
        <v>13721.448814759222</v>
      </c>
      <c r="AL36" s="114">
        <v>9496.3741650975408</v>
      </c>
      <c r="AM36" s="114">
        <v>9735.4984301779914</v>
      </c>
      <c r="AN36" s="114">
        <v>17523.960260465126</v>
      </c>
      <c r="AO36" s="114">
        <v>2816.2991109746577</v>
      </c>
      <c r="AP36" s="114">
        <v>3343.4265301295345</v>
      </c>
      <c r="AQ36" s="114">
        <v>18264.776959305214</v>
      </c>
      <c r="AR36" s="114">
        <v>7230.9272108303594</v>
      </c>
      <c r="AS36" s="114">
        <v>10013.541587201462</v>
      </c>
      <c r="AT36" s="114">
        <v>10029.391024652245</v>
      </c>
      <c r="AU36" s="114">
        <v>17509.518372655974</v>
      </c>
      <c r="AV36" s="114">
        <v>11894.451964887121</v>
      </c>
      <c r="AW36" s="114">
        <v>9028.4308922084456</v>
      </c>
      <c r="AX36" s="114">
        <v>16119.553396374535</v>
      </c>
      <c r="AY36" s="114">
        <v>7587.2128040652378</v>
      </c>
      <c r="AZ36" s="114">
        <v>9064.185841624645</v>
      </c>
      <c r="BA36" s="114">
        <v>9107.8200362294028</v>
      </c>
      <c r="BB36" s="114">
        <v>6781.1920721700499</v>
      </c>
      <c r="BC36" s="114">
        <v>16673.134464318755</v>
      </c>
      <c r="BD36" s="114">
        <v>16657.169683764831</v>
      </c>
      <c r="BE36" s="114">
        <v>10028.535243760096</v>
      </c>
      <c r="BF36" s="114">
        <v>18732.689018642937</v>
      </c>
      <c r="BG36" s="114">
        <v>7787.8841369572829</v>
      </c>
      <c r="BH36" s="114">
        <v>16882.649975821849</v>
      </c>
      <c r="BI36" s="114">
        <v>10584.801501282367</v>
      </c>
      <c r="BJ36" s="114">
        <v>7125.430836236701</v>
      </c>
      <c r="BK36" s="114">
        <v>8359.8867501646419</v>
      </c>
      <c r="BL36" s="114">
        <v>8957.1917222321499</v>
      </c>
      <c r="BM36" s="114">
        <v>7221.8680072910875</v>
      </c>
      <c r="BN36" s="114">
        <v>8334.5773149537363</v>
      </c>
      <c r="BO36" s="114">
        <v>9951.9097655513524</v>
      </c>
      <c r="BP36" s="114">
        <v>10573.330448722412</v>
      </c>
      <c r="BQ36" s="114">
        <v>12945.255389526899</v>
      </c>
      <c r="BR36" s="114">
        <v>6689.5224206868552</v>
      </c>
      <c r="BS36" s="114">
        <v>9097.4566126276859</v>
      </c>
      <c r="BT36" s="114">
        <v>9286.1074400029593</v>
      </c>
      <c r="BU36" s="114">
        <v>9452.5605064814299</v>
      </c>
      <c r="BV36" s="114">
        <v>11467.151322200505</v>
      </c>
      <c r="BW36" s="114">
        <v>8457.9345232707255</v>
      </c>
      <c r="BX36" s="114">
        <v>17003.809201922821</v>
      </c>
      <c r="BY36" s="114">
        <v>16726.099677952538</v>
      </c>
      <c r="BZ36" s="114">
        <v>12786.02947263898</v>
      </c>
      <c r="CA36" s="114">
        <v>12915.646922561629</v>
      </c>
      <c r="CB36" s="114">
        <v>17253.109856474162</v>
      </c>
      <c r="CC36" s="114">
        <v>16689.495605226079</v>
      </c>
      <c r="CD36" s="114">
        <v>16914.900037068179</v>
      </c>
      <c r="CE36" s="114">
        <v>8743.4324132534166</v>
      </c>
      <c r="CF36" s="114">
        <v>10488.619590577691</v>
      </c>
      <c r="CG36" s="114">
        <v>3494.1857390253708</v>
      </c>
      <c r="CH36" s="114">
        <v>3417.8169127664055</v>
      </c>
      <c r="CI36" s="114">
        <v>1948.3905119481285</v>
      </c>
      <c r="CJ36" s="114">
        <v>5967.7565670109734</v>
      </c>
      <c r="CK36" s="114">
        <v>6558.4050825838858</v>
      </c>
      <c r="CL36" s="114">
        <v>10324.654634371334</v>
      </c>
      <c r="CM36" s="114">
        <v>13581.175213692546</v>
      </c>
      <c r="CN36" s="114">
        <v>9356.6993440231799</v>
      </c>
      <c r="CO36" s="114">
        <v>9520.3416760173677</v>
      </c>
      <c r="CP36" s="114">
        <v>16751.892817552638</v>
      </c>
      <c r="CQ36" s="114">
        <v>4458.9758864053892</v>
      </c>
      <c r="CR36" s="114">
        <v>7368.3372958074069</v>
      </c>
      <c r="CS36" s="114">
        <v>5346.0986903386538</v>
      </c>
      <c r="CT36" s="114">
        <v>7641.4871411625963</v>
      </c>
      <c r="CU36" s="114">
        <v>6158.2849452186538</v>
      </c>
      <c r="CV36" s="114">
        <v>4524.6791512603604</v>
      </c>
      <c r="CW36" s="114">
        <v>734.1853831938289</v>
      </c>
      <c r="CX36" s="114">
        <v>8372.1996268401454</v>
      </c>
      <c r="CY36" s="114">
        <v>7393.4165870273409</v>
      </c>
      <c r="CZ36" s="114">
        <v>9408.5656654079703</v>
      </c>
      <c r="DA36" s="114">
        <v>12562.473021324979</v>
      </c>
      <c r="DB36" s="114">
        <v>9466.0623089688506</v>
      </c>
      <c r="DC36" s="114">
        <v>9475.1458735662109</v>
      </c>
      <c r="DD36" s="114">
        <v>8294.6550438173672</v>
      </c>
      <c r="DE36" s="114">
        <v>9652.3827486643586</v>
      </c>
      <c r="DF36" s="114">
        <v>7096.4617796350731</v>
      </c>
      <c r="DG36" s="114">
        <v>8319.2944359928606</v>
      </c>
      <c r="DH36" s="114">
        <v>977.87764070939875</v>
      </c>
      <c r="DI36" s="114">
        <v>3532.5326595114229</v>
      </c>
      <c r="DJ36" s="114">
        <v>12066.695948428816</v>
      </c>
      <c r="DK36" s="114">
        <v>9295.3728795117459</v>
      </c>
      <c r="DL36" s="114">
        <v>6235.2369052026042</v>
      </c>
      <c r="DM36" s="114">
        <v>6220.6859800547672</v>
      </c>
      <c r="DN36" s="114">
        <v>15747.500107832322</v>
      </c>
      <c r="DO36" s="114">
        <v>8002.3638786504762</v>
      </c>
      <c r="DP36" s="114">
        <v>9698.0125105280986</v>
      </c>
      <c r="DQ36" s="114">
        <v>4075.0077435448266</v>
      </c>
      <c r="DR36" s="114">
        <v>8772.3356762715375</v>
      </c>
      <c r="DS36" s="114">
        <v>11198.446210122875</v>
      </c>
      <c r="DT36" s="114">
        <v>8816.7180001827564</v>
      </c>
      <c r="DU36" s="114">
        <v>1061.1788236893356</v>
      </c>
      <c r="DV36" s="114">
        <v>10227.497904132159</v>
      </c>
      <c r="DW36" s="114">
        <v>2696.1610583731331</v>
      </c>
      <c r="DX36" s="114">
        <v>9679.7775246441106</v>
      </c>
      <c r="DY36" s="114">
        <v>9067.626441810391</v>
      </c>
      <c r="DZ36" s="114">
        <v>9214.2535632086456</v>
      </c>
      <c r="EA36" s="114">
        <v>17158.476490079149</v>
      </c>
      <c r="EB36" s="114">
        <v>11034.42734162588</v>
      </c>
      <c r="EC36" s="114">
        <v>10582.498459839624</v>
      </c>
      <c r="ED36" s="114">
        <v>3708.5968389230402</v>
      </c>
      <c r="EE36" s="114">
        <v>8612.3801500102381</v>
      </c>
      <c r="EF36" s="114">
        <v>9149.537162911025</v>
      </c>
      <c r="EG36" s="114">
        <v>5053.2990344601021</v>
      </c>
      <c r="EH36" s="114">
        <v>4214.5513339071504</v>
      </c>
      <c r="EI36" s="114">
        <v>4026.4962284966155</v>
      </c>
      <c r="EJ36" s="114">
        <v>17716.771854463066</v>
      </c>
      <c r="EK36" s="114">
        <v>17562.926094238654</v>
      </c>
      <c r="EL36" s="114">
        <v>19835.553082200717</v>
      </c>
      <c r="EM36" s="114">
        <v>1820.3972022193177</v>
      </c>
      <c r="EN36" s="114">
        <v>8573.2976290447441</v>
      </c>
      <c r="EO36" s="114">
        <v>11196.036348909849</v>
      </c>
      <c r="EP36" s="114">
        <v>5781.1676777756702</v>
      </c>
      <c r="EQ36" s="114">
        <v>8210.6754634503959</v>
      </c>
      <c r="ER36" s="114">
        <v>7530.8320940509902</v>
      </c>
      <c r="ES36" s="114">
        <v>8350.7070283971916</v>
      </c>
      <c r="ET36" s="114">
        <v>16535.785366037886</v>
      </c>
      <c r="EU36" s="114">
        <v>16751.455790084558</v>
      </c>
      <c r="EV36" s="114">
        <v>16868.095083075834</v>
      </c>
      <c r="EW36" s="114">
        <v>9317.6315403266908</v>
      </c>
      <c r="EX36" s="114">
        <v>10889.438211876348</v>
      </c>
      <c r="EY36" s="114">
        <v>6272.25884328556</v>
      </c>
      <c r="EZ36" s="114">
        <v>12994.074404329283</v>
      </c>
      <c r="FA36" s="114">
        <v>8664.6548993114538</v>
      </c>
      <c r="FB36" s="114">
        <v>12784.470945961857</v>
      </c>
      <c r="FC36" s="114">
        <v>1112.0288680484016</v>
      </c>
      <c r="FD36" s="114">
        <v>8883.035552929261</v>
      </c>
      <c r="FE36" s="114">
        <v>9116.5437111478604</v>
      </c>
      <c r="FF36" s="114">
        <v>6613.1108826863028</v>
      </c>
      <c r="FG36" s="114">
        <v>9214.7836658980159</v>
      </c>
      <c r="FH36" s="114">
        <v>3628.4099866079523</v>
      </c>
      <c r="FI36" s="114">
        <v>8042.2918308101225</v>
      </c>
      <c r="FJ36" s="114">
        <v>10669.3872683113</v>
      </c>
      <c r="FK36" s="114">
        <v>10180.659727034074</v>
      </c>
      <c r="FL36" s="114">
        <v>2747.7242668936738</v>
      </c>
      <c r="FM36" s="114">
        <v>7785.4103386610568</v>
      </c>
      <c r="FN36" s="114">
        <v>17083.033485566491</v>
      </c>
      <c r="FO36" s="114">
        <v>8726.8796900476536</v>
      </c>
      <c r="FP36" s="114">
        <v>9638.1051723830769</v>
      </c>
      <c r="FQ36" s="114">
        <v>7311.8305327603075</v>
      </c>
      <c r="FR36" s="114">
        <v>2355.627739931942</v>
      </c>
      <c r="FS36" s="114">
        <v>4662.5024703735889</v>
      </c>
      <c r="FT36" s="114">
        <v>7490.2900476892419</v>
      </c>
      <c r="FU36" s="114">
        <v>513.4237512413298</v>
      </c>
      <c r="FV36" s="114">
        <v>3170.5675422576769</v>
      </c>
      <c r="FW36" s="114">
        <v>11312.842671515926</v>
      </c>
      <c r="FX36" s="114">
        <v>17122.173492849401</v>
      </c>
      <c r="FY36" s="114">
        <v>9647.2208691249889</v>
      </c>
      <c r="FZ36" s="114">
        <v>7666.68083680374</v>
      </c>
      <c r="GA36" s="114">
        <v>5517.09688007772</v>
      </c>
      <c r="GB36" s="114">
        <v>8063.5290044766771</v>
      </c>
      <c r="GC36" s="114">
        <v>7922.366178589803</v>
      </c>
      <c r="GD36" s="114">
        <v>5483.2158779816145</v>
      </c>
      <c r="GE36" s="114">
        <v>10009.852004756485</v>
      </c>
      <c r="GF36" s="114">
        <v>13245.270257503076</v>
      </c>
      <c r="GG36" s="114">
        <v>14226.150271048258</v>
      </c>
      <c r="GH36" s="114">
        <v>14027.837886941908</v>
      </c>
      <c r="GI36" s="114">
        <v>14426.740187023932</v>
      </c>
      <c r="GJ36" s="114">
        <v>16775.861344694164</v>
      </c>
      <c r="GK36" s="114">
        <v>4786.8522727711652</v>
      </c>
      <c r="GL36" s="114">
        <v>17414.459305279259</v>
      </c>
      <c r="GM36" s="114">
        <v>1086.0613010355421</v>
      </c>
      <c r="GN36" s="114">
        <v>6520.7938750974254</v>
      </c>
      <c r="GO36" s="114">
        <v>8908.8574539028414</v>
      </c>
      <c r="GP36" s="114">
        <v>8678.1055643603395</v>
      </c>
      <c r="GQ36" s="114">
        <v>239.06496543682061</v>
      </c>
      <c r="GR36" s="114">
        <v>6984.1752802966303</v>
      </c>
      <c r="GS36" s="114">
        <v>9525.2039716240924</v>
      </c>
      <c r="GT36" s="115">
        <v>9246.6414539752277</v>
      </c>
    </row>
    <row r="37" spans="2:202" x14ac:dyDescent="0.6">
      <c r="B37" s="106" t="s">
        <v>33</v>
      </c>
      <c r="C37" s="63" t="s">
        <v>556</v>
      </c>
      <c r="D37" s="113">
        <v>6967.5382964807741</v>
      </c>
      <c r="E37" s="114">
        <v>3662.8424147966584</v>
      </c>
      <c r="F37" s="114">
        <v>4334.979227543573</v>
      </c>
      <c r="G37" s="114">
        <v>1446.6733840590471</v>
      </c>
      <c r="H37" s="114">
        <v>7915.0206835433692</v>
      </c>
      <c r="I37" s="114">
        <v>8482.7375868769814</v>
      </c>
      <c r="J37" s="114">
        <v>5299.8537342188683</v>
      </c>
      <c r="K37" s="114">
        <v>14821.218315485905</v>
      </c>
      <c r="L37" s="114">
        <v>4939.8255422734419</v>
      </c>
      <c r="M37" s="114">
        <v>5667.4345820038479</v>
      </c>
      <c r="N37" s="114">
        <v>9505.6663510880753</v>
      </c>
      <c r="O37" s="114">
        <v>4966.3567478182986</v>
      </c>
      <c r="P37" s="114">
        <v>8865.7829059364358</v>
      </c>
      <c r="Q37" s="114">
        <v>7633.1869144682978</v>
      </c>
      <c r="R37" s="114">
        <v>5730.1098224780435</v>
      </c>
      <c r="S37" s="114">
        <v>5191.8734317252247</v>
      </c>
      <c r="T37" s="114">
        <v>10721.631632156808</v>
      </c>
      <c r="U37" s="114">
        <v>842.35464231566743</v>
      </c>
      <c r="V37" s="114">
        <v>8788.5443538905147</v>
      </c>
      <c r="W37" s="114">
        <v>8837.2351886707183</v>
      </c>
      <c r="X37" s="114">
        <v>4469.1190575300516</v>
      </c>
      <c r="Y37" s="114">
        <v>3603.7687628111275</v>
      </c>
      <c r="Z37" s="114">
        <v>6828.4433696034057</v>
      </c>
      <c r="AA37" s="114">
        <v>6470.7233355662584</v>
      </c>
      <c r="AB37" s="114">
        <v>11661.895878621253</v>
      </c>
      <c r="AC37" s="114">
        <v>4474.4260413866041</v>
      </c>
      <c r="AD37" s="114">
        <v>1508.7776550024657</v>
      </c>
      <c r="AE37" s="114">
        <v>2307.7658888785777</v>
      </c>
      <c r="AF37" s="114">
        <v>3816.3792784602356</v>
      </c>
      <c r="AG37" s="114">
        <v>10440.468507586869</v>
      </c>
      <c r="AH37" s="114" t="s">
        <v>237</v>
      </c>
      <c r="AI37" s="114">
        <v>192.50658172130261</v>
      </c>
      <c r="AJ37" s="114">
        <v>9624.6392797508197</v>
      </c>
      <c r="AK37" s="114">
        <v>9306.45709578284</v>
      </c>
      <c r="AL37" s="114">
        <v>959.06045104444206</v>
      </c>
      <c r="AM37" s="114">
        <v>1044.217947350925</v>
      </c>
      <c r="AN37" s="114">
        <v>9339.3984848728942</v>
      </c>
      <c r="AO37" s="114">
        <v>11812.638483599132</v>
      </c>
      <c r="AP37" s="114">
        <v>11118.154578786167</v>
      </c>
      <c r="AQ37" s="114">
        <v>9277.0043085886973</v>
      </c>
      <c r="AR37" s="114">
        <v>4079.9806687725063</v>
      </c>
      <c r="AS37" s="114">
        <v>1120.6059172095047</v>
      </c>
      <c r="AT37" s="114">
        <v>1086.7113925493966</v>
      </c>
      <c r="AU37" s="114">
        <v>10340.149554151916</v>
      </c>
      <c r="AV37" s="114">
        <v>1528.1963657574138</v>
      </c>
      <c r="AW37" s="114">
        <v>4644.462771454625</v>
      </c>
      <c r="AX37" s="114">
        <v>10027.54096017275</v>
      </c>
      <c r="AY37" s="114">
        <v>4217.7093299405706</v>
      </c>
      <c r="AZ37" s="114">
        <v>5132.7450064257337</v>
      </c>
      <c r="BA37" s="114">
        <v>5716.0485980361309</v>
      </c>
      <c r="BB37" s="114">
        <v>3663.0951506968677</v>
      </c>
      <c r="BC37" s="114">
        <v>7846.1172802623578</v>
      </c>
      <c r="BD37" s="114">
        <v>8737.0663993107701</v>
      </c>
      <c r="BE37" s="114">
        <v>1098.7416540988145</v>
      </c>
      <c r="BF37" s="114">
        <v>9792.9081441049184</v>
      </c>
      <c r="BG37" s="114">
        <v>3661.6228765349956</v>
      </c>
      <c r="BH37" s="114">
        <v>10852.008949890609</v>
      </c>
      <c r="BI37" s="114">
        <v>149.26662715850847</v>
      </c>
      <c r="BJ37" s="114">
        <v>3390.456242536889</v>
      </c>
      <c r="BK37" s="114">
        <v>6264.9146412490336</v>
      </c>
      <c r="BL37" s="114">
        <v>4072.4667393851742</v>
      </c>
      <c r="BM37" s="114">
        <v>3218.6528714273154</v>
      </c>
      <c r="BN37" s="114">
        <v>6372.8016078476021</v>
      </c>
      <c r="BO37" s="114">
        <v>4994.0984602415747</v>
      </c>
      <c r="BP37" s="114">
        <v>425.22268265446024</v>
      </c>
      <c r="BQ37" s="114">
        <v>3043.9389751106896</v>
      </c>
      <c r="BR37" s="114">
        <v>5407.7514934130049</v>
      </c>
      <c r="BS37" s="114">
        <v>5375.3118728016971</v>
      </c>
      <c r="BT37" s="114">
        <v>4905.5042864964607</v>
      </c>
      <c r="BU37" s="114">
        <v>5122.8313655985812</v>
      </c>
      <c r="BV37" s="114">
        <v>1091.6945870844779</v>
      </c>
      <c r="BW37" s="114">
        <v>3982.4919491093247</v>
      </c>
      <c r="BX37" s="114">
        <v>7898.4005735448982</v>
      </c>
      <c r="BY37" s="114">
        <v>10960.104507312108</v>
      </c>
      <c r="BZ37" s="114">
        <v>2625.9630904001961</v>
      </c>
      <c r="CA37" s="114">
        <v>2888.7564108571019</v>
      </c>
      <c r="CB37" s="114">
        <v>7509.8306656970972</v>
      </c>
      <c r="CC37" s="114">
        <v>9012.3129299475295</v>
      </c>
      <c r="CD37" s="114">
        <v>10634.051596034293</v>
      </c>
      <c r="CE37" s="114">
        <v>4891.2079307259482</v>
      </c>
      <c r="CF37" s="114">
        <v>7133.9414760008394</v>
      </c>
      <c r="CG37" s="114">
        <v>7044.8325369592358</v>
      </c>
      <c r="CH37" s="114">
        <v>7589.5980371645328</v>
      </c>
      <c r="CI37" s="114">
        <v>10794.057711100211</v>
      </c>
      <c r="CJ37" s="114">
        <v>5510.378323810819</v>
      </c>
      <c r="CK37" s="114">
        <v>4833.5548988322853</v>
      </c>
      <c r="CL37" s="114">
        <v>5655.5077233277652</v>
      </c>
      <c r="CM37" s="114">
        <v>5589.5094919156172</v>
      </c>
      <c r="CN37" s="114">
        <v>4176.8408778271214</v>
      </c>
      <c r="CO37" s="114">
        <v>4605.5127094818336</v>
      </c>
      <c r="CP37" s="114">
        <v>9467.7974563864991</v>
      </c>
      <c r="CQ37" s="114">
        <v>13198.856566460357</v>
      </c>
      <c r="CR37" s="114">
        <v>4078.2746819111967</v>
      </c>
      <c r="CS37" s="114">
        <v>7709.6419623238426</v>
      </c>
      <c r="CT37" s="114">
        <v>3031.3841829299668</v>
      </c>
      <c r="CU37" s="114">
        <v>4911.6135952494524</v>
      </c>
      <c r="CV37" s="114">
        <v>7653.2587862163</v>
      </c>
      <c r="CW37" s="114">
        <v>10146.076594838682</v>
      </c>
      <c r="CX37" s="114">
        <v>5972.9384560955032</v>
      </c>
      <c r="CY37" s="114">
        <v>4216.7263926157057</v>
      </c>
      <c r="CZ37" s="114">
        <v>4144.6962636181179</v>
      </c>
      <c r="DA37" s="114">
        <v>2246.6617123822016</v>
      </c>
      <c r="DB37" s="114">
        <v>3181.935470054339</v>
      </c>
      <c r="DC37" s="114">
        <v>4785.0602160636818</v>
      </c>
      <c r="DD37" s="114">
        <v>5769.2725246507944</v>
      </c>
      <c r="DE37" s="114">
        <v>5051.111374680735</v>
      </c>
      <c r="DF37" s="114">
        <v>4824.3592112228825</v>
      </c>
      <c r="DG37" s="114">
        <v>3302.2145134621228</v>
      </c>
      <c r="DH37" s="114">
        <v>10171.100705200439</v>
      </c>
      <c r="DI37" s="114">
        <v>7049.8400048832582</v>
      </c>
      <c r="DJ37" s="114">
        <v>2109.2720157167169</v>
      </c>
      <c r="DK37" s="114">
        <v>3533.5574129373686</v>
      </c>
      <c r="DL37" s="114">
        <v>5848.3072364291393</v>
      </c>
      <c r="DM37" s="114">
        <v>5870.1402438050982</v>
      </c>
      <c r="DN37" s="114">
        <v>11818.452293367971</v>
      </c>
      <c r="DO37" s="114">
        <v>5119.6635334776447</v>
      </c>
      <c r="DP37" s="114">
        <v>4419.0282056592869</v>
      </c>
      <c r="DQ37" s="114">
        <v>10208.580724494464</v>
      </c>
      <c r="DR37" s="114">
        <v>4372.8740231857319</v>
      </c>
      <c r="DS37" s="114">
        <v>3746.4040339877411</v>
      </c>
      <c r="DT37" s="114">
        <v>4099.0454624407448</v>
      </c>
      <c r="DU37" s="114">
        <v>9507.1194639644182</v>
      </c>
      <c r="DV37" s="114">
        <v>3041.7729241874467</v>
      </c>
      <c r="DW37" s="114">
        <v>8369.7791785885311</v>
      </c>
      <c r="DX37" s="114">
        <v>5378.733897771077</v>
      </c>
      <c r="DY37" s="114">
        <v>16060.096988203693</v>
      </c>
      <c r="DZ37" s="114">
        <v>15611.880552463506</v>
      </c>
      <c r="EA37" s="114">
        <v>10553.539072096401</v>
      </c>
      <c r="EB37" s="114">
        <v>1325.1191782894662</v>
      </c>
      <c r="EC37" s="114">
        <v>615.34540684323019</v>
      </c>
      <c r="ED37" s="114">
        <v>11881.816639127541</v>
      </c>
      <c r="EE37" s="114">
        <v>4374.4021023183059</v>
      </c>
      <c r="EF37" s="114">
        <v>6171.8417801444148</v>
      </c>
      <c r="EG37" s="114">
        <v>5641.7052107359341</v>
      </c>
      <c r="EH37" s="114">
        <v>6542.3813168330762</v>
      </c>
      <c r="EI37" s="114">
        <v>7303.5386811908465</v>
      </c>
      <c r="EJ37" s="114">
        <v>9822.6032211868205</v>
      </c>
      <c r="EK37" s="114">
        <v>7912.5279120553287</v>
      </c>
      <c r="EL37" s="114">
        <v>9743.6132765510702</v>
      </c>
      <c r="EM37" s="114">
        <v>12172.670416068491</v>
      </c>
      <c r="EN37" s="114">
        <v>5447.2903845274286</v>
      </c>
      <c r="EO37" s="114">
        <v>4270.0378234995424</v>
      </c>
      <c r="EP37" s="114">
        <v>5025.0521752675277</v>
      </c>
      <c r="EQ37" s="114">
        <v>4751.8666584322646</v>
      </c>
      <c r="ER37" s="114">
        <v>6263.8927334885148</v>
      </c>
      <c r="ES37" s="114">
        <v>2345.1442378230154</v>
      </c>
      <c r="ET37" s="114">
        <v>7977.8317492288943</v>
      </c>
      <c r="EU37" s="114">
        <v>7772.9955227706951</v>
      </c>
      <c r="EV37" s="114">
        <v>7828.1919360956717</v>
      </c>
      <c r="EW37" s="114">
        <v>4399.8163098375935</v>
      </c>
      <c r="EX37" s="114">
        <v>572.99962289936627</v>
      </c>
      <c r="EY37" s="114">
        <v>4533.6752676314927</v>
      </c>
      <c r="EZ37" s="114">
        <v>3171.6791217001578</v>
      </c>
      <c r="FA37" s="114">
        <v>4617.4199811167673</v>
      </c>
      <c r="FB37" s="114">
        <v>2571.7790195990224</v>
      </c>
      <c r="FC37" s="114">
        <v>10453.257586728629</v>
      </c>
      <c r="FD37" s="114">
        <v>4948.4950514193306</v>
      </c>
      <c r="FE37" s="114">
        <v>4690.7049209655288</v>
      </c>
      <c r="FF37" s="114">
        <v>3953.00837532267</v>
      </c>
      <c r="FG37" s="114">
        <v>3833.9672786438541</v>
      </c>
      <c r="FH37" s="114">
        <v>12048.334231032281</v>
      </c>
      <c r="FI37" s="114">
        <v>2426.892570423297</v>
      </c>
      <c r="FJ37" s="114">
        <v>4236.2084522006362</v>
      </c>
      <c r="FK37" s="114">
        <v>4219.0129371213952</v>
      </c>
      <c r="FL37" s="114">
        <v>7765.8658853218531</v>
      </c>
      <c r="FM37" s="114">
        <v>2775.9148928194872</v>
      </c>
      <c r="FN37" s="114">
        <v>7179.4834615218415</v>
      </c>
      <c r="FO37" s="114">
        <v>6174.287207450765</v>
      </c>
      <c r="FP37" s="114">
        <v>4733.9832422948502</v>
      </c>
      <c r="FQ37" s="114">
        <v>4256.0210590802853</v>
      </c>
      <c r="FR37" s="114">
        <v>11993.310574534002</v>
      </c>
      <c r="FS37" s="114">
        <v>7037.9161575778235</v>
      </c>
      <c r="FT37" s="114">
        <v>3498.669975705081</v>
      </c>
      <c r="FU37" s="114">
        <v>9967.1898518104936</v>
      </c>
      <c r="FV37" s="114">
        <v>12886.17947527817</v>
      </c>
      <c r="FW37" s="114">
        <v>968.85182132159093</v>
      </c>
      <c r="FX37" s="114">
        <v>7872.5649682890353</v>
      </c>
      <c r="FY37" s="114">
        <v>3608.7064204889307</v>
      </c>
      <c r="FZ37" s="114">
        <v>4569.4847557680923</v>
      </c>
      <c r="GA37" s="114">
        <v>6131.781607932051</v>
      </c>
      <c r="GB37" s="114">
        <v>2546.5146551772214</v>
      </c>
      <c r="GC37" s="114">
        <v>5492.435518803165</v>
      </c>
      <c r="GD37" s="114">
        <v>5266.1605775025018</v>
      </c>
      <c r="GE37" s="114">
        <v>5338.4361175948661</v>
      </c>
      <c r="GF37" s="114">
        <v>13115.419742717191</v>
      </c>
      <c r="GG37" s="114">
        <v>9184.1391142415614</v>
      </c>
      <c r="GH37" s="114">
        <v>8945.8125495829918</v>
      </c>
      <c r="GI37" s="114">
        <v>9441.7353179325</v>
      </c>
      <c r="GJ37" s="114">
        <v>8087.6267851839648</v>
      </c>
      <c r="GK37" s="114">
        <v>7185.5247722315626</v>
      </c>
      <c r="GL37" s="114">
        <v>8425.181635484405</v>
      </c>
      <c r="GM37" s="114">
        <v>10445.262432084974</v>
      </c>
      <c r="GN37" s="114">
        <v>3975.9418885449868</v>
      </c>
      <c r="GO37" s="114">
        <v>2957.8699382219506</v>
      </c>
      <c r="GP37" s="114">
        <v>3343.1475652243389</v>
      </c>
      <c r="GQ37" s="114">
        <v>10676.89253247399</v>
      </c>
      <c r="GR37" s="114">
        <v>14598.42354724691</v>
      </c>
      <c r="GS37" s="114">
        <v>4819.2258464675133</v>
      </c>
      <c r="GT37" s="115">
        <v>3899.7284905879783</v>
      </c>
    </row>
    <row r="38" spans="2:202" x14ac:dyDescent="0.6">
      <c r="B38" s="106" t="s">
        <v>33</v>
      </c>
      <c r="C38" s="63" t="s">
        <v>534</v>
      </c>
      <c r="D38" s="113">
        <v>6858.7336838612637</v>
      </c>
      <c r="E38" s="114">
        <v>3757.3163863341915</v>
      </c>
      <c r="F38" s="114">
        <v>4428.9018668859726</v>
      </c>
      <c r="G38" s="114">
        <v>1349.1841692262294</v>
      </c>
      <c r="H38" s="114">
        <v>8107.4443971025648</v>
      </c>
      <c r="I38" s="114">
        <v>8587.1617082572593</v>
      </c>
      <c r="J38" s="114">
        <v>5244.125793776172</v>
      </c>
      <c r="K38" s="114">
        <v>14647.813443016799</v>
      </c>
      <c r="L38" s="114">
        <v>4983.2987509295872</v>
      </c>
      <c r="M38" s="114">
        <v>5601.825505716487</v>
      </c>
      <c r="N38" s="114">
        <v>9696.9607185410059</v>
      </c>
      <c r="O38" s="114">
        <v>4850.1811239039307</v>
      </c>
      <c r="P38" s="114">
        <v>8721.8558894180223</v>
      </c>
      <c r="Q38" s="114">
        <v>7824.6614729998701</v>
      </c>
      <c r="R38" s="114">
        <v>5749.6295154587324</v>
      </c>
      <c r="S38" s="114">
        <v>5270.0124411244487</v>
      </c>
      <c r="T38" s="114">
        <v>10914.127897095908</v>
      </c>
      <c r="U38" s="114">
        <v>1034.8166499571603</v>
      </c>
      <c r="V38" s="114">
        <v>8653.8142792715807</v>
      </c>
      <c r="W38" s="114">
        <v>8993.6981976166589</v>
      </c>
      <c r="X38" s="114">
        <v>4501.8564531955872</v>
      </c>
      <c r="Y38" s="114">
        <v>3467.4104618059941</v>
      </c>
      <c r="Z38" s="114">
        <v>6957.9439054096374</v>
      </c>
      <c r="AA38" s="114">
        <v>6598.9978013139744</v>
      </c>
      <c r="AB38" s="114">
        <v>11486.152248088234</v>
      </c>
      <c r="AC38" s="114">
        <v>4487.7427697812509</v>
      </c>
      <c r="AD38" s="114">
        <v>1692.0319314036046</v>
      </c>
      <c r="AE38" s="114">
        <v>2115.3444766715588</v>
      </c>
      <c r="AF38" s="114">
        <v>4008.7081404961309</v>
      </c>
      <c r="AG38" s="114">
        <v>10273.834700670399</v>
      </c>
      <c r="AH38" s="114">
        <v>192.50658172130261</v>
      </c>
      <c r="AI38" s="114" t="s">
        <v>237</v>
      </c>
      <c r="AJ38" s="114">
        <v>9798.863526109737</v>
      </c>
      <c r="AK38" s="114">
        <v>9478.460692584933</v>
      </c>
      <c r="AL38" s="114">
        <v>780.81740306513598</v>
      </c>
      <c r="AM38" s="114">
        <v>1020.5959074510655</v>
      </c>
      <c r="AN38" s="114">
        <v>9456.8674988973144</v>
      </c>
      <c r="AO38" s="114">
        <v>11695.16853259679</v>
      </c>
      <c r="AP38" s="114">
        <v>11020.820231953292</v>
      </c>
      <c r="AQ38" s="114">
        <v>9463.4016872755019</v>
      </c>
      <c r="AR38" s="114">
        <v>3888.9043775591285</v>
      </c>
      <c r="AS38" s="114">
        <v>975.451858398019</v>
      </c>
      <c r="AT38" s="114">
        <v>942.20776781033771</v>
      </c>
      <c r="AU38" s="114">
        <v>10530.485042041439</v>
      </c>
      <c r="AV38" s="114">
        <v>1716.6659748633613</v>
      </c>
      <c r="AW38" s="114">
        <v>4688.3032925394</v>
      </c>
      <c r="AX38" s="114">
        <v>10219.386759542389</v>
      </c>
      <c r="AY38" s="114">
        <v>4175.6359004945407</v>
      </c>
      <c r="AZ38" s="114">
        <v>5183.1750005549493</v>
      </c>
      <c r="BA38" s="114">
        <v>5772.8133155700807</v>
      </c>
      <c r="BB38" s="114">
        <v>3502.2677497670184</v>
      </c>
      <c r="BC38" s="114">
        <v>8038.2251106999956</v>
      </c>
      <c r="BD38" s="114">
        <v>8929.5645263100887</v>
      </c>
      <c r="BE38" s="114">
        <v>954.64401844717111</v>
      </c>
      <c r="BF38" s="114">
        <v>9975.2655104782752</v>
      </c>
      <c r="BG38" s="114">
        <v>3608.8756326066059</v>
      </c>
      <c r="BH38" s="114">
        <v>11043.972494043877</v>
      </c>
      <c r="BI38" s="114">
        <v>316.3715854653874</v>
      </c>
      <c r="BJ38" s="114">
        <v>3249.3058808228807</v>
      </c>
      <c r="BK38" s="114">
        <v>6298.1842497889384</v>
      </c>
      <c r="BL38" s="114">
        <v>3923.1185549847405</v>
      </c>
      <c r="BM38" s="114">
        <v>3052.8955361477883</v>
      </c>
      <c r="BN38" s="114">
        <v>6406.0971549665419</v>
      </c>
      <c r="BO38" s="114">
        <v>5079.153841759382</v>
      </c>
      <c r="BP38" s="114">
        <v>429.57450407617478</v>
      </c>
      <c r="BQ38" s="114">
        <v>3236.2048464402724</v>
      </c>
      <c r="BR38" s="114">
        <v>5355.9440098216919</v>
      </c>
      <c r="BS38" s="114">
        <v>5429.1533629390997</v>
      </c>
      <c r="BT38" s="114">
        <v>4963.2461884523937</v>
      </c>
      <c r="BU38" s="114">
        <v>5188.9754406935353</v>
      </c>
      <c r="BV38" s="114">
        <v>1281.5021774238687</v>
      </c>
      <c r="BW38" s="114">
        <v>3985.2502528502387</v>
      </c>
      <c r="BX38" s="114">
        <v>8089.4701549396104</v>
      </c>
      <c r="BY38" s="114">
        <v>11152.314731481027</v>
      </c>
      <c r="BZ38" s="114">
        <v>2817.9396594604577</v>
      </c>
      <c r="CA38" s="114">
        <v>3081.2584835042994</v>
      </c>
      <c r="CB38" s="114">
        <v>7697.432155125729</v>
      </c>
      <c r="CC38" s="114">
        <v>9204.8149161276033</v>
      </c>
      <c r="CD38" s="114">
        <v>10826.124856264541</v>
      </c>
      <c r="CE38" s="114">
        <v>4925.1716310575075</v>
      </c>
      <c r="CF38" s="114">
        <v>7239.761879579788</v>
      </c>
      <c r="CG38" s="114">
        <v>6893.1543352604276</v>
      </c>
      <c r="CH38" s="114">
        <v>7459.9264320599386</v>
      </c>
      <c r="CI38" s="114">
        <v>10606.289829234585</v>
      </c>
      <c r="CJ38" s="114">
        <v>5425.3341241118233</v>
      </c>
      <c r="CK38" s="114">
        <v>4753.9324315990725</v>
      </c>
      <c r="CL38" s="114">
        <v>5755.1791821345441</v>
      </c>
      <c r="CM38" s="114">
        <v>5770.2550097588619</v>
      </c>
      <c r="CN38" s="114">
        <v>4230.8944034778169</v>
      </c>
      <c r="CO38" s="114">
        <v>4670.9433935987063</v>
      </c>
      <c r="CP38" s="114">
        <v>9660.2914671671897</v>
      </c>
      <c r="CQ38" s="114">
        <v>13111.018656177906</v>
      </c>
      <c r="CR38" s="114">
        <v>4015.9553048493217</v>
      </c>
      <c r="CS38" s="114">
        <v>7651.8816098824973</v>
      </c>
      <c r="CT38" s="114">
        <v>2840.8277929218862</v>
      </c>
      <c r="CU38" s="114">
        <v>4810.4956369448446</v>
      </c>
      <c r="CV38" s="114">
        <v>7566.1415031823281</v>
      </c>
      <c r="CW38" s="114">
        <v>9990.5781534428315</v>
      </c>
      <c r="CX38" s="114">
        <v>6003.8917224835332</v>
      </c>
      <c r="CY38" s="114">
        <v>4162.3481864828491</v>
      </c>
      <c r="CZ38" s="114">
        <v>4012.4097157249544</v>
      </c>
      <c r="DA38" s="114">
        <v>2435.5899635909432</v>
      </c>
      <c r="DB38" s="114">
        <v>3228.5238268466251</v>
      </c>
      <c r="DC38" s="114">
        <v>4849.8548322659199</v>
      </c>
      <c r="DD38" s="114">
        <v>5794.9971732704707</v>
      </c>
      <c r="DE38" s="114">
        <v>5124.7608048256861</v>
      </c>
      <c r="DF38" s="114">
        <v>4637.9440819776255</v>
      </c>
      <c r="DG38" s="114">
        <v>3121.286384124302</v>
      </c>
      <c r="DH38" s="114">
        <v>9992.1190473219576</v>
      </c>
      <c r="DI38" s="114">
        <v>6870.1407649267267</v>
      </c>
      <c r="DJ38" s="114">
        <v>2299.8144246064217</v>
      </c>
      <c r="DK38" s="114">
        <v>3575.6774718954616</v>
      </c>
      <c r="DL38" s="114">
        <v>5659.285244500421</v>
      </c>
      <c r="DM38" s="114">
        <v>5681.1076428657907</v>
      </c>
      <c r="DN38" s="114">
        <v>12010.701805771561</v>
      </c>
      <c r="DO38" s="114">
        <v>5123.4580250094932</v>
      </c>
      <c r="DP38" s="114">
        <v>4490.9660410493625</v>
      </c>
      <c r="DQ38" s="114">
        <v>10132.403113355531</v>
      </c>
      <c r="DR38" s="114">
        <v>4400.663766184075</v>
      </c>
      <c r="DS38" s="114">
        <v>3881.3435850100946</v>
      </c>
      <c r="DT38" s="114">
        <v>3945.2511458226618</v>
      </c>
      <c r="DU38" s="114">
        <v>9348.779323034656</v>
      </c>
      <c r="DV38" s="114">
        <v>2940.1510765642297</v>
      </c>
      <c r="DW38" s="114">
        <v>8235.8414019262182</v>
      </c>
      <c r="DX38" s="114">
        <v>5454.9979804309369</v>
      </c>
      <c r="DY38" s="114">
        <v>15936.129351312165</v>
      </c>
      <c r="DZ38" s="114">
        <v>15494.992178402488</v>
      </c>
      <c r="EA38" s="114">
        <v>10745.017768806441</v>
      </c>
      <c r="EB38" s="114">
        <v>1490.5910209053102</v>
      </c>
      <c r="EC38" s="114">
        <v>760.98521878561132</v>
      </c>
      <c r="ED38" s="114">
        <v>11789.007199286765</v>
      </c>
      <c r="EE38" s="114">
        <v>4394.1113676391842</v>
      </c>
      <c r="EF38" s="114">
        <v>6232.9549102040419</v>
      </c>
      <c r="EG38" s="114">
        <v>5508.0679182060849</v>
      </c>
      <c r="EH38" s="114">
        <v>6407.6127719824908</v>
      </c>
      <c r="EI38" s="114">
        <v>7189.6525065954957</v>
      </c>
      <c r="EJ38" s="114">
        <v>10012.471188206848</v>
      </c>
      <c r="EK38" s="114">
        <v>8045.1411065262209</v>
      </c>
      <c r="EL38" s="114">
        <v>9909.3018865654176</v>
      </c>
      <c r="EM38" s="114">
        <v>12015.096920775151</v>
      </c>
      <c r="EN38" s="114">
        <v>5480.6441552576825</v>
      </c>
      <c r="EO38" s="114">
        <v>4401.7769679010917</v>
      </c>
      <c r="EP38" s="114">
        <v>4904.1775673886359</v>
      </c>
      <c r="EQ38" s="114">
        <v>4758.6346051041837</v>
      </c>
      <c r="ER38" s="114">
        <v>6265.6783948982556</v>
      </c>
      <c r="ES38" s="114">
        <v>2152.9818591923713</v>
      </c>
      <c r="ET38" s="114">
        <v>8170.2590785634648</v>
      </c>
      <c r="EU38" s="114">
        <v>7964.7916786689148</v>
      </c>
      <c r="EV38" s="114">
        <v>8019.677777895341</v>
      </c>
      <c r="EW38" s="114">
        <v>4454.3412818415209</v>
      </c>
      <c r="EX38" s="114">
        <v>668.37379962870205</v>
      </c>
      <c r="EY38" s="114">
        <v>4417.1299576408055</v>
      </c>
      <c r="EZ38" s="114">
        <v>3363.6154578644032</v>
      </c>
      <c r="FA38" s="114">
        <v>4643.8387670489028</v>
      </c>
      <c r="FB38" s="114">
        <v>2763.0532740649619</v>
      </c>
      <c r="FC38" s="114">
        <v>10272.397894877648</v>
      </c>
      <c r="FD38" s="114">
        <v>4989.3374073125833</v>
      </c>
      <c r="FE38" s="114">
        <v>4739.0542765999171</v>
      </c>
      <c r="FF38" s="114">
        <v>3768.4924192457202</v>
      </c>
      <c r="FG38" s="114">
        <v>3691.3368145006689</v>
      </c>
      <c r="FH38" s="114">
        <v>11951.340284074609</v>
      </c>
      <c r="FI38" s="114">
        <v>2248.6366599287348</v>
      </c>
      <c r="FJ38" s="114">
        <v>4348.3967133116612</v>
      </c>
      <c r="FK38" s="114">
        <v>4311.0959166921539</v>
      </c>
      <c r="FL38" s="114">
        <v>7590.6141823257321</v>
      </c>
      <c r="FM38" s="114">
        <v>2647.5588181902804</v>
      </c>
      <c r="FN38" s="114">
        <v>7366.1592326246473</v>
      </c>
      <c r="FO38" s="114">
        <v>6220.2774804102</v>
      </c>
      <c r="FP38" s="114">
        <v>4805.2883293379382</v>
      </c>
      <c r="FQ38" s="114">
        <v>4198.065695006072</v>
      </c>
      <c r="FR38" s="114">
        <v>11859.938196389794</v>
      </c>
      <c r="FS38" s="114">
        <v>6942.0081945272041</v>
      </c>
      <c r="FT38" s="114">
        <v>3306.2501070932472</v>
      </c>
      <c r="FU38" s="114">
        <v>9803.7080663580964</v>
      </c>
      <c r="FV38" s="114">
        <v>12697.255849871823</v>
      </c>
      <c r="FW38" s="114">
        <v>1160.8615239720934</v>
      </c>
      <c r="FX38" s="114">
        <v>8062.9660361635615</v>
      </c>
      <c r="FY38" s="114">
        <v>3671.6299463574987</v>
      </c>
      <c r="FZ38" s="114">
        <v>4543.7581132297028</v>
      </c>
      <c r="GA38" s="114">
        <v>6046.2108987501761</v>
      </c>
      <c r="GB38" s="114">
        <v>2356.7240892274863</v>
      </c>
      <c r="GC38" s="114">
        <v>5498.9848176243449</v>
      </c>
      <c r="GD38" s="114">
        <v>5139.097375115567</v>
      </c>
      <c r="GE38" s="114">
        <v>5426.6612920411717</v>
      </c>
      <c r="GF38" s="114">
        <v>13291.167192606232</v>
      </c>
      <c r="GG38" s="114">
        <v>9362.4892109331777</v>
      </c>
      <c r="GH38" s="114">
        <v>9121.8932226769193</v>
      </c>
      <c r="GI38" s="114">
        <v>9622.2720377106707</v>
      </c>
      <c r="GJ38" s="114">
        <v>8194.5570048360278</v>
      </c>
      <c r="GK38" s="114">
        <v>7098.0926298658269</v>
      </c>
      <c r="GL38" s="114">
        <v>8615.4409391567187</v>
      </c>
      <c r="GM38" s="114">
        <v>10297.428398952799</v>
      </c>
      <c r="GN38" s="114">
        <v>3828.6298971524479</v>
      </c>
      <c r="GO38" s="114">
        <v>2790.2509441147317</v>
      </c>
      <c r="GP38" s="114">
        <v>3173.9845169732666</v>
      </c>
      <c r="GQ38" s="114">
        <v>10509.696878142258</v>
      </c>
      <c r="GR38" s="114">
        <v>14425.762350070045</v>
      </c>
      <c r="GS38" s="114">
        <v>4886.3565933555974</v>
      </c>
      <c r="GT38" s="115">
        <v>3759.0143975546539</v>
      </c>
    </row>
    <row r="39" spans="2:202" x14ac:dyDescent="0.6">
      <c r="B39" s="106" t="s">
        <v>34</v>
      </c>
      <c r="C39" s="63" t="s">
        <v>334</v>
      </c>
      <c r="D39" s="113">
        <v>10775.641388661439</v>
      </c>
      <c r="E39" s="114">
        <v>6771.8324689510946</v>
      </c>
      <c r="F39" s="114">
        <v>6287.450904839232</v>
      </c>
      <c r="G39" s="114">
        <v>10863.28240488741</v>
      </c>
      <c r="H39" s="114">
        <v>3385.2911264384315</v>
      </c>
      <c r="I39" s="114">
        <v>9108.9901679508275</v>
      </c>
      <c r="J39" s="114">
        <v>9124.8352290094717</v>
      </c>
      <c r="K39" s="114">
        <v>15583.430494992914</v>
      </c>
      <c r="L39" s="114">
        <v>6910.8989110784651</v>
      </c>
      <c r="M39" s="114">
        <v>9369.2196824964685</v>
      </c>
      <c r="N39" s="114">
        <v>2083.3700736742685</v>
      </c>
      <c r="O39" s="114">
        <v>10714.635653818674</v>
      </c>
      <c r="P39" s="114">
        <v>12476.243010925824</v>
      </c>
      <c r="Q39" s="114">
        <v>3911.1571257635301</v>
      </c>
      <c r="R39" s="114">
        <v>7161.5144927303718</v>
      </c>
      <c r="S39" s="114">
        <v>6031.4640716282956</v>
      </c>
      <c r="T39" s="114">
        <v>3065.4549261334796</v>
      </c>
      <c r="U39" s="114">
        <v>8872.2846762778372</v>
      </c>
      <c r="V39" s="114">
        <v>12037.594971601942</v>
      </c>
      <c r="W39" s="114">
        <v>6759.2222300923577</v>
      </c>
      <c r="X39" s="114">
        <v>7344.8379700095702</v>
      </c>
      <c r="Y39" s="114">
        <v>13023.789905609481</v>
      </c>
      <c r="Z39" s="114">
        <v>8191.4539911408319</v>
      </c>
      <c r="AA39" s="114">
        <v>8276.9572329562106</v>
      </c>
      <c r="AB39" s="114">
        <v>14462.380970049675</v>
      </c>
      <c r="AC39" s="114">
        <v>7729.7855529571434</v>
      </c>
      <c r="AD39" s="114">
        <v>8125.253112799358</v>
      </c>
      <c r="AE39" s="114">
        <v>11736.602778442877</v>
      </c>
      <c r="AF39" s="114">
        <v>6151.8658916686154</v>
      </c>
      <c r="AG39" s="114">
        <v>13883.285113093447</v>
      </c>
      <c r="AH39" s="114">
        <v>9624.6392797508197</v>
      </c>
      <c r="AI39" s="114">
        <v>9798.863526109737</v>
      </c>
      <c r="AJ39" s="114" t="s">
        <v>237</v>
      </c>
      <c r="AK39" s="114">
        <v>360.62848986589614</v>
      </c>
      <c r="AL39" s="114">
        <v>10302.310579670813</v>
      </c>
      <c r="AM39" s="114">
        <v>9397.2217367228495</v>
      </c>
      <c r="AN39" s="114">
        <v>8603.9691440691622</v>
      </c>
      <c r="AO39" s="114">
        <v>11418.25487102957</v>
      </c>
      <c r="AP39" s="114">
        <v>10626.539764128482</v>
      </c>
      <c r="AQ39" s="114">
        <v>4408.6584286477409</v>
      </c>
      <c r="AR39" s="114">
        <v>13476.294890954536</v>
      </c>
      <c r="AS39" s="114">
        <v>10718.470442639884</v>
      </c>
      <c r="AT39" s="114">
        <v>10684.709565489264</v>
      </c>
      <c r="AU39" s="114">
        <v>3823.5330452735157</v>
      </c>
      <c r="AV39" s="114">
        <v>8423.2369515211994</v>
      </c>
      <c r="AW39" s="114">
        <v>7042.3710529285017</v>
      </c>
      <c r="AX39" s="114">
        <v>2307.3800179868413</v>
      </c>
      <c r="AY39" s="114">
        <v>8922.493578289841</v>
      </c>
      <c r="AZ39" s="114">
        <v>6669.2386020279664</v>
      </c>
      <c r="BA39" s="114">
        <v>6249.072475204187</v>
      </c>
      <c r="BB39" s="114">
        <v>11544.933556419752</v>
      </c>
      <c r="BC39" s="114">
        <v>3605.7695487614465</v>
      </c>
      <c r="BD39" s="114">
        <v>2969.8939513300556</v>
      </c>
      <c r="BE39" s="114">
        <v>10695.547443114607</v>
      </c>
      <c r="BF39" s="114">
        <v>4877.0109554412384</v>
      </c>
      <c r="BG39" s="114">
        <v>9203.2700583328024</v>
      </c>
      <c r="BH39" s="114">
        <v>3494.1194820131172</v>
      </c>
      <c r="BI39" s="114">
        <v>9573.7454103997479</v>
      </c>
      <c r="BJ39" s="114">
        <v>10940.893618892162</v>
      </c>
      <c r="BK39" s="114">
        <v>6636.1820548705782</v>
      </c>
      <c r="BL39" s="114">
        <v>13578.324634300661</v>
      </c>
      <c r="BM39" s="114">
        <v>11452.756505251802</v>
      </c>
      <c r="BN39" s="114">
        <v>6601.1361306400986</v>
      </c>
      <c r="BO39" s="114">
        <v>6007.2993715491884</v>
      </c>
      <c r="BP39" s="114">
        <v>9880.5079583429706</v>
      </c>
      <c r="BQ39" s="114">
        <v>6831.2213547978772</v>
      </c>
      <c r="BR39" s="114">
        <v>9017.0595667143643</v>
      </c>
      <c r="BS39" s="114">
        <v>6477.1197693957092</v>
      </c>
      <c r="BT39" s="114">
        <v>6625.5708664244576</v>
      </c>
      <c r="BU39" s="114">
        <v>6330.5565124738432</v>
      </c>
      <c r="BV39" s="114">
        <v>8740.3809634053487</v>
      </c>
      <c r="BW39" s="114">
        <v>8107.4536762331118</v>
      </c>
      <c r="BX39" s="114">
        <v>3904.0968662037212</v>
      </c>
      <c r="BY39" s="114">
        <v>3416.6204364416471</v>
      </c>
      <c r="BZ39" s="114">
        <v>7366.5048754305608</v>
      </c>
      <c r="CA39" s="114">
        <v>7045.6168611415824</v>
      </c>
      <c r="CB39" s="114">
        <v>4627.9970017411242</v>
      </c>
      <c r="CC39" s="114">
        <v>2892.7944600946134</v>
      </c>
      <c r="CD39" s="114">
        <v>3378.3355707214528</v>
      </c>
      <c r="CE39" s="114">
        <v>7136.034176276019</v>
      </c>
      <c r="CF39" s="114">
        <v>4208.5827863967461</v>
      </c>
      <c r="CG39" s="114">
        <v>12484.792487871495</v>
      </c>
      <c r="CH39" s="114">
        <v>11651.743318388544</v>
      </c>
      <c r="CI39" s="114">
        <v>15794.793395959461</v>
      </c>
      <c r="CJ39" s="114">
        <v>9902.2828444368861</v>
      </c>
      <c r="CK39" s="114">
        <v>9735.6811377901231</v>
      </c>
      <c r="CL39" s="114">
        <v>5260.2576012823502</v>
      </c>
      <c r="CM39" s="114">
        <v>4064.2212252969557</v>
      </c>
      <c r="CN39" s="114">
        <v>7089.253703998038</v>
      </c>
      <c r="CO39" s="114">
        <v>6635.1570642832621</v>
      </c>
      <c r="CP39" s="114">
        <v>2870.6067302086985</v>
      </c>
      <c r="CQ39" s="114">
        <v>10341.260408083575</v>
      </c>
      <c r="CR39" s="114">
        <v>9355.4306287083818</v>
      </c>
      <c r="CS39" s="114">
        <v>9101.3169528152957</v>
      </c>
      <c r="CT39" s="114">
        <v>12147.381147426568</v>
      </c>
      <c r="CU39" s="114">
        <v>10293.181843937517</v>
      </c>
      <c r="CV39" s="114">
        <v>10078.190908169096</v>
      </c>
      <c r="CW39" s="114">
        <v>13198.86170674906</v>
      </c>
      <c r="CX39" s="114">
        <v>6793.2804599876408</v>
      </c>
      <c r="CY39" s="114">
        <v>9178.8288526906399</v>
      </c>
      <c r="CZ39" s="114">
        <v>13478.230120990605</v>
      </c>
      <c r="DA39" s="114">
        <v>7846.0918299022796</v>
      </c>
      <c r="DB39" s="114">
        <v>7764.4959211898295</v>
      </c>
      <c r="DC39" s="114">
        <v>6545.6694692915471</v>
      </c>
      <c r="DD39" s="114">
        <v>6994.0470109730077</v>
      </c>
      <c r="DE39" s="114">
        <v>6210.236688728407</v>
      </c>
      <c r="DF39" s="114">
        <v>14345.542969142598</v>
      </c>
      <c r="DG39" s="114">
        <v>12909.211672780457</v>
      </c>
      <c r="DH39" s="114">
        <v>14811.663183456663</v>
      </c>
      <c r="DI39" s="114">
        <v>14048.236931400354</v>
      </c>
      <c r="DJ39" s="114">
        <v>7608.8372739499173</v>
      </c>
      <c r="DK39" s="114">
        <v>7637.1298309348122</v>
      </c>
      <c r="DL39" s="114">
        <v>15235.326563952649</v>
      </c>
      <c r="DM39" s="114">
        <v>15255.150654157538</v>
      </c>
      <c r="DN39" s="114">
        <v>3284.9186553059967</v>
      </c>
      <c r="DO39" s="114">
        <v>7723.4367659127038</v>
      </c>
      <c r="DP39" s="114">
        <v>6623.0358596357864</v>
      </c>
      <c r="DQ39" s="114">
        <v>9808.522874012966</v>
      </c>
      <c r="DR39" s="114">
        <v>7483.6396485317264</v>
      </c>
      <c r="DS39" s="114">
        <v>6173.181784816642</v>
      </c>
      <c r="DT39" s="114">
        <v>13638.872919783425</v>
      </c>
      <c r="DU39" s="114">
        <v>13311.701913505036</v>
      </c>
      <c r="DV39" s="114">
        <v>12202.17523336687</v>
      </c>
      <c r="DW39" s="114">
        <v>11949.089568089723</v>
      </c>
      <c r="DX39" s="114">
        <v>5964.2812363503999</v>
      </c>
      <c r="DY39" s="114">
        <v>13889.612935626275</v>
      </c>
      <c r="DZ39" s="114">
        <v>14161.496283678624</v>
      </c>
      <c r="EA39" s="114">
        <v>3578.176859524242</v>
      </c>
      <c r="EB39" s="114">
        <v>8311.3951813022322</v>
      </c>
      <c r="EC39" s="114">
        <v>9051.2357123370566</v>
      </c>
      <c r="ED39" s="114">
        <v>10480.531616215803</v>
      </c>
      <c r="EE39" s="114">
        <v>7640.6456495331231</v>
      </c>
      <c r="EF39" s="114">
        <v>5935.1642169958641</v>
      </c>
      <c r="EG39" s="114">
        <v>11402.883233067161</v>
      </c>
      <c r="EH39" s="114">
        <v>11655.146682523435</v>
      </c>
      <c r="EI39" s="114">
        <v>10999.348378612185</v>
      </c>
      <c r="EJ39" s="114">
        <v>3858.4908460704646</v>
      </c>
      <c r="EK39" s="114">
        <v>7975.7861602524999</v>
      </c>
      <c r="EL39" s="114">
        <v>6198.3346784172791</v>
      </c>
      <c r="EM39" s="114">
        <v>13230.127587058007</v>
      </c>
      <c r="EN39" s="114">
        <v>6924.2867524938119</v>
      </c>
      <c r="EO39" s="114">
        <v>5744.6947351287481</v>
      </c>
      <c r="EP39" s="114">
        <v>10860.973018062637</v>
      </c>
      <c r="EQ39" s="114">
        <v>7770.6916400107648</v>
      </c>
      <c r="ER39" s="114">
        <v>7480.5709344400193</v>
      </c>
      <c r="ES39" s="114">
        <v>11681.138763246443</v>
      </c>
      <c r="ET39" s="114">
        <v>3353.6017495103101</v>
      </c>
      <c r="EU39" s="114">
        <v>3754.6704242301321</v>
      </c>
      <c r="EV39" s="114">
        <v>3824.8619598757618</v>
      </c>
      <c r="EW39" s="114">
        <v>6958.8135292371999</v>
      </c>
      <c r="EX39" s="114">
        <v>9661.443804875169</v>
      </c>
      <c r="EY39" s="114">
        <v>10644.171011681909</v>
      </c>
      <c r="EZ39" s="114">
        <v>6680.6756909033284</v>
      </c>
      <c r="FA39" s="114">
        <v>7408.313759355523</v>
      </c>
      <c r="FB39" s="114">
        <v>7468.2591230828484</v>
      </c>
      <c r="FC39" s="114">
        <v>14995.268190395636</v>
      </c>
      <c r="FD39" s="114">
        <v>6963.4023230401708</v>
      </c>
      <c r="FE39" s="114">
        <v>6928.6232133536114</v>
      </c>
      <c r="FF39" s="114">
        <v>12535.283858329807</v>
      </c>
      <c r="FG39" s="114">
        <v>13294.227524427521</v>
      </c>
      <c r="FH39" s="114">
        <v>10636.178336908113</v>
      </c>
      <c r="FI39" s="114">
        <v>11287.143171116206</v>
      </c>
      <c r="FJ39" s="114">
        <v>6062.7589196173858</v>
      </c>
      <c r="FK39" s="114">
        <v>6401.5915101033697</v>
      </c>
      <c r="FL39" s="114">
        <v>14011.116439627151</v>
      </c>
      <c r="FM39" s="114">
        <v>10491.928698811236</v>
      </c>
      <c r="FN39" s="114">
        <v>4867.1515708093357</v>
      </c>
      <c r="FO39" s="114">
        <v>6330.9759084340612</v>
      </c>
      <c r="FP39" s="114">
        <v>6444.7593589416874</v>
      </c>
      <c r="FQ39" s="114">
        <v>9251.3105305918507</v>
      </c>
      <c r="FR39" s="114">
        <v>12078.417779264282</v>
      </c>
      <c r="FS39" s="114">
        <v>10337.964231994038</v>
      </c>
      <c r="FT39" s="114">
        <v>12814.896375103408</v>
      </c>
      <c r="FU39" s="114">
        <v>13660.222979427854</v>
      </c>
      <c r="FV39" s="114">
        <v>15406.496651253392</v>
      </c>
      <c r="FW39" s="114">
        <v>8784.9389398800868</v>
      </c>
      <c r="FX39" s="114">
        <v>4058.5625574367291</v>
      </c>
      <c r="FY39" s="114">
        <v>7274.5604507088901</v>
      </c>
      <c r="FZ39" s="114">
        <v>8516.5837024803241</v>
      </c>
      <c r="GA39" s="114">
        <v>9947.7750360767714</v>
      </c>
      <c r="GB39" s="114">
        <v>11715.514436570282</v>
      </c>
      <c r="GC39" s="114">
        <v>7551.3104975103743</v>
      </c>
      <c r="GD39" s="114">
        <v>11099.384159061958</v>
      </c>
      <c r="GE39" s="114">
        <v>5721.94950798836</v>
      </c>
      <c r="GF39" s="114">
        <v>3493.5470380046431</v>
      </c>
      <c r="GG39" s="114">
        <v>554.43182133224332</v>
      </c>
      <c r="GH39" s="114">
        <v>693.73247568266311</v>
      </c>
      <c r="GI39" s="114">
        <v>568.70009152235707</v>
      </c>
      <c r="GJ39" s="114">
        <v>9009.9023024393628</v>
      </c>
      <c r="GK39" s="114">
        <v>10063.150414377385</v>
      </c>
      <c r="GL39" s="114">
        <v>3915.2521005212438</v>
      </c>
      <c r="GM39" s="114">
        <v>12797.866147431259</v>
      </c>
      <c r="GN39" s="114">
        <v>11307.035214159197</v>
      </c>
      <c r="GO39" s="114">
        <v>12577.055834350531</v>
      </c>
      <c r="GP39" s="114">
        <v>12964.141049187141</v>
      </c>
      <c r="GQ39" s="114">
        <v>13921.744033369934</v>
      </c>
      <c r="GR39" s="114">
        <v>15804.837756510175</v>
      </c>
      <c r="GS39" s="114">
        <v>6478.9763311841343</v>
      </c>
      <c r="GT39" s="115">
        <v>13338.724409880129</v>
      </c>
    </row>
    <row r="40" spans="2:202" x14ac:dyDescent="0.6">
      <c r="B40" s="106" t="s">
        <v>34</v>
      </c>
      <c r="C40" s="63" t="s">
        <v>438</v>
      </c>
      <c r="D40" s="113">
        <v>10475.971392702832</v>
      </c>
      <c r="E40" s="114">
        <v>6413.4231364512489</v>
      </c>
      <c r="F40" s="114">
        <v>5926.926366625692</v>
      </c>
      <c r="G40" s="114">
        <v>10566.604716776239</v>
      </c>
      <c r="H40" s="114">
        <v>3375.3060831067737</v>
      </c>
      <c r="I40" s="114">
        <v>9201.4775186635834</v>
      </c>
      <c r="J40" s="114">
        <v>8785.4815591175866</v>
      </c>
      <c r="K40" s="114">
        <v>15902.027486589923</v>
      </c>
      <c r="L40" s="114">
        <v>6557.0537390003492</v>
      </c>
      <c r="M40" s="114">
        <v>9037.631654277684</v>
      </c>
      <c r="N40" s="114">
        <v>2254.0255710107758</v>
      </c>
      <c r="O40" s="114">
        <v>10367.261940493025</v>
      </c>
      <c r="P40" s="114">
        <v>12239.36011259674</v>
      </c>
      <c r="Q40" s="114">
        <v>3892.9419105141696</v>
      </c>
      <c r="R40" s="114">
        <v>6824.3915104954203</v>
      </c>
      <c r="S40" s="114">
        <v>5674.9861498430919</v>
      </c>
      <c r="T40" s="114">
        <v>3345.1847146671798</v>
      </c>
      <c r="U40" s="114">
        <v>8565.1969476928989</v>
      </c>
      <c r="V40" s="114">
        <v>11800.322100414845</v>
      </c>
      <c r="W40" s="114">
        <v>6875.025811929645</v>
      </c>
      <c r="X40" s="114">
        <v>6987.6556458865007</v>
      </c>
      <c r="Y40" s="114">
        <v>12742.230081505399</v>
      </c>
      <c r="Z40" s="114">
        <v>8189.4645826258629</v>
      </c>
      <c r="AA40" s="114">
        <v>8254.1629976297409</v>
      </c>
      <c r="AB40" s="114">
        <v>14382.774633169602</v>
      </c>
      <c r="AC40" s="114">
        <v>7374.1410932699973</v>
      </c>
      <c r="AD40" s="114">
        <v>7812.3738673257631</v>
      </c>
      <c r="AE40" s="114">
        <v>11396.506448916029</v>
      </c>
      <c r="AF40" s="114">
        <v>5893.1037201254239</v>
      </c>
      <c r="AG40" s="114">
        <v>13721.448814759222</v>
      </c>
      <c r="AH40" s="114">
        <v>9306.45709578284</v>
      </c>
      <c r="AI40" s="114">
        <v>9478.460692584933</v>
      </c>
      <c r="AJ40" s="114">
        <v>360.62848986589614</v>
      </c>
      <c r="AK40" s="114" t="s">
        <v>237</v>
      </c>
      <c r="AL40" s="114">
        <v>9967.6986863563779</v>
      </c>
      <c r="AM40" s="114">
        <v>9056.0085150804734</v>
      </c>
      <c r="AN40" s="114">
        <v>8744.5889540321241</v>
      </c>
      <c r="AO40" s="114">
        <v>11340.224237650835</v>
      </c>
      <c r="AP40" s="114">
        <v>10512.420890048432</v>
      </c>
      <c r="AQ40" s="114">
        <v>4553.3036867073797</v>
      </c>
      <c r="AR40" s="114">
        <v>13128.074279313194</v>
      </c>
      <c r="AS40" s="114">
        <v>10406.585093093101</v>
      </c>
      <c r="AT40" s="114">
        <v>10372.713598894978</v>
      </c>
      <c r="AU40" s="114">
        <v>4056.2610810833339</v>
      </c>
      <c r="AV40" s="114">
        <v>8134.8214328118038</v>
      </c>
      <c r="AW40" s="114">
        <v>6685.6171178139575</v>
      </c>
      <c r="AX40" s="114">
        <v>2543.1409526659154</v>
      </c>
      <c r="AY40" s="114">
        <v>8567.0339410404231</v>
      </c>
      <c r="AZ40" s="114">
        <v>6316.6619454377715</v>
      </c>
      <c r="BA40" s="114">
        <v>5904.0716115068271</v>
      </c>
      <c r="BB40" s="114">
        <v>11184.308781818616</v>
      </c>
      <c r="BC40" s="114">
        <v>3598.0401855848809</v>
      </c>
      <c r="BD40" s="114">
        <v>3047.1188849630707</v>
      </c>
      <c r="BE40" s="114">
        <v>10383.734495264191</v>
      </c>
      <c r="BF40" s="114">
        <v>5058.6974881906963</v>
      </c>
      <c r="BG40" s="114">
        <v>8843.9399734701274</v>
      </c>
      <c r="BH40" s="114">
        <v>3771.6223992622326</v>
      </c>
      <c r="BI40" s="114">
        <v>9259.4134637641437</v>
      </c>
      <c r="BJ40" s="114">
        <v>10580.266467378869</v>
      </c>
      <c r="BK40" s="114">
        <v>6309.2024590364435</v>
      </c>
      <c r="BL40" s="114">
        <v>13289.091669991114</v>
      </c>
      <c r="BM40" s="114">
        <v>11093.008101608841</v>
      </c>
      <c r="BN40" s="114">
        <v>6277.1014645242458</v>
      </c>
      <c r="BO40" s="114">
        <v>5648.4502847553331</v>
      </c>
      <c r="BP40" s="114">
        <v>9571.7383245465226</v>
      </c>
      <c r="BQ40" s="114">
        <v>6555.1172897285551</v>
      </c>
      <c r="BR40" s="114">
        <v>8679.7668445194158</v>
      </c>
      <c r="BS40" s="114">
        <v>6127.203987657389</v>
      </c>
      <c r="BT40" s="114">
        <v>6269.5143084814981</v>
      </c>
      <c r="BU40" s="114">
        <v>5975.3705847677638</v>
      </c>
      <c r="BV40" s="114">
        <v>8441.5091824324336</v>
      </c>
      <c r="BW40" s="114">
        <v>7748.665687538768</v>
      </c>
      <c r="BX40" s="114">
        <v>3914.1798318703864</v>
      </c>
      <c r="BY40" s="114">
        <v>3703.8207103465288</v>
      </c>
      <c r="BZ40" s="114">
        <v>7094.2783503853325</v>
      </c>
      <c r="CA40" s="114">
        <v>6772.5930174226232</v>
      </c>
      <c r="CB40" s="114">
        <v>4623.4566348757517</v>
      </c>
      <c r="CC40" s="114">
        <v>3002.6350687507775</v>
      </c>
      <c r="CD40" s="114">
        <v>3642.6801662523767</v>
      </c>
      <c r="CE40" s="114">
        <v>6782.8273587411732</v>
      </c>
      <c r="CF40" s="114">
        <v>3877.7906123995731</v>
      </c>
      <c r="CG40" s="114">
        <v>12175.603989138946</v>
      </c>
      <c r="CH40" s="114">
        <v>11368.218298375807</v>
      </c>
      <c r="CI40" s="114">
        <v>15654.910722275872</v>
      </c>
      <c r="CJ40" s="114">
        <v>9566.830424303198</v>
      </c>
      <c r="CK40" s="114">
        <v>9388.210222847707</v>
      </c>
      <c r="CL40" s="114">
        <v>4903.7009515944919</v>
      </c>
      <c r="CM40" s="114">
        <v>3770.8207498293536</v>
      </c>
      <c r="CN40" s="114">
        <v>6729.1829059948095</v>
      </c>
      <c r="CO40" s="114">
        <v>6276.1527812303793</v>
      </c>
      <c r="CP40" s="114">
        <v>3033.93857285289</v>
      </c>
      <c r="CQ40" s="114">
        <v>10344.334446709941</v>
      </c>
      <c r="CR40" s="114">
        <v>8998.984570046212</v>
      </c>
      <c r="CS40" s="114">
        <v>8832.2748154899837</v>
      </c>
      <c r="CT40" s="114">
        <v>11795.350067762212</v>
      </c>
      <c r="CU40" s="114">
        <v>9946.092464438465</v>
      </c>
      <c r="CV40" s="114">
        <v>9804.9007378647966</v>
      </c>
      <c r="CW40" s="114">
        <v>13022.683454129574</v>
      </c>
      <c r="CX40" s="114">
        <v>6459.4813626876612</v>
      </c>
      <c r="CY40" s="114">
        <v>8823.5882366043825</v>
      </c>
      <c r="CZ40" s="114">
        <v>13209.339079690908</v>
      </c>
      <c r="DA40" s="114">
        <v>7574.1509179672439</v>
      </c>
      <c r="DB40" s="114">
        <v>7404.8565426689238</v>
      </c>
      <c r="DC40" s="114">
        <v>6187.8103570681878</v>
      </c>
      <c r="DD40" s="114">
        <v>6656.6806127672508</v>
      </c>
      <c r="DE40" s="114">
        <v>5853.2636242257731</v>
      </c>
      <c r="DF40" s="114">
        <v>14002.452285428393</v>
      </c>
      <c r="DG40" s="114">
        <v>12581.151882063195</v>
      </c>
      <c r="DH40" s="114">
        <v>14628.481269444052</v>
      </c>
      <c r="DI40" s="114">
        <v>13720.210114864931</v>
      </c>
      <c r="DJ40" s="114">
        <v>7310.3707214268716</v>
      </c>
      <c r="DK40" s="114">
        <v>7276.5555145805174</v>
      </c>
      <c r="DL40" s="114">
        <v>14881.155586394958</v>
      </c>
      <c r="DM40" s="114">
        <v>14900.837326226905</v>
      </c>
      <c r="DN40" s="114">
        <v>3626.7725091410939</v>
      </c>
      <c r="DO40" s="114">
        <v>7376.9498754985989</v>
      </c>
      <c r="DP40" s="114">
        <v>6262.8772925197372</v>
      </c>
      <c r="DQ40" s="114">
        <v>9650.1916649438754</v>
      </c>
      <c r="DR40" s="114">
        <v>7126.097504193408</v>
      </c>
      <c r="DS40" s="114">
        <v>5823.5817735554756</v>
      </c>
      <c r="DT40" s="114">
        <v>13344.57947177148</v>
      </c>
      <c r="DU40" s="114">
        <v>13100.115239749886</v>
      </c>
      <c r="DV40" s="114">
        <v>11935.979833466465</v>
      </c>
      <c r="DW40" s="114">
        <v>11694.177841813473</v>
      </c>
      <c r="DX40" s="114">
        <v>5609.9902070719054</v>
      </c>
      <c r="DY40" s="114">
        <v>14244.363015875573</v>
      </c>
      <c r="DZ40" s="114">
        <v>14520.247452731724</v>
      </c>
      <c r="EA40" s="114">
        <v>3831.7571908991695</v>
      </c>
      <c r="EB40" s="114">
        <v>7988.9803400752016</v>
      </c>
      <c r="EC40" s="114">
        <v>8727.4388422777502</v>
      </c>
      <c r="ED40" s="114">
        <v>10408.848115933819</v>
      </c>
      <c r="EE40" s="114">
        <v>7283.6731792833898</v>
      </c>
      <c r="EF40" s="114">
        <v>5598.3922511807523</v>
      </c>
      <c r="EG40" s="114">
        <v>11064.742069106243</v>
      </c>
      <c r="EH40" s="114">
        <v>11337.545371105223</v>
      </c>
      <c r="EI40" s="114">
        <v>10709.692165374638</v>
      </c>
      <c r="EJ40" s="114">
        <v>4049.7286395993465</v>
      </c>
      <c r="EK40" s="114">
        <v>8037.3480917641364</v>
      </c>
      <c r="EL40" s="114">
        <v>6370.1154100508029</v>
      </c>
      <c r="EM40" s="114">
        <v>13176.741959247314</v>
      </c>
      <c r="EN40" s="114">
        <v>6579.2645483294673</v>
      </c>
      <c r="EO40" s="114">
        <v>5390.3283444458812</v>
      </c>
      <c r="EP40" s="114">
        <v>10514.024346585835</v>
      </c>
      <c r="EQ40" s="114">
        <v>7418.6252385128764</v>
      </c>
      <c r="ER40" s="114">
        <v>7159.445798560243</v>
      </c>
      <c r="ES40" s="114">
        <v>11337.509299638161</v>
      </c>
      <c r="ET40" s="114">
        <v>3349.9106409918149</v>
      </c>
      <c r="EU40" s="114">
        <v>3745.1700888454343</v>
      </c>
      <c r="EV40" s="114">
        <v>3824.4152941360589</v>
      </c>
      <c r="EW40" s="114">
        <v>6599.5831433322219</v>
      </c>
      <c r="EX40" s="114">
        <v>9359.7988430116457</v>
      </c>
      <c r="EY40" s="114">
        <v>10291.076026812882</v>
      </c>
      <c r="EZ40" s="114">
        <v>6403.7972534540449</v>
      </c>
      <c r="FA40" s="114">
        <v>7052.9686835445009</v>
      </c>
      <c r="FB40" s="114">
        <v>7198.1935673058606</v>
      </c>
      <c r="FC40" s="114">
        <v>14830.403014498652</v>
      </c>
      <c r="FD40" s="114">
        <v>6609.9991825988718</v>
      </c>
      <c r="FE40" s="114">
        <v>6571.7977035104914</v>
      </c>
      <c r="FF40" s="114">
        <v>12175.268551716596</v>
      </c>
      <c r="FG40" s="114">
        <v>13009.651980595516</v>
      </c>
      <c r="FH40" s="114">
        <v>10573.234443275342</v>
      </c>
      <c r="FI40" s="114">
        <v>10934.358851992998</v>
      </c>
      <c r="FJ40" s="114">
        <v>5704.0056714337634</v>
      </c>
      <c r="FK40" s="114">
        <v>6041.1666778182043</v>
      </c>
      <c r="FL40" s="114">
        <v>13709.64472438231</v>
      </c>
      <c r="FM40" s="114">
        <v>10132.305716110828</v>
      </c>
      <c r="FN40" s="114">
        <v>4840.2283119537269</v>
      </c>
      <c r="FO40" s="114">
        <v>5998.5305463152445</v>
      </c>
      <c r="FP40" s="114">
        <v>6085.921668335598</v>
      </c>
      <c r="FQ40" s="114">
        <v>8896.5070613853113</v>
      </c>
      <c r="FR40" s="114">
        <v>12010.484597693865</v>
      </c>
      <c r="FS40" s="114">
        <v>10042.365545801842</v>
      </c>
      <c r="FT40" s="114">
        <v>12465.794392415544</v>
      </c>
      <c r="FU40" s="114">
        <v>13471.500960388241</v>
      </c>
      <c r="FV40" s="114">
        <v>15447.287738903959</v>
      </c>
      <c r="FW40" s="114">
        <v>8481.0889403368728</v>
      </c>
      <c r="FX40" s="114">
        <v>4071.1953689604625</v>
      </c>
      <c r="FY40" s="114">
        <v>6914.2706397468737</v>
      </c>
      <c r="FZ40" s="114">
        <v>8164.4305721469136</v>
      </c>
      <c r="GA40" s="114">
        <v>9626.7645015603848</v>
      </c>
      <c r="GB40" s="114">
        <v>11366.705553428164</v>
      </c>
      <c r="GC40" s="114">
        <v>7211.208140656352</v>
      </c>
      <c r="GD40" s="114">
        <v>10755.536460364188</v>
      </c>
      <c r="GE40" s="114">
        <v>5364.987544564091</v>
      </c>
      <c r="GF40" s="114">
        <v>3821.0685935621109</v>
      </c>
      <c r="GG40" s="114">
        <v>519.5997963653183</v>
      </c>
      <c r="GH40" s="114">
        <v>476.45492800298786</v>
      </c>
      <c r="GI40" s="114">
        <v>719.68155743395914</v>
      </c>
      <c r="GJ40" s="114">
        <v>9080.6635056652249</v>
      </c>
      <c r="GK40" s="114">
        <v>9773.3440105115224</v>
      </c>
      <c r="GL40" s="114">
        <v>3979.6070012889145</v>
      </c>
      <c r="GM40" s="114">
        <v>12640.05025090237</v>
      </c>
      <c r="GN40" s="114">
        <v>10947.53652866761</v>
      </c>
      <c r="GO40" s="114">
        <v>12262.719395139167</v>
      </c>
      <c r="GP40" s="114">
        <v>12649.011730264499</v>
      </c>
      <c r="GQ40" s="114">
        <v>13774.437607326348</v>
      </c>
      <c r="GR40" s="114">
        <v>16125.265309474344</v>
      </c>
      <c r="GS40" s="114">
        <v>6121.0955784837952</v>
      </c>
      <c r="GT40" s="115">
        <v>13056.998978480438</v>
      </c>
    </row>
    <row r="41" spans="2:202" x14ac:dyDescent="0.6">
      <c r="B41" s="106" t="s">
        <v>35</v>
      </c>
      <c r="C41" s="63" t="s">
        <v>439</v>
      </c>
      <c r="D41" s="113">
        <v>6199.0754087079868</v>
      </c>
      <c r="E41" s="114">
        <v>3905.1049945522218</v>
      </c>
      <c r="F41" s="114">
        <v>4557.9957837635275</v>
      </c>
      <c r="G41" s="114">
        <v>1528.4497826097629</v>
      </c>
      <c r="H41" s="114">
        <v>8827.9038768822375</v>
      </c>
      <c r="I41" s="114">
        <v>9249.949460065498</v>
      </c>
      <c r="J41" s="114">
        <v>4762.4401506001441</v>
      </c>
      <c r="K41" s="114">
        <v>14124.286023399734</v>
      </c>
      <c r="L41" s="114">
        <v>4884.5710395967035</v>
      </c>
      <c r="M41" s="114">
        <v>5082.5689941839928</v>
      </c>
      <c r="N41" s="114">
        <v>10365.449249928432</v>
      </c>
      <c r="O41" s="114">
        <v>4180.1945632709258</v>
      </c>
      <c r="P41" s="114">
        <v>7976.2422185412379</v>
      </c>
      <c r="Q41" s="114">
        <v>8565.3070358799432</v>
      </c>
      <c r="R41" s="114">
        <v>5541.2275861722364</v>
      </c>
      <c r="S41" s="114">
        <v>5313.4091047854754</v>
      </c>
      <c r="T41" s="114">
        <v>11625.316870096673</v>
      </c>
      <c r="U41" s="114">
        <v>1777.7858949792533</v>
      </c>
      <c r="V41" s="114">
        <v>7926.4677332607098</v>
      </c>
      <c r="W41" s="114">
        <v>9760.793447418142</v>
      </c>
      <c r="X41" s="114">
        <v>4368.8576437695865</v>
      </c>
      <c r="Y41" s="114">
        <v>3283.3585596609323</v>
      </c>
      <c r="Z41" s="114">
        <v>7681.6559912013745</v>
      </c>
      <c r="AA41" s="114">
        <v>7320.9795883065553</v>
      </c>
      <c r="AB41" s="114">
        <v>10705.39354206793</v>
      </c>
      <c r="AC41" s="114">
        <v>4276.9292044700996</v>
      </c>
      <c r="AD41" s="114">
        <v>2333.2275081190128</v>
      </c>
      <c r="AE41" s="114">
        <v>1457.1541421130564</v>
      </c>
      <c r="AF41" s="114">
        <v>4715.2583728694872</v>
      </c>
      <c r="AG41" s="114">
        <v>9496.3741650975408</v>
      </c>
      <c r="AH41" s="114">
        <v>959.06045104444206</v>
      </c>
      <c r="AI41" s="114">
        <v>780.81740306513598</v>
      </c>
      <c r="AJ41" s="114">
        <v>10302.310579670813</v>
      </c>
      <c r="AK41" s="114">
        <v>9967.6986863563779</v>
      </c>
      <c r="AL41" s="114" t="s">
        <v>237</v>
      </c>
      <c r="AM41" s="114">
        <v>967.88203314312125</v>
      </c>
      <c r="AN41" s="114">
        <v>10149.218576123298</v>
      </c>
      <c r="AO41" s="114">
        <v>11000.195364835254</v>
      </c>
      <c r="AP41" s="114">
        <v>10377.644290811924</v>
      </c>
      <c r="AQ41" s="114">
        <v>10231.804187068959</v>
      </c>
      <c r="AR41" s="114">
        <v>3248.5741409317384</v>
      </c>
      <c r="AS41" s="114">
        <v>1009.5785806087723</v>
      </c>
      <c r="AT41" s="114">
        <v>992.2983438146581</v>
      </c>
      <c r="AU41" s="114">
        <v>11280.266372341146</v>
      </c>
      <c r="AV41" s="114">
        <v>2482.1875885623085</v>
      </c>
      <c r="AW41" s="114">
        <v>4596.8976395685177</v>
      </c>
      <c r="AX41" s="114">
        <v>10898.428528249493</v>
      </c>
      <c r="AY41" s="114">
        <v>3759.3648185820857</v>
      </c>
      <c r="AZ41" s="114">
        <v>5109.7077453568472</v>
      </c>
      <c r="BA41" s="114">
        <v>5716.3613031229079</v>
      </c>
      <c r="BB41" s="114">
        <v>2734.585966822011</v>
      </c>
      <c r="BC41" s="114">
        <v>8768.6578378235299</v>
      </c>
      <c r="BD41" s="114">
        <v>9642.9530423932774</v>
      </c>
      <c r="BE41" s="114">
        <v>1002.5221309105531</v>
      </c>
      <c r="BF41" s="114">
        <v>10751.746877346788</v>
      </c>
      <c r="BG41" s="114">
        <v>3166.0311449264486</v>
      </c>
      <c r="BH41" s="114">
        <v>11774.62837030304</v>
      </c>
      <c r="BI41" s="114">
        <v>1096.2329190687371</v>
      </c>
      <c r="BJ41" s="114">
        <v>2523.700595774274</v>
      </c>
      <c r="BK41" s="114">
        <v>6137.2791896143826</v>
      </c>
      <c r="BL41" s="114">
        <v>3648.0334475445716</v>
      </c>
      <c r="BM41" s="114">
        <v>2279.0656878227082</v>
      </c>
      <c r="BN41" s="114">
        <v>6243.9050202459484</v>
      </c>
      <c r="BO41" s="114">
        <v>5156.2688231181237</v>
      </c>
      <c r="BP41" s="114">
        <v>1102.5057609952746</v>
      </c>
      <c r="BQ41" s="114">
        <v>3943.8525183317261</v>
      </c>
      <c r="BR41" s="114">
        <v>4886.5597909456137</v>
      </c>
      <c r="BS41" s="114">
        <v>5365.786104212908</v>
      </c>
      <c r="BT41" s="114">
        <v>4924.4874260466277</v>
      </c>
      <c r="BU41" s="114">
        <v>5181.8460601815514</v>
      </c>
      <c r="BV41" s="114">
        <v>2043.6521105727998</v>
      </c>
      <c r="BW41" s="114">
        <v>3744.5971898049979</v>
      </c>
      <c r="BX41" s="114">
        <v>8834.3263271882806</v>
      </c>
      <c r="BY41" s="114">
        <v>11877.23150925453</v>
      </c>
      <c r="BZ41" s="114">
        <v>3558.7478947405643</v>
      </c>
      <c r="CA41" s="114">
        <v>3805.2493096695589</v>
      </c>
      <c r="CB41" s="114">
        <v>8462.3326740555276</v>
      </c>
      <c r="CC41" s="114">
        <v>9917.0798781420162</v>
      </c>
      <c r="CD41" s="114">
        <v>11554.728744694947</v>
      </c>
      <c r="CE41" s="114">
        <v>4788.5245888873342</v>
      </c>
      <c r="CF41" s="114">
        <v>7382.7074400553865</v>
      </c>
      <c r="CG41" s="114">
        <v>6135.770627658113</v>
      </c>
      <c r="CH41" s="114">
        <v>6745.9020302003482</v>
      </c>
      <c r="CI41" s="114">
        <v>9842.4021480415595</v>
      </c>
      <c r="CJ41" s="114">
        <v>4844.3366891624346</v>
      </c>
      <c r="CK41" s="114">
        <v>4197.109360406821</v>
      </c>
      <c r="CL41" s="114">
        <v>5887.4932154543976</v>
      </c>
      <c r="CM41" s="114">
        <v>6342.8596484155996</v>
      </c>
      <c r="CN41" s="114">
        <v>4192.3310367426147</v>
      </c>
      <c r="CO41" s="114">
        <v>4670.5942987140152</v>
      </c>
      <c r="CP41" s="114">
        <v>10373.4215552651</v>
      </c>
      <c r="CQ41" s="114">
        <v>12484.959647117343</v>
      </c>
      <c r="CR41" s="114">
        <v>3529.5072242580836</v>
      </c>
      <c r="CS41" s="114">
        <v>7142.2740786931854</v>
      </c>
      <c r="CT41" s="114">
        <v>2102.0738281172803</v>
      </c>
      <c r="CU41" s="114">
        <v>4184.8273617251516</v>
      </c>
      <c r="CV41" s="114">
        <v>6965.1521552534268</v>
      </c>
      <c r="CW41" s="114">
        <v>9225.2681826652697</v>
      </c>
      <c r="CX41" s="114">
        <v>5837.5930533313967</v>
      </c>
      <c r="CY41" s="114">
        <v>3701.5560606382887</v>
      </c>
      <c r="CZ41" s="114">
        <v>3835.9528860956275</v>
      </c>
      <c r="DA41" s="114">
        <v>3198.3392330450811</v>
      </c>
      <c r="DB41" s="114">
        <v>3190.0644533813543</v>
      </c>
      <c r="DC41" s="114">
        <v>4843.2064248016695</v>
      </c>
      <c r="DD41" s="114">
        <v>5610.6545886150279</v>
      </c>
      <c r="DE41" s="114">
        <v>5151.1061806284351</v>
      </c>
      <c r="DF41" s="114">
        <v>4059.4848560816999</v>
      </c>
      <c r="DG41" s="114">
        <v>2625.7428545196444</v>
      </c>
      <c r="DH41" s="114">
        <v>9212.4567022888259</v>
      </c>
      <c r="DI41" s="114">
        <v>6090.918385358269</v>
      </c>
      <c r="DJ41" s="114">
        <v>2986.2515456967508</v>
      </c>
      <c r="DK41" s="114">
        <v>3506.1563079458751</v>
      </c>
      <c r="DL41" s="114">
        <v>5040.7487335772785</v>
      </c>
      <c r="DM41" s="114">
        <v>5062.3069571310407</v>
      </c>
      <c r="DN41" s="114">
        <v>12698.230775589445</v>
      </c>
      <c r="DO41" s="114">
        <v>4863.1152565402617</v>
      </c>
      <c r="DP41" s="114">
        <v>4522.3388645360701</v>
      </c>
      <c r="DQ41" s="114">
        <v>9552.0012798013813</v>
      </c>
      <c r="DR41" s="114">
        <v>4249.8328779595549</v>
      </c>
      <c r="DS41" s="114">
        <v>4212.7916883927073</v>
      </c>
      <c r="DT41" s="114">
        <v>3641.2365099094195</v>
      </c>
      <c r="DU41" s="114">
        <v>8580.0303213592051</v>
      </c>
      <c r="DV41" s="114">
        <v>2958.9918346212503</v>
      </c>
      <c r="DW41" s="114">
        <v>7510.861079845864</v>
      </c>
      <c r="DX41" s="114">
        <v>5487.1613536394698</v>
      </c>
      <c r="DY41" s="114">
        <v>15661.547092302486</v>
      </c>
      <c r="DZ41" s="114">
        <v>15262.598791687604</v>
      </c>
      <c r="EA41" s="114">
        <v>11483.489583072405</v>
      </c>
      <c r="EB41" s="114">
        <v>2051.3185562661602</v>
      </c>
      <c r="EC41" s="114">
        <v>1330.5714196483452</v>
      </c>
      <c r="ED41" s="114">
        <v>11155.123289640625</v>
      </c>
      <c r="EE41" s="114">
        <v>4210.8711522662716</v>
      </c>
      <c r="EF41" s="114">
        <v>6188.3897223195218</v>
      </c>
      <c r="EG41" s="114">
        <v>4789.9100480977595</v>
      </c>
      <c r="EH41" s="114">
        <v>5684.4150781515091</v>
      </c>
      <c r="EI41" s="114">
        <v>6515.2019055355477</v>
      </c>
      <c r="EJ41" s="114">
        <v>10765.78388466568</v>
      </c>
      <c r="EK41" s="114">
        <v>8773.1639357829499</v>
      </c>
      <c r="EL41" s="114">
        <v>10685.993392066786</v>
      </c>
      <c r="EM41" s="114">
        <v>11246.166755083164</v>
      </c>
      <c r="EN41" s="114">
        <v>5331.8562200207753</v>
      </c>
      <c r="EO41" s="114">
        <v>4707.5301159620885</v>
      </c>
      <c r="EP41" s="114">
        <v>4220.9366719498084</v>
      </c>
      <c r="EQ41" s="114">
        <v>4516.4573091934371</v>
      </c>
      <c r="ER41" s="114">
        <v>5981.3078563319696</v>
      </c>
      <c r="ES41" s="114">
        <v>1451.2450191400296</v>
      </c>
      <c r="ET41" s="114">
        <v>8890.4542971716928</v>
      </c>
      <c r="EU41" s="114">
        <v>8700.9478370231263</v>
      </c>
      <c r="EV41" s="114">
        <v>8760.0400030877718</v>
      </c>
      <c r="EW41" s="114">
        <v>4412.5058874204151</v>
      </c>
      <c r="EX41" s="114">
        <v>1405.7759165693346</v>
      </c>
      <c r="EY41" s="114">
        <v>3749.1175520677675</v>
      </c>
      <c r="EZ41" s="114">
        <v>4062.4684321782815</v>
      </c>
      <c r="FA41" s="114">
        <v>4482.1745891561804</v>
      </c>
      <c r="FB41" s="114">
        <v>3511.9116130824277</v>
      </c>
      <c r="FC41" s="114">
        <v>9494.19942703583</v>
      </c>
      <c r="FD41" s="114">
        <v>4879.649048811214</v>
      </c>
      <c r="FE41" s="114">
        <v>4665.3136559792247</v>
      </c>
      <c r="FF41" s="114">
        <v>2996.5182101191767</v>
      </c>
      <c r="FG41" s="114">
        <v>3463.5536588998689</v>
      </c>
      <c r="FH41" s="114">
        <v>11305.864901917914</v>
      </c>
      <c r="FI41" s="114">
        <v>1468.3133523415895</v>
      </c>
      <c r="FJ41" s="114">
        <v>4562.2060694852016</v>
      </c>
      <c r="FK41" s="114">
        <v>4434.5547339155892</v>
      </c>
      <c r="FL41" s="114">
        <v>6809.7988580716083</v>
      </c>
      <c r="FM41" s="114">
        <v>1965.5027098103208</v>
      </c>
      <c r="FN41" s="114">
        <v>8134.1038635216701</v>
      </c>
      <c r="FO41" s="114">
        <v>6112.4470826107272</v>
      </c>
      <c r="FP41" s="114">
        <v>4827.4382325596889</v>
      </c>
      <c r="FQ41" s="114">
        <v>3723.8088036123472</v>
      </c>
      <c r="FR41" s="114">
        <v>11130.584290142559</v>
      </c>
      <c r="FS41" s="114">
        <v>6318.2812979148366</v>
      </c>
      <c r="FT41" s="114">
        <v>2628.3828405017971</v>
      </c>
      <c r="FU41" s="114">
        <v>9029.0535546522642</v>
      </c>
      <c r="FV41" s="114">
        <v>11937.656534010457</v>
      </c>
      <c r="FW41" s="114">
        <v>1910.3500682609933</v>
      </c>
      <c r="FX41" s="114">
        <v>8813.5115968430655</v>
      </c>
      <c r="FY41" s="114">
        <v>3685.8369506445933</v>
      </c>
      <c r="FZ41" s="114">
        <v>4181.0500469242725</v>
      </c>
      <c r="GA41" s="114">
        <v>5458.7861697035705</v>
      </c>
      <c r="GB41" s="114">
        <v>1613.1724804607059</v>
      </c>
      <c r="GC41" s="114">
        <v>5243.3758264352427</v>
      </c>
      <c r="GD41" s="114">
        <v>4438.4315458909996</v>
      </c>
      <c r="GE41" s="114">
        <v>5512.0787795022097</v>
      </c>
      <c r="GF41" s="114">
        <v>13786.55851574189</v>
      </c>
      <c r="GG41" s="114">
        <v>9898.9972095759786</v>
      </c>
      <c r="GH41" s="114">
        <v>9642.2775219751493</v>
      </c>
      <c r="GI41" s="114">
        <v>10175.130791751651</v>
      </c>
      <c r="GJ41" s="114">
        <v>8864.7575854176703</v>
      </c>
      <c r="GK41" s="114">
        <v>6498.5742200562172</v>
      </c>
      <c r="GL41" s="114">
        <v>9366.7383618106505</v>
      </c>
      <c r="GM41" s="114">
        <v>9543.5132080629519</v>
      </c>
      <c r="GN41" s="114">
        <v>3085.4104731831062</v>
      </c>
      <c r="GO41" s="114">
        <v>2423.5196345591812</v>
      </c>
      <c r="GP41" s="114">
        <v>2781.1756316582519</v>
      </c>
      <c r="GQ41" s="114">
        <v>9731.7941728951082</v>
      </c>
      <c r="GR41" s="114">
        <v>13908.872570793172</v>
      </c>
      <c r="GS41" s="114">
        <v>4888.9929840478708</v>
      </c>
      <c r="GT41" s="115">
        <v>3540.7686639470739</v>
      </c>
    </row>
    <row r="42" spans="2:202" x14ac:dyDescent="0.6">
      <c r="B42" s="106" t="s">
        <v>36</v>
      </c>
      <c r="C42" s="63" t="s">
        <v>440</v>
      </c>
      <c r="D42" s="113">
        <v>6010.6522527256384</v>
      </c>
      <c r="E42" s="114">
        <v>2939.4839639623679</v>
      </c>
      <c r="F42" s="114">
        <v>3596.1452841337777</v>
      </c>
      <c r="G42" s="114">
        <v>2296.139219963813</v>
      </c>
      <c r="H42" s="114">
        <v>8193.112077872911</v>
      </c>
      <c r="I42" s="114">
        <v>9463.4358081835144</v>
      </c>
      <c r="J42" s="114">
        <v>4260.9470283155188</v>
      </c>
      <c r="K42" s="114">
        <v>14991.035499339019</v>
      </c>
      <c r="L42" s="114">
        <v>4008.1018640342568</v>
      </c>
      <c r="M42" s="114">
        <v>4635.9763567447162</v>
      </c>
      <c r="N42" s="114">
        <v>9618.1290750441131</v>
      </c>
      <c r="O42" s="114">
        <v>4044.1929788597254</v>
      </c>
      <c r="P42" s="114">
        <v>8030.2262054589783</v>
      </c>
      <c r="Q42" s="114">
        <v>7988.438889127282</v>
      </c>
      <c r="R42" s="114">
        <v>4741.2489360981053</v>
      </c>
      <c r="S42" s="114">
        <v>4374.2994974000494</v>
      </c>
      <c r="T42" s="114">
        <v>10944.108540347705</v>
      </c>
      <c r="U42" s="114">
        <v>1486.265890510241</v>
      </c>
      <c r="V42" s="114">
        <v>7911.5641532563104</v>
      </c>
      <c r="W42" s="114">
        <v>9618.7392686252952</v>
      </c>
      <c r="X42" s="114">
        <v>3511.4740481484778</v>
      </c>
      <c r="Y42" s="114">
        <v>4235.4107481578103</v>
      </c>
      <c r="Z42" s="114">
        <v>7745.6432245798833</v>
      </c>
      <c r="AA42" s="114">
        <v>7393.754839788965</v>
      </c>
      <c r="AB42" s="114">
        <v>11028.770584248545</v>
      </c>
      <c r="AC42" s="114">
        <v>3475.918919721129</v>
      </c>
      <c r="AD42" s="114">
        <v>1727.2339369348917</v>
      </c>
      <c r="AE42" s="114">
        <v>2340.8025766253177</v>
      </c>
      <c r="AF42" s="114">
        <v>4108.0895850836268</v>
      </c>
      <c r="AG42" s="114">
        <v>9735.4984301779914</v>
      </c>
      <c r="AH42" s="114">
        <v>1044.217947350925</v>
      </c>
      <c r="AI42" s="114">
        <v>1020.5959074510655</v>
      </c>
      <c r="AJ42" s="114">
        <v>9397.2217367228495</v>
      </c>
      <c r="AK42" s="114">
        <v>9056.0085150804734</v>
      </c>
      <c r="AL42" s="114">
        <v>967.88203314312125</v>
      </c>
      <c r="AM42" s="114" t="s">
        <v>237</v>
      </c>
      <c r="AN42" s="114">
        <v>10284.66526184756</v>
      </c>
      <c r="AO42" s="114">
        <v>10863.650463903559</v>
      </c>
      <c r="AP42" s="114">
        <v>10123.848576614606</v>
      </c>
      <c r="AQ42" s="114">
        <v>9753.5672821803819</v>
      </c>
      <c r="AR42" s="114">
        <v>4096.0514195096966</v>
      </c>
      <c r="AS42" s="114">
        <v>1828.414365543485</v>
      </c>
      <c r="AT42" s="114">
        <v>1801.1990422604135</v>
      </c>
      <c r="AU42" s="114">
        <v>10707.055189429215</v>
      </c>
      <c r="AV42" s="114">
        <v>2178.0107829399603</v>
      </c>
      <c r="AW42" s="114">
        <v>3715.0943899039139</v>
      </c>
      <c r="AX42" s="114">
        <v>10163.577022424543</v>
      </c>
      <c r="AY42" s="114">
        <v>3173.9086766681676</v>
      </c>
      <c r="AZ42" s="114">
        <v>4219.9830880910586</v>
      </c>
      <c r="BA42" s="114">
        <v>4819.8257432435885</v>
      </c>
      <c r="BB42" s="114">
        <v>3008.3863935578552</v>
      </c>
      <c r="BC42" s="114">
        <v>8159.9873236798239</v>
      </c>
      <c r="BD42" s="114">
        <v>8984.0745979723779</v>
      </c>
      <c r="BE42" s="114">
        <v>1813.5342813892698</v>
      </c>
      <c r="BF42" s="114">
        <v>10330.686993266025</v>
      </c>
      <c r="BG42" s="114">
        <v>2622.6000018342133</v>
      </c>
      <c r="BH42" s="114">
        <v>11138.153472071257</v>
      </c>
      <c r="BI42" s="114">
        <v>1172.3454199846722</v>
      </c>
      <c r="BJ42" s="114">
        <v>2610.3092904882137</v>
      </c>
      <c r="BK42" s="114">
        <v>5303.8540321709906</v>
      </c>
      <c r="BL42" s="114">
        <v>4614.2752958703304</v>
      </c>
      <c r="BM42" s="114">
        <v>2626.334253839485</v>
      </c>
      <c r="BN42" s="114">
        <v>5411.601493743532</v>
      </c>
      <c r="BO42" s="114">
        <v>4206.8148560440541</v>
      </c>
      <c r="BP42" s="114">
        <v>1442.9603942561723</v>
      </c>
      <c r="BQ42" s="114">
        <v>3362.2152209016708</v>
      </c>
      <c r="BR42" s="114">
        <v>4366.6408038467825</v>
      </c>
      <c r="BS42" s="114">
        <v>4471.649843049272</v>
      </c>
      <c r="BT42" s="114">
        <v>4016.646917405224</v>
      </c>
      <c r="BU42" s="114">
        <v>4260.9576047484779</v>
      </c>
      <c r="BV42" s="114">
        <v>1775.5010569260223</v>
      </c>
      <c r="BW42" s="114">
        <v>2967.5297752900974</v>
      </c>
      <c r="BX42" s="114">
        <v>8268.2175249103766</v>
      </c>
      <c r="BY42" s="114">
        <v>11225.134827184387</v>
      </c>
      <c r="BZ42" s="114">
        <v>3082.5671773081208</v>
      </c>
      <c r="CA42" s="114">
        <v>3269.1816133042717</v>
      </c>
      <c r="CB42" s="114">
        <v>7982.912119412249</v>
      </c>
      <c r="CC42" s="114">
        <v>9253.2495231363209</v>
      </c>
      <c r="CD42" s="114">
        <v>10914.957505488026</v>
      </c>
      <c r="CE42" s="114">
        <v>3935.0972520184032</v>
      </c>
      <c r="CF42" s="114">
        <v>6423.1926815418565</v>
      </c>
      <c r="CG42" s="114">
        <v>6265.2809624768906</v>
      </c>
      <c r="CH42" s="114">
        <v>6698.6232896506699</v>
      </c>
      <c r="CI42" s="114">
        <v>10345.031239005799</v>
      </c>
      <c r="CJ42" s="114">
        <v>4505.6411944639731</v>
      </c>
      <c r="CK42" s="114">
        <v>3821.8680675936243</v>
      </c>
      <c r="CL42" s="114">
        <v>4927.6802127155188</v>
      </c>
      <c r="CM42" s="114">
        <v>5513.7399168842348</v>
      </c>
      <c r="CN42" s="114">
        <v>3281.2128716637098</v>
      </c>
      <c r="CO42" s="114">
        <v>3745.0402736325564</v>
      </c>
      <c r="CP42" s="114">
        <v>9707.4491316782605</v>
      </c>
      <c r="CQ42" s="114">
        <v>12185.225428502195</v>
      </c>
      <c r="CR42" s="114">
        <v>3046.2896118310373</v>
      </c>
      <c r="CS42" s="114">
        <v>6670.5839785883854</v>
      </c>
      <c r="CT42" s="114">
        <v>2832.0391865909351</v>
      </c>
      <c r="CU42" s="114">
        <v>3944.6043192177754</v>
      </c>
      <c r="CV42" s="114">
        <v>6646.9729492301285</v>
      </c>
      <c r="CW42" s="114">
        <v>9365.8065212506099</v>
      </c>
      <c r="CX42" s="114">
        <v>5007.1988405545462</v>
      </c>
      <c r="CY42" s="114">
        <v>3178.0052332840323</v>
      </c>
      <c r="CZ42" s="114">
        <v>4788.6455721749408</v>
      </c>
      <c r="DA42" s="114">
        <v>2826.9850356569195</v>
      </c>
      <c r="DB42" s="114">
        <v>2272.5653330262758</v>
      </c>
      <c r="DC42" s="114">
        <v>3920.8861982426447</v>
      </c>
      <c r="DD42" s="114">
        <v>4792.6324936539331</v>
      </c>
      <c r="DE42" s="114">
        <v>4217.2641486109433</v>
      </c>
      <c r="DF42" s="114">
        <v>4948.5812449798113</v>
      </c>
      <c r="DG42" s="114">
        <v>3571.6540819421775</v>
      </c>
      <c r="DH42" s="114">
        <v>9589.1060997881814</v>
      </c>
      <c r="DI42" s="114">
        <v>6512.3067985656971</v>
      </c>
      <c r="DJ42" s="114">
        <v>2405.5408229785862</v>
      </c>
      <c r="DK42" s="114">
        <v>2606.561238812264</v>
      </c>
      <c r="DL42" s="114">
        <v>5886.4684784130486</v>
      </c>
      <c r="DM42" s="114">
        <v>5907.5601091926937</v>
      </c>
      <c r="DN42" s="114">
        <v>11962.587094528752</v>
      </c>
      <c r="DO42" s="114">
        <v>4105.4277251062331</v>
      </c>
      <c r="DP42" s="114">
        <v>3584.4780389217353</v>
      </c>
      <c r="DQ42" s="114">
        <v>9183.6435318053227</v>
      </c>
      <c r="DR42" s="114">
        <v>3403.9030517676101</v>
      </c>
      <c r="DS42" s="114">
        <v>3263.2936243570189</v>
      </c>
      <c r="DT42" s="114">
        <v>4608.9062784191592</v>
      </c>
      <c r="DU42" s="114">
        <v>8749.4670593508345</v>
      </c>
      <c r="DV42" s="114">
        <v>3839.9653253882366</v>
      </c>
      <c r="DW42" s="114">
        <v>7491.7349017740289</v>
      </c>
      <c r="DX42" s="114">
        <v>4552.3353864936707</v>
      </c>
      <c r="DY42" s="114">
        <v>16624.115643396079</v>
      </c>
      <c r="DZ42" s="114">
        <v>16229.976544079989</v>
      </c>
      <c r="EA42" s="114">
        <v>10871.6371802494</v>
      </c>
      <c r="EB42" s="114">
        <v>1365.3195918059341</v>
      </c>
      <c r="EC42" s="114">
        <v>863.88976976919707</v>
      </c>
      <c r="ED42" s="114">
        <v>10878.027373689669</v>
      </c>
      <c r="EE42" s="114">
        <v>3388.1400007167458</v>
      </c>
      <c r="EF42" s="114">
        <v>5287.3725052996788</v>
      </c>
      <c r="EG42" s="114">
        <v>4781.8543505461739</v>
      </c>
      <c r="EH42" s="114">
        <v>5679.6692403216575</v>
      </c>
      <c r="EI42" s="114">
        <v>6359.7662099188565</v>
      </c>
      <c r="EJ42" s="114">
        <v>10210.71618955363</v>
      </c>
      <c r="EK42" s="114">
        <v>8813.5517990132485</v>
      </c>
      <c r="EL42" s="114">
        <v>10454.644812500061</v>
      </c>
      <c r="EM42" s="114">
        <v>11390.853717129679</v>
      </c>
      <c r="EN42" s="114">
        <v>4488.173638076476</v>
      </c>
      <c r="EO42" s="114">
        <v>3749.301588053544</v>
      </c>
      <c r="EP42" s="114">
        <v>4119.1045431588973</v>
      </c>
      <c r="EQ42" s="114">
        <v>3742.2383948368224</v>
      </c>
      <c r="ER42" s="114">
        <v>5246.5218662638717</v>
      </c>
      <c r="ES42" s="114">
        <v>2286.7981510894483</v>
      </c>
      <c r="ET42" s="114">
        <v>8254.4124038026966</v>
      </c>
      <c r="EU42" s="114">
        <v>8109.0934182484807</v>
      </c>
      <c r="EV42" s="114">
        <v>8180.2516757979665</v>
      </c>
      <c r="EW42" s="114">
        <v>3503.9850626147845</v>
      </c>
      <c r="EX42" s="114">
        <v>1612.2413056345722</v>
      </c>
      <c r="EY42" s="114">
        <v>3617.17148115498</v>
      </c>
      <c r="EZ42" s="114">
        <v>3457.2793955614634</v>
      </c>
      <c r="FA42" s="114">
        <v>3644.6563854481883</v>
      </c>
      <c r="FB42" s="114">
        <v>3065.6781435767812</v>
      </c>
      <c r="FC42" s="114">
        <v>9892.3107895281537</v>
      </c>
      <c r="FD42" s="114">
        <v>4009.6417937183301</v>
      </c>
      <c r="FE42" s="114">
        <v>3774.0355523483986</v>
      </c>
      <c r="FF42" s="114">
        <v>3559.2548706748839</v>
      </c>
      <c r="FG42" s="114">
        <v>4424.1648189827247</v>
      </c>
      <c r="FH42" s="114">
        <v>11051.587577248512</v>
      </c>
      <c r="FI42" s="114">
        <v>2033.8201898475108</v>
      </c>
      <c r="FJ42" s="114">
        <v>3594.3714323979434</v>
      </c>
      <c r="FK42" s="114">
        <v>3473.3008810693523</v>
      </c>
      <c r="FL42" s="114">
        <v>7166.3231549943757</v>
      </c>
      <c r="FM42" s="114">
        <v>1950.7962963636737</v>
      </c>
      <c r="FN42" s="114">
        <v>7675.5305374616282</v>
      </c>
      <c r="FO42" s="114">
        <v>5245.1223154931095</v>
      </c>
      <c r="FP42" s="114">
        <v>3893.9637539896062</v>
      </c>
      <c r="FQ42" s="114">
        <v>3219.8236370564687</v>
      </c>
      <c r="FR42" s="114">
        <v>11095.642790234848</v>
      </c>
      <c r="FS42" s="114">
        <v>6049.6613322352541</v>
      </c>
      <c r="FT42" s="114">
        <v>3446.5408475833178</v>
      </c>
      <c r="FU42" s="114">
        <v>9241.8613518113871</v>
      </c>
      <c r="FV42" s="114">
        <v>12438.620951880979</v>
      </c>
      <c r="FW42" s="114">
        <v>1614.2021064007149</v>
      </c>
      <c r="FX42" s="114">
        <v>8267.5428035268542</v>
      </c>
      <c r="FY42" s="114">
        <v>2749.9584720921493</v>
      </c>
      <c r="FZ42" s="114">
        <v>3527.8531824449169</v>
      </c>
      <c r="GA42" s="114">
        <v>5126.1947621172412</v>
      </c>
      <c r="GB42" s="114">
        <v>2360.0307629131003</v>
      </c>
      <c r="GC42" s="114">
        <v>4481.9809741567742</v>
      </c>
      <c r="GD42" s="114">
        <v>4381.9030663604517</v>
      </c>
      <c r="GE42" s="114">
        <v>4561.4212051706954</v>
      </c>
      <c r="GF42" s="114">
        <v>12863.445370821508</v>
      </c>
      <c r="GG42" s="114">
        <v>9016.7694203681476</v>
      </c>
      <c r="GH42" s="114">
        <v>8750.3415692709568</v>
      </c>
      <c r="GI42" s="114">
        <v>9303.5459835612546</v>
      </c>
      <c r="GJ42" s="114">
        <v>9063.7046871298917</v>
      </c>
      <c r="GK42" s="114">
        <v>6180.7051358937133</v>
      </c>
      <c r="GL42" s="114">
        <v>8817.8514559589676</v>
      </c>
      <c r="GM42" s="114">
        <v>9619.9563062958605</v>
      </c>
      <c r="GN42" s="114">
        <v>3215.409552393543</v>
      </c>
      <c r="GO42" s="114">
        <v>3391.2453813904999</v>
      </c>
      <c r="GP42" s="114">
        <v>3746.6934360125529</v>
      </c>
      <c r="GQ42" s="114">
        <v>9974.4726459641024</v>
      </c>
      <c r="GR42" s="114">
        <v>14782.482920304792</v>
      </c>
      <c r="GS42" s="114">
        <v>3963.1014623603164</v>
      </c>
      <c r="GT42" s="115">
        <v>4500.1598859246196</v>
      </c>
    </row>
    <row r="43" spans="2:202" x14ac:dyDescent="0.6">
      <c r="B43" s="106" t="s">
        <v>37</v>
      </c>
      <c r="C43" s="63" t="s">
        <v>327</v>
      </c>
      <c r="D43" s="113">
        <v>16295.194129142754</v>
      </c>
      <c r="E43" s="114">
        <v>10864.220043511879</v>
      </c>
      <c r="F43" s="114">
        <v>11128.086551121556</v>
      </c>
      <c r="G43" s="114">
        <v>8893.6726451330396</v>
      </c>
      <c r="H43" s="114">
        <v>5673.0942064191859</v>
      </c>
      <c r="I43" s="114">
        <v>1008.383512377777</v>
      </c>
      <c r="J43" s="114">
        <v>14272.27261330136</v>
      </c>
      <c r="K43" s="114">
        <v>11391.059017516867</v>
      </c>
      <c r="L43" s="114">
        <v>12457.918023091795</v>
      </c>
      <c r="M43" s="114">
        <v>14711.544806328659</v>
      </c>
      <c r="N43" s="114">
        <v>6521.3925225423209</v>
      </c>
      <c r="O43" s="114">
        <v>14305.682415228443</v>
      </c>
      <c r="P43" s="114">
        <v>17835.955653934692</v>
      </c>
      <c r="Q43" s="114">
        <v>5280.2380413250075</v>
      </c>
      <c r="R43" s="114">
        <v>13397.76057430758</v>
      </c>
      <c r="S43" s="114">
        <v>11827.990630754757</v>
      </c>
      <c r="T43" s="114">
        <v>5919.927261794568</v>
      </c>
      <c r="U43" s="114">
        <v>8814.9341670292215</v>
      </c>
      <c r="V43" s="114">
        <v>17974.905202508995</v>
      </c>
      <c r="W43" s="114">
        <v>1908.7786098581162</v>
      </c>
      <c r="X43" s="114">
        <v>12376.161510634225</v>
      </c>
      <c r="Y43" s="114">
        <v>9063.1656085130817</v>
      </c>
      <c r="Z43" s="114">
        <v>2553.2396140297428</v>
      </c>
      <c r="AA43" s="114">
        <v>2896.5237026835498</v>
      </c>
      <c r="AB43" s="114">
        <v>16772.847737962682</v>
      </c>
      <c r="AC43" s="114">
        <v>12690.0638721306</v>
      </c>
      <c r="AD43" s="114">
        <v>8878.3299460630296</v>
      </c>
      <c r="AE43" s="114">
        <v>10701.86848932495</v>
      </c>
      <c r="AF43" s="114">
        <v>7328.3180399586518</v>
      </c>
      <c r="AG43" s="114">
        <v>17523.960260465126</v>
      </c>
      <c r="AH43" s="114">
        <v>9339.3984848728942</v>
      </c>
      <c r="AI43" s="114">
        <v>9456.8674988973144</v>
      </c>
      <c r="AJ43" s="114">
        <v>8603.9691440691622</v>
      </c>
      <c r="AK43" s="114">
        <v>8744.5889540321241</v>
      </c>
      <c r="AL43" s="114">
        <v>10149.218576123298</v>
      </c>
      <c r="AM43" s="114">
        <v>10284.66526184756</v>
      </c>
      <c r="AN43" s="114" t="s">
        <v>237</v>
      </c>
      <c r="AO43" s="114">
        <v>18878.052546378873</v>
      </c>
      <c r="AP43" s="114">
        <v>19098.458996598154</v>
      </c>
      <c r="AQ43" s="114">
        <v>4195.8669045435936</v>
      </c>
      <c r="AR43" s="114">
        <v>11416.600310224869</v>
      </c>
      <c r="AS43" s="114">
        <v>9345.6991425107044</v>
      </c>
      <c r="AT43" s="114">
        <v>9342.0934351507476</v>
      </c>
      <c r="AU43" s="114">
        <v>4971.7272022359211</v>
      </c>
      <c r="AV43" s="114">
        <v>8181.9021756999236</v>
      </c>
      <c r="AW43" s="114">
        <v>12284.737742766887</v>
      </c>
      <c r="AX43" s="114">
        <v>6386.6109764037274</v>
      </c>
      <c r="AY43" s="114">
        <v>13173.072408312981</v>
      </c>
      <c r="AZ43" s="114">
        <v>12421.233591777989</v>
      </c>
      <c r="BA43" s="114">
        <v>12568.625393761331</v>
      </c>
      <c r="BB43" s="114">
        <v>12774.422872995765</v>
      </c>
      <c r="BC43" s="114">
        <v>5473.3932748521293</v>
      </c>
      <c r="BD43" s="114">
        <v>5731.6321107231879</v>
      </c>
      <c r="BE43" s="114">
        <v>9338.2169559166705</v>
      </c>
      <c r="BF43" s="114">
        <v>3772.2096431404289</v>
      </c>
      <c r="BG43" s="114">
        <v>12762.321756810679</v>
      </c>
      <c r="BH43" s="114">
        <v>5552.7392853108777</v>
      </c>
      <c r="BI43" s="114">
        <v>9191.4568879889866</v>
      </c>
      <c r="BJ43" s="114">
        <v>12669.31194497992</v>
      </c>
      <c r="BK43" s="114">
        <v>13397.559855328378</v>
      </c>
      <c r="BL43" s="114">
        <v>9416.03490620101</v>
      </c>
      <c r="BM43" s="114">
        <v>12302.061914198741</v>
      </c>
      <c r="BN43" s="114">
        <v>13452.957933879465</v>
      </c>
      <c r="BO43" s="114">
        <v>11583.233724196305</v>
      </c>
      <c r="BP43" s="114">
        <v>9062.9095391018691</v>
      </c>
      <c r="BQ43" s="114">
        <v>7712.0936027068756</v>
      </c>
      <c r="BR43" s="114">
        <v>14323.009323460774</v>
      </c>
      <c r="BS43" s="114">
        <v>12471.232604850913</v>
      </c>
      <c r="BT43" s="114">
        <v>12152.556647052041</v>
      </c>
      <c r="BU43" s="114">
        <v>12076.014309968843</v>
      </c>
      <c r="BV43" s="114">
        <v>8535.1572039782859</v>
      </c>
      <c r="BW43" s="114">
        <v>12483.491803178169</v>
      </c>
      <c r="BX43" s="114">
        <v>5119.6218804120963</v>
      </c>
      <c r="BY43" s="114">
        <v>5699.7645736935719</v>
      </c>
      <c r="BZ43" s="114">
        <v>7646.6199099362238</v>
      </c>
      <c r="CA43" s="114">
        <v>7647.9657696881641</v>
      </c>
      <c r="CB43" s="114">
        <v>4605.1185938141862</v>
      </c>
      <c r="CC43" s="114">
        <v>5745.2871575562476</v>
      </c>
      <c r="CD43" s="114">
        <v>5550.4576597723117</v>
      </c>
      <c r="CE43" s="114">
        <v>12610.774885569444</v>
      </c>
      <c r="CF43" s="114">
        <v>11634.437296583099</v>
      </c>
      <c r="CG43" s="114">
        <v>16052.733444837868</v>
      </c>
      <c r="CH43" s="114">
        <v>16879.934701698076</v>
      </c>
      <c r="CI43" s="114">
        <v>15628.77118316801</v>
      </c>
      <c r="CJ43" s="114">
        <v>14736.091425353072</v>
      </c>
      <c r="CK43" s="114">
        <v>14048.491559580245</v>
      </c>
      <c r="CL43" s="114">
        <v>11429.635109455454</v>
      </c>
      <c r="CM43" s="114">
        <v>8115.8014475335403</v>
      </c>
      <c r="CN43" s="114">
        <v>11841.132985788101</v>
      </c>
      <c r="CO43" s="114">
        <v>11847.027726955506</v>
      </c>
      <c r="CP43" s="114">
        <v>5734.3412337397576</v>
      </c>
      <c r="CQ43" s="114">
        <v>17247.583440867893</v>
      </c>
      <c r="CR43" s="114">
        <v>13214.941149315497</v>
      </c>
      <c r="CS43" s="114">
        <v>16346.8135312717</v>
      </c>
      <c r="CT43" s="114">
        <v>11496.688022976885</v>
      </c>
      <c r="CU43" s="114">
        <v>14228.94423376628</v>
      </c>
      <c r="CV43" s="114">
        <v>16789.423944722759</v>
      </c>
      <c r="CW43" s="114">
        <v>18127.235884776845</v>
      </c>
      <c r="CX43" s="114">
        <v>13294.068145332969</v>
      </c>
      <c r="CY43" s="114">
        <v>13281.497706476774</v>
      </c>
      <c r="CZ43" s="114">
        <v>8923.0016847256393</v>
      </c>
      <c r="DA43" s="114">
        <v>7677.4796904241248</v>
      </c>
      <c r="DB43" s="114">
        <v>11382.930624955739</v>
      </c>
      <c r="DC43" s="114">
        <v>11946.542948494243</v>
      </c>
      <c r="DD43" s="114">
        <v>13292.284803796518</v>
      </c>
      <c r="DE43" s="114">
        <v>11873.891304653542</v>
      </c>
      <c r="DF43" s="114">
        <v>11253.521312582945</v>
      </c>
      <c r="DG43" s="114">
        <v>10403.24763101944</v>
      </c>
      <c r="DH43" s="114">
        <v>16555.787702684454</v>
      </c>
      <c r="DI43" s="114">
        <v>15041.836311033941</v>
      </c>
      <c r="DJ43" s="114">
        <v>8360.212166958876</v>
      </c>
      <c r="DK43" s="114">
        <v>11656.0611365193</v>
      </c>
      <c r="DL43" s="114">
        <v>11894.998074072044</v>
      </c>
      <c r="DM43" s="114">
        <v>11904.375318364657</v>
      </c>
      <c r="DN43" s="114">
        <v>6578.9429834878783</v>
      </c>
      <c r="DO43" s="114">
        <v>13290.292733003944</v>
      </c>
      <c r="DP43" s="114">
        <v>11627.393452435988</v>
      </c>
      <c r="DQ43" s="114">
        <v>18367.25558178643</v>
      </c>
      <c r="DR43" s="114">
        <v>12396.737850929101</v>
      </c>
      <c r="DS43" s="114">
        <v>9994.8298829171181</v>
      </c>
      <c r="DT43" s="114">
        <v>9557.6020735195816</v>
      </c>
      <c r="DU43" s="114">
        <v>17714.941440670984</v>
      </c>
      <c r="DV43" s="114">
        <v>8443.7906828096748</v>
      </c>
      <c r="DW43" s="114">
        <v>17593.104521555677</v>
      </c>
      <c r="DX43" s="114">
        <v>11950.020569893593</v>
      </c>
      <c r="DY43" s="114">
        <v>9702.6429990069755</v>
      </c>
      <c r="DZ43" s="114">
        <v>9414.1806203647993</v>
      </c>
      <c r="EA43" s="114">
        <v>5308.4805230906713</v>
      </c>
      <c r="EB43" s="114">
        <v>9244.3233344818545</v>
      </c>
      <c r="EC43" s="114">
        <v>9436.8725439064201</v>
      </c>
      <c r="ED43" s="114">
        <v>18465.676606209414</v>
      </c>
      <c r="EE43" s="114">
        <v>12524.416828613788</v>
      </c>
      <c r="EF43" s="114">
        <v>12665.084785958044</v>
      </c>
      <c r="EG43" s="114">
        <v>14930.673094262387</v>
      </c>
      <c r="EH43" s="114">
        <v>15810.061293632412</v>
      </c>
      <c r="EI43" s="114">
        <v>16641.378845283067</v>
      </c>
      <c r="EJ43" s="114">
        <v>4789.3466814114154</v>
      </c>
      <c r="EK43" s="114">
        <v>1558.8689198949573</v>
      </c>
      <c r="EL43" s="114">
        <v>2455.3629831487142</v>
      </c>
      <c r="EM43" s="114">
        <v>17624.813981166521</v>
      </c>
      <c r="EN43" s="114">
        <v>12947.497251583889</v>
      </c>
      <c r="EO43" s="114">
        <v>10172.869322286286</v>
      </c>
      <c r="EP43" s="114">
        <v>14360.792558303072</v>
      </c>
      <c r="EQ43" s="114">
        <v>12984.346041459834</v>
      </c>
      <c r="ER43" s="114">
        <v>14096.927098486305</v>
      </c>
      <c r="ES43" s="114">
        <v>10878.553447111617</v>
      </c>
      <c r="ET43" s="114">
        <v>5668.8883965206751</v>
      </c>
      <c r="EU43" s="114">
        <v>5357.4514894850399</v>
      </c>
      <c r="EV43" s="114">
        <v>5246.4146934988203</v>
      </c>
      <c r="EW43" s="114">
        <v>11953.025498470533</v>
      </c>
      <c r="EX43" s="114">
        <v>8788.5224997839923</v>
      </c>
      <c r="EY43" s="114">
        <v>13872.858854832904</v>
      </c>
      <c r="EZ43" s="114">
        <v>7724.9791823669357</v>
      </c>
      <c r="FA43" s="114">
        <v>12575.323298495765</v>
      </c>
      <c r="FB43" s="114">
        <v>7600.853598253635</v>
      </c>
      <c r="FC43" s="114">
        <v>16418.368224977476</v>
      </c>
      <c r="FD43" s="114">
        <v>12513.929809024627</v>
      </c>
      <c r="FE43" s="114">
        <v>12226.181295912595</v>
      </c>
      <c r="FF43" s="114">
        <v>12498.81068519642</v>
      </c>
      <c r="FG43" s="114">
        <v>9218.2831220827156</v>
      </c>
      <c r="FH43" s="114">
        <v>18418.137355982766</v>
      </c>
      <c r="FI43" s="114">
        <v>11416.641995119695</v>
      </c>
      <c r="FJ43" s="114">
        <v>10672.824766317022</v>
      </c>
      <c r="FK43" s="114">
        <v>11124.721439174022</v>
      </c>
      <c r="FL43" s="114">
        <v>15779.600070599656</v>
      </c>
      <c r="FM43" s="114">
        <v>12101.403252386888</v>
      </c>
      <c r="FN43" s="114">
        <v>4599.8504334724585</v>
      </c>
      <c r="FO43" s="114">
        <v>13046.41527840987</v>
      </c>
      <c r="FP43" s="114">
        <v>11785.004040580947</v>
      </c>
      <c r="FQ43" s="114">
        <v>13346.504359903744</v>
      </c>
      <c r="FR43" s="114">
        <v>18539.378209147017</v>
      </c>
      <c r="FS43" s="114">
        <v>16293.900086445788</v>
      </c>
      <c r="FT43" s="114">
        <v>11386.803846433739</v>
      </c>
      <c r="FU43" s="114">
        <v>17621.445698675252</v>
      </c>
      <c r="FV43" s="114">
        <v>15107.770640185479</v>
      </c>
      <c r="FW43" s="114">
        <v>8696.3288609435076</v>
      </c>
      <c r="FX43" s="114">
        <v>4971.1283073339609</v>
      </c>
      <c r="FY43" s="114">
        <v>11389.388852659666</v>
      </c>
      <c r="FZ43" s="114">
        <v>13296.072073628027</v>
      </c>
      <c r="GA43" s="114">
        <v>15337.193888766467</v>
      </c>
      <c r="GB43" s="114">
        <v>11198.113835238182</v>
      </c>
      <c r="GC43" s="114">
        <v>13497.156958183394</v>
      </c>
      <c r="GD43" s="114">
        <v>14587.507920553326</v>
      </c>
      <c r="GE43" s="114">
        <v>11634.008934575169</v>
      </c>
      <c r="GF43" s="114">
        <v>8995.6982359902122</v>
      </c>
      <c r="GG43" s="114">
        <v>8231.495482965207</v>
      </c>
      <c r="GH43" s="114">
        <v>8406.6163754595273</v>
      </c>
      <c r="GI43" s="114">
        <v>8051.4265747789241</v>
      </c>
      <c r="GJ43" s="114">
        <v>1325.628702376629</v>
      </c>
      <c r="GK43" s="114">
        <v>16356.388085068156</v>
      </c>
      <c r="GL43" s="114">
        <v>4858.5782725897834</v>
      </c>
      <c r="GM43" s="114">
        <v>18600.611414297553</v>
      </c>
      <c r="GN43" s="114">
        <v>13203.640203584948</v>
      </c>
      <c r="GO43" s="114">
        <v>9852.2904614150484</v>
      </c>
      <c r="GP43" s="114">
        <v>9968.0878507106772</v>
      </c>
      <c r="GQ43" s="114">
        <v>17504.047106585087</v>
      </c>
      <c r="GR43" s="114">
        <v>11363.03430525461</v>
      </c>
      <c r="GS43" s="114">
        <v>11913.412592784915</v>
      </c>
      <c r="GT43" s="115">
        <v>9164.4852317308741</v>
      </c>
    </row>
    <row r="44" spans="2:202" x14ac:dyDescent="0.6">
      <c r="B44" s="106" t="s">
        <v>38</v>
      </c>
      <c r="C44" s="63" t="s">
        <v>330</v>
      </c>
      <c r="D44" s="113">
        <v>4853.3313694215467</v>
      </c>
      <c r="E44" s="114">
        <v>10130.613991510198</v>
      </c>
      <c r="F44" s="114">
        <v>9807.4279860894621</v>
      </c>
      <c r="G44" s="114">
        <v>12233.312057722673</v>
      </c>
      <c r="H44" s="114">
        <v>14628.168765526063</v>
      </c>
      <c r="I44" s="114">
        <v>19434.599649837884</v>
      </c>
      <c r="J44" s="114">
        <v>6822.3283781192767</v>
      </c>
      <c r="K44" s="114">
        <v>7872.4979576846727</v>
      </c>
      <c r="L44" s="114">
        <v>8490.3666684386062</v>
      </c>
      <c r="M44" s="114">
        <v>6389.3600633790766</v>
      </c>
      <c r="N44" s="114">
        <v>13450.848905443974</v>
      </c>
      <c r="O44" s="114">
        <v>6846.410891746279</v>
      </c>
      <c r="P44" s="114">
        <v>3189.3595921095239</v>
      </c>
      <c r="Q44" s="114">
        <v>15091.5996824379</v>
      </c>
      <c r="R44" s="114">
        <v>7524.6592719003565</v>
      </c>
      <c r="S44" s="114">
        <v>9041.561132196457</v>
      </c>
      <c r="T44" s="114">
        <v>13764.897798702477</v>
      </c>
      <c r="U44" s="114">
        <v>12329.110613202853</v>
      </c>
      <c r="V44" s="114">
        <v>3124.214246457092</v>
      </c>
      <c r="W44" s="114">
        <v>18084.262318238743</v>
      </c>
      <c r="X44" s="114">
        <v>8624.6375888431066</v>
      </c>
      <c r="Y44" s="114">
        <v>11911.415394661339</v>
      </c>
      <c r="Z44" s="114">
        <v>18564.994328768582</v>
      </c>
      <c r="AA44" s="114">
        <v>18237.250605095393</v>
      </c>
      <c r="AB44" s="114">
        <v>3044.9296369136678</v>
      </c>
      <c r="AC44" s="114">
        <v>8336.8991667552309</v>
      </c>
      <c r="AD44" s="114">
        <v>12239.841954130088</v>
      </c>
      <c r="AE44" s="114">
        <v>10406.077342913944</v>
      </c>
      <c r="AF44" s="114">
        <v>13646.101028191848</v>
      </c>
      <c r="AG44" s="114">
        <v>2816.2991109746577</v>
      </c>
      <c r="AH44" s="114">
        <v>11812.638483599132</v>
      </c>
      <c r="AI44" s="114">
        <v>11695.16853259679</v>
      </c>
      <c r="AJ44" s="114">
        <v>11418.25487102957</v>
      </c>
      <c r="AK44" s="114">
        <v>11340.224237650835</v>
      </c>
      <c r="AL44" s="114">
        <v>11000.195364835254</v>
      </c>
      <c r="AM44" s="114">
        <v>10863.650463903559</v>
      </c>
      <c r="AN44" s="114">
        <v>18878.052546378873</v>
      </c>
      <c r="AO44" s="114" t="s">
        <v>237</v>
      </c>
      <c r="AP44" s="114">
        <v>1040.9978072927727</v>
      </c>
      <c r="AQ44" s="114">
        <v>15734.415111092147</v>
      </c>
      <c r="AR44" s="114">
        <v>9576.7442214957337</v>
      </c>
      <c r="AS44" s="114">
        <v>11790.543961799143</v>
      </c>
      <c r="AT44" s="114">
        <v>11795.157889177519</v>
      </c>
      <c r="AU44" s="114">
        <v>14730.841793251222</v>
      </c>
      <c r="AV44" s="114">
        <v>12952.34297354105</v>
      </c>
      <c r="AW44" s="114">
        <v>8687.4157415893405</v>
      </c>
      <c r="AX44" s="114">
        <v>13471.296897294018</v>
      </c>
      <c r="AY44" s="114">
        <v>7932.7506721855825</v>
      </c>
      <c r="AZ44" s="114">
        <v>8498.5343851140806</v>
      </c>
      <c r="BA44" s="114">
        <v>8280.7876728320425</v>
      </c>
      <c r="BB44" s="114">
        <v>8357.9573428201293</v>
      </c>
      <c r="BC44" s="114">
        <v>14845.155841251879</v>
      </c>
      <c r="BD44" s="114">
        <v>14383.49917158551</v>
      </c>
      <c r="BE44" s="114">
        <v>11798.676360055473</v>
      </c>
      <c r="BF44" s="114">
        <v>15978.647795406016</v>
      </c>
      <c r="BG44" s="114">
        <v>8363.8332054680195</v>
      </c>
      <c r="BH44" s="114">
        <v>14077.239868085624</v>
      </c>
      <c r="BI44" s="114">
        <v>11960.529721401144</v>
      </c>
      <c r="BJ44" s="114">
        <v>8478.4399216456841</v>
      </c>
      <c r="BK44" s="114">
        <v>7440.0782229058177</v>
      </c>
      <c r="BL44" s="114">
        <v>11512.476018730893</v>
      </c>
      <c r="BM44" s="114">
        <v>8830.8887449070862</v>
      </c>
      <c r="BN44" s="114">
        <v>7372.3240987157897</v>
      </c>
      <c r="BO44" s="114">
        <v>9297.1124976998581</v>
      </c>
      <c r="BP44" s="114">
        <v>12088.306947727682</v>
      </c>
      <c r="BQ44" s="114">
        <v>13329.157589876693</v>
      </c>
      <c r="BR44" s="114">
        <v>6761.9004702123466</v>
      </c>
      <c r="BS44" s="114">
        <v>8419.2377459061463</v>
      </c>
      <c r="BT44" s="114">
        <v>8776.7056496366586</v>
      </c>
      <c r="BU44" s="114">
        <v>8819.3658441751613</v>
      </c>
      <c r="BV44" s="114">
        <v>12606.902473274098</v>
      </c>
      <c r="BW44" s="114">
        <v>8582.3986347519149</v>
      </c>
      <c r="BX44" s="114">
        <v>15190.592860151432</v>
      </c>
      <c r="BY44" s="114">
        <v>13918.102783975468</v>
      </c>
      <c r="BZ44" s="114">
        <v>13436.043841508013</v>
      </c>
      <c r="CA44" s="114">
        <v>13411.004060271252</v>
      </c>
      <c r="CB44" s="114">
        <v>15820.351799948898</v>
      </c>
      <c r="CC44" s="114">
        <v>14307.841448497598</v>
      </c>
      <c r="CD44" s="114">
        <v>14127.482549133854</v>
      </c>
      <c r="CE44" s="114">
        <v>8356.5606455996804</v>
      </c>
      <c r="CF44" s="114">
        <v>8933.0182363886797</v>
      </c>
      <c r="CG44" s="114">
        <v>5030.5495814809019</v>
      </c>
      <c r="CH44" s="114">
        <v>4260.8322847674435</v>
      </c>
      <c r="CI44" s="114">
        <v>4446.7633046752244</v>
      </c>
      <c r="CJ44" s="114">
        <v>6395.5528950053367</v>
      </c>
      <c r="CK44" s="114">
        <v>7084.4919795736896</v>
      </c>
      <c r="CL44" s="114">
        <v>9352.864985634189</v>
      </c>
      <c r="CM44" s="114">
        <v>12594.613437161097</v>
      </c>
      <c r="CN44" s="114">
        <v>9153.9627135013816</v>
      </c>
      <c r="CO44" s="114">
        <v>9098.428243972352</v>
      </c>
      <c r="CP44" s="114">
        <v>14215.555765833824</v>
      </c>
      <c r="CQ44" s="114">
        <v>1765.8139516371525</v>
      </c>
      <c r="CR44" s="114">
        <v>7912.1975386639797</v>
      </c>
      <c r="CS44" s="114">
        <v>4628.9944057754583</v>
      </c>
      <c r="CT44" s="114">
        <v>9597.8619363623584</v>
      </c>
      <c r="CU44" s="114">
        <v>6919.0628312057061</v>
      </c>
      <c r="CV44" s="114">
        <v>4305.5977455734892</v>
      </c>
      <c r="CW44" s="114">
        <v>2455.5403209771471</v>
      </c>
      <c r="CX44" s="114">
        <v>7580.2848883991164</v>
      </c>
      <c r="CY44" s="114">
        <v>7836.4799206369416</v>
      </c>
      <c r="CZ44" s="114">
        <v>11994.630127093831</v>
      </c>
      <c r="DA44" s="114">
        <v>13434.219686534188</v>
      </c>
      <c r="DB44" s="114">
        <v>9683.1481937398112</v>
      </c>
      <c r="DC44" s="114">
        <v>8983.4658446170015</v>
      </c>
      <c r="DD44" s="114">
        <v>7613.4867924280179</v>
      </c>
      <c r="DE44" s="114">
        <v>9017.2009081743854</v>
      </c>
      <c r="DF44" s="114">
        <v>9647.0716082670097</v>
      </c>
      <c r="DG44" s="114">
        <v>10620.901513372559</v>
      </c>
      <c r="DH44" s="114">
        <v>3768.8508555771427</v>
      </c>
      <c r="DI44" s="114">
        <v>5867.807090244788</v>
      </c>
      <c r="DJ44" s="114">
        <v>12734.323999161608</v>
      </c>
      <c r="DK44" s="114">
        <v>9394.1002679448011</v>
      </c>
      <c r="DL44" s="114">
        <v>8906.7867355913222</v>
      </c>
      <c r="DM44" s="114">
        <v>8894.8748210374088</v>
      </c>
      <c r="DN44" s="114">
        <v>12932.183205917456</v>
      </c>
      <c r="DO44" s="114">
        <v>7710.5848405463375</v>
      </c>
      <c r="DP44" s="114">
        <v>9326.2157662399241</v>
      </c>
      <c r="DQ44" s="114">
        <v>2227.9782995643386</v>
      </c>
      <c r="DR44" s="114">
        <v>8617.2275227014361</v>
      </c>
      <c r="DS44" s="114">
        <v>10962.120971431408</v>
      </c>
      <c r="DT44" s="114">
        <v>11369.869518213951</v>
      </c>
      <c r="DU44" s="114">
        <v>3036.7345780783317</v>
      </c>
      <c r="DV44" s="114">
        <v>12587.994123363276</v>
      </c>
      <c r="DW44" s="114">
        <v>3523.9861737719852</v>
      </c>
      <c r="DX44" s="114">
        <v>8902.2251124980721</v>
      </c>
      <c r="DY44" s="114">
        <v>9383.4584552769047</v>
      </c>
      <c r="DZ44" s="114">
        <v>9711.5460995567537</v>
      </c>
      <c r="EA44" s="114">
        <v>14369.668237274433</v>
      </c>
      <c r="EB44" s="114">
        <v>11879.307119652703</v>
      </c>
      <c r="EC44" s="114">
        <v>11708.468336346679</v>
      </c>
      <c r="ED44" s="114">
        <v>941.76608226248345</v>
      </c>
      <c r="EE44" s="114">
        <v>8500.0593825170272</v>
      </c>
      <c r="EF44" s="114">
        <v>8123.0934974596594</v>
      </c>
      <c r="EG44" s="114">
        <v>6214.5215738469533</v>
      </c>
      <c r="EH44" s="114">
        <v>5329.2760970218633</v>
      </c>
      <c r="EI44" s="114">
        <v>4509.9758758935495</v>
      </c>
      <c r="EJ44" s="114">
        <v>15028.215996252096</v>
      </c>
      <c r="EK44" s="114">
        <v>19323.567629161396</v>
      </c>
      <c r="EL44" s="114">
        <v>17159.452776682549</v>
      </c>
      <c r="EM44" s="114">
        <v>1871.1035410075126</v>
      </c>
      <c r="EN44" s="114">
        <v>7973.2674865913259</v>
      </c>
      <c r="EO44" s="114">
        <v>10732.405242810761</v>
      </c>
      <c r="EP44" s="114">
        <v>6791.1175568671342</v>
      </c>
      <c r="EQ44" s="114">
        <v>8035.2476535350734</v>
      </c>
      <c r="ER44" s="114">
        <v>6816.9399702574483</v>
      </c>
      <c r="ES44" s="114">
        <v>10233.996521609613</v>
      </c>
      <c r="ET44" s="114">
        <v>14618.136957041183</v>
      </c>
      <c r="EU44" s="114">
        <v>14979.698963175513</v>
      </c>
      <c r="EV44" s="114">
        <v>15079.141958409686</v>
      </c>
      <c r="EW44" s="114">
        <v>9024.1816535752932</v>
      </c>
      <c r="EX44" s="114">
        <v>12363.497115441296</v>
      </c>
      <c r="EY44" s="114">
        <v>7279.2512070973507</v>
      </c>
      <c r="EZ44" s="114">
        <v>13303.091909386952</v>
      </c>
      <c r="FA44" s="114">
        <v>8423.909817094931</v>
      </c>
      <c r="FB44" s="114">
        <v>13488.802498715197</v>
      </c>
      <c r="FC44" s="114">
        <v>3804.1490151550483</v>
      </c>
      <c r="FD44" s="114">
        <v>8437.7887569853119</v>
      </c>
      <c r="FE44" s="114">
        <v>8735.7438426231274</v>
      </c>
      <c r="FF44" s="114">
        <v>8581.2064983929231</v>
      </c>
      <c r="FG44" s="114">
        <v>11733.670771409532</v>
      </c>
      <c r="FH44" s="114">
        <v>820.01195811451396</v>
      </c>
      <c r="FI44" s="114">
        <v>9716.3825533120198</v>
      </c>
      <c r="FJ44" s="114">
        <v>10253.440451228438</v>
      </c>
      <c r="FK44" s="114">
        <v>9823.7257064125515</v>
      </c>
      <c r="FL44" s="114">
        <v>5090.89411003029</v>
      </c>
      <c r="FM44" s="114">
        <v>9050.1558749278429</v>
      </c>
      <c r="FN44" s="114">
        <v>15915.453478097434</v>
      </c>
      <c r="FO44" s="114">
        <v>7773.1997644788698</v>
      </c>
      <c r="FP44" s="114">
        <v>9140.6440073692484</v>
      </c>
      <c r="FQ44" s="114">
        <v>7774.0951538471945</v>
      </c>
      <c r="FR44" s="114">
        <v>688.26584091414725</v>
      </c>
      <c r="FS44" s="114">
        <v>4836.7090033952381</v>
      </c>
      <c r="FT44" s="114">
        <v>9661.8718445096401</v>
      </c>
      <c r="FU44" s="114">
        <v>2928.3715765021502</v>
      </c>
      <c r="FV44" s="114">
        <v>4412.5432987037639</v>
      </c>
      <c r="FW44" s="114">
        <v>12446.152175061487</v>
      </c>
      <c r="FX44" s="114">
        <v>15347.897217737163</v>
      </c>
      <c r="FY44" s="114">
        <v>9637.2871686713279</v>
      </c>
      <c r="FZ44" s="114">
        <v>7779.3677022719912</v>
      </c>
      <c r="GA44" s="114">
        <v>5787.6062983993788</v>
      </c>
      <c r="GB44" s="114">
        <v>9915.9501225708282</v>
      </c>
      <c r="GC44" s="114">
        <v>7471.7690295566372</v>
      </c>
      <c r="GD44" s="114">
        <v>6562.6675653794982</v>
      </c>
      <c r="GE44" s="114">
        <v>9203.8866948673822</v>
      </c>
      <c r="GF44" s="114">
        <v>10436.009179456078</v>
      </c>
      <c r="GG44" s="114">
        <v>11859.658947274673</v>
      </c>
      <c r="GH44" s="114">
        <v>11733.602263181376</v>
      </c>
      <c r="GI44" s="114">
        <v>11986.127485129904</v>
      </c>
      <c r="GJ44" s="114">
        <v>19585.64126381266</v>
      </c>
      <c r="GK44" s="114">
        <v>4752.8548599763953</v>
      </c>
      <c r="GL44" s="114">
        <v>15319.740268033067</v>
      </c>
      <c r="GM44" s="114">
        <v>1949.9501337206618</v>
      </c>
      <c r="GN44" s="114">
        <v>7938.169989848835</v>
      </c>
      <c r="GO44" s="114">
        <v>11186.935269864527</v>
      </c>
      <c r="GP44" s="114">
        <v>11041.021448691316</v>
      </c>
      <c r="GQ44" s="114">
        <v>2734.2249715189159</v>
      </c>
      <c r="GR44" s="114">
        <v>7931.89108097805</v>
      </c>
      <c r="GS44" s="114">
        <v>9010.0549612798168</v>
      </c>
      <c r="GT44" s="115">
        <v>11780.343290130084</v>
      </c>
    </row>
    <row r="45" spans="2:202" x14ac:dyDescent="0.6">
      <c r="B45" s="106" t="s">
        <v>38</v>
      </c>
      <c r="C45" s="63" t="s">
        <v>299</v>
      </c>
      <c r="D45" s="113">
        <v>4179.4438440983704</v>
      </c>
      <c r="E45" s="114">
        <v>9148.6375761084018</v>
      </c>
      <c r="F45" s="114">
        <v>8797.9354390873705</v>
      </c>
      <c r="G45" s="114">
        <v>11724.952878007332</v>
      </c>
      <c r="H45" s="114">
        <v>13710.38343481192</v>
      </c>
      <c r="I45" s="114">
        <v>19523.566635809882</v>
      </c>
      <c r="J45" s="114">
        <v>5959.5352621228249</v>
      </c>
      <c r="K45" s="114">
        <v>8913.495304917973</v>
      </c>
      <c r="L45" s="114">
        <v>7490.4871378120743</v>
      </c>
      <c r="M45" s="114">
        <v>5541.5912353776594</v>
      </c>
      <c r="N45" s="114">
        <v>12698.42516626496</v>
      </c>
      <c r="O45" s="114">
        <v>6198.5633440512356</v>
      </c>
      <c r="P45" s="114">
        <v>3024.66977397554</v>
      </c>
      <c r="Q45" s="114">
        <v>14147.684077673657</v>
      </c>
      <c r="R45" s="114">
        <v>6517.6629592112367</v>
      </c>
      <c r="S45" s="114">
        <v>8014.2373356587559</v>
      </c>
      <c r="T45" s="114">
        <v>13213.615076862869</v>
      </c>
      <c r="U45" s="114">
        <v>11551.516526706326</v>
      </c>
      <c r="V45" s="114">
        <v>2815.2745692028329</v>
      </c>
      <c r="W45" s="114">
        <v>17385.383429640126</v>
      </c>
      <c r="X45" s="114">
        <v>7652.8652316544585</v>
      </c>
      <c r="Y45" s="114">
        <v>11757.726093852858</v>
      </c>
      <c r="Z45" s="114">
        <v>17614.114160320281</v>
      </c>
      <c r="AA45" s="114">
        <v>17331.234664541993</v>
      </c>
      <c r="AB45" s="114">
        <v>3897.0290171655001</v>
      </c>
      <c r="AC45" s="114">
        <v>7385.791932997322</v>
      </c>
      <c r="AD45" s="114">
        <v>11381.868405730052</v>
      </c>
      <c r="AE45" s="114">
        <v>9976.1703065976744</v>
      </c>
      <c r="AF45" s="114">
        <v>12640.537640792321</v>
      </c>
      <c r="AG45" s="114">
        <v>3343.4265301295345</v>
      </c>
      <c r="AH45" s="114">
        <v>11118.154578786167</v>
      </c>
      <c r="AI45" s="114">
        <v>11020.820231953292</v>
      </c>
      <c r="AJ45" s="114">
        <v>10626.539764128482</v>
      </c>
      <c r="AK45" s="114">
        <v>10512.420890048432</v>
      </c>
      <c r="AL45" s="114">
        <v>10377.644290811924</v>
      </c>
      <c r="AM45" s="114">
        <v>10123.848576614606</v>
      </c>
      <c r="AN45" s="114">
        <v>19098.458996598154</v>
      </c>
      <c r="AO45" s="114">
        <v>1040.9978072927727</v>
      </c>
      <c r="AP45" s="114" t="s">
        <v>237</v>
      </c>
      <c r="AQ45" s="114">
        <v>15024.067986089418</v>
      </c>
      <c r="AR45" s="114">
        <v>9403.7655823757814</v>
      </c>
      <c r="AS45" s="114">
        <v>11246.593899168873</v>
      </c>
      <c r="AT45" s="114">
        <v>11246.349018808254</v>
      </c>
      <c r="AU45" s="114">
        <v>14170.279903942428</v>
      </c>
      <c r="AV45" s="114">
        <v>12130.845883660861</v>
      </c>
      <c r="AW45" s="114">
        <v>7698.4070733500539</v>
      </c>
      <c r="AX45" s="114">
        <v>12792.855196720051</v>
      </c>
      <c r="AY45" s="114">
        <v>7079.6209718672071</v>
      </c>
      <c r="AZ45" s="114">
        <v>7487.1542114620352</v>
      </c>
      <c r="BA45" s="114">
        <v>7250.7204372414926</v>
      </c>
      <c r="BB45" s="114">
        <v>7858.5791931964941</v>
      </c>
      <c r="BC45" s="114">
        <v>13921.372980100727</v>
      </c>
      <c r="BD45" s="114">
        <v>13554.395179324201</v>
      </c>
      <c r="BE45" s="114">
        <v>11251.567199283994</v>
      </c>
      <c r="BF45" s="114">
        <v>15391.3591140138</v>
      </c>
      <c r="BG45" s="114">
        <v>7551.890213426881</v>
      </c>
      <c r="BH45" s="114">
        <v>13570.642428238267</v>
      </c>
      <c r="BI45" s="114">
        <v>11262.366235019277</v>
      </c>
      <c r="BJ45" s="114">
        <v>7891.9383232478858</v>
      </c>
      <c r="BK45" s="114">
        <v>6409.4507097077121</v>
      </c>
      <c r="BL45" s="114">
        <v>11435.785518443385</v>
      </c>
      <c r="BM45" s="114">
        <v>8325.0968375557131</v>
      </c>
      <c r="BN45" s="114">
        <v>6339.6380554129209</v>
      </c>
      <c r="BO45" s="114">
        <v>8271.8014891771036</v>
      </c>
      <c r="BP45" s="114">
        <v>11433.043789752061</v>
      </c>
      <c r="BQ45" s="114">
        <v>12365.346865400894</v>
      </c>
      <c r="BR45" s="114">
        <v>5884.9371789241468</v>
      </c>
      <c r="BS45" s="114">
        <v>7398.6757248453214</v>
      </c>
      <c r="BT45" s="114">
        <v>7767.9628743461053</v>
      </c>
      <c r="BU45" s="114">
        <v>7799.1788095882157</v>
      </c>
      <c r="BV45" s="114">
        <v>11817.582319873543</v>
      </c>
      <c r="BW45" s="114">
        <v>7667.2967589616546</v>
      </c>
      <c r="BX45" s="114">
        <v>14272.789173605479</v>
      </c>
      <c r="BY45" s="114">
        <v>13420.820438843819</v>
      </c>
      <c r="BZ45" s="114">
        <v>12512.854616897461</v>
      </c>
      <c r="CA45" s="114">
        <v>12462.27117906178</v>
      </c>
      <c r="CB45" s="114">
        <v>14861.357328523041</v>
      </c>
      <c r="CC45" s="114">
        <v>13512.512684804375</v>
      </c>
      <c r="CD45" s="114">
        <v>13583.00402596409</v>
      </c>
      <c r="CE45" s="114">
        <v>7366.3960445323655</v>
      </c>
      <c r="CF45" s="114">
        <v>7909.3970556426548</v>
      </c>
      <c r="CG45" s="114">
        <v>4716.3534342670546</v>
      </c>
      <c r="CH45" s="114">
        <v>3777.6035626138487</v>
      </c>
      <c r="CI45" s="114">
        <v>5173.885224624175</v>
      </c>
      <c r="CJ45" s="114">
        <v>5618.4182420406487</v>
      </c>
      <c r="CK45" s="114">
        <v>6304.0797970957628</v>
      </c>
      <c r="CL45" s="114">
        <v>8313.0892736090391</v>
      </c>
      <c r="CM45" s="114">
        <v>11556.162360235396</v>
      </c>
      <c r="CN45" s="114">
        <v>8176.1575211314166</v>
      </c>
      <c r="CO45" s="114">
        <v>8095.1685395075065</v>
      </c>
      <c r="CP45" s="114">
        <v>13481.258774474603</v>
      </c>
      <c r="CQ45" s="114">
        <v>2112.7249405000071</v>
      </c>
      <c r="CR45" s="114">
        <v>7106.6484981970034</v>
      </c>
      <c r="CS45" s="114">
        <v>3671.1042639001107</v>
      </c>
      <c r="CT45" s="114">
        <v>9211.817875977049</v>
      </c>
      <c r="CU45" s="114">
        <v>6210.4611718300666</v>
      </c>
      <c r="CV45" s="114">
        <v>3480.7210277014624</v>
      </c>
      <c r="CW45" s="114">
        <v>2786.6940476873815</v>
      </c>
      <c r="CX45" s="114">
        <v>6557.5799744068654</v>
      </c>
      <c r="CY45" s="114">
        <v>7008.8360303915106</v>
      </c>
      <c r="CZ45" s="114">
        <v>11932.232473784365</v>
      </c>
      <c r="DA45" s="114">
        <v>12554.867197819503</v>
      </c>
      <c r="DB45" s="114">
        <v>8761.7978938322631</v>
      </c>
      <c r="DC45" s="114">
        <v>7974.356034207377</v>
      </c>
      <c r="DD45" s="114">
        <v>6600.1194159292818</v>
      </c>
      <c r="DE45" s="114">
        <v>7995.3155318827485</v>
      </c>
      <c r="DF45" s="114">
        <v>9620.5282220671434</v>
      </c>
      <c r="DG45" s="114">
        <v>10385.168676591622</v>
      </c>
      <c r="DH45" s="114">
        <v>4320.5646924027651</v>
      </c>
      <c r="DI45" s="114">
        <v>5846.2525020104231</v>
      </c>
      <c r="DJ45" s="114">
        <v>11831.557644248705</v>
      </c>
      <c r="DK45" s="114">
        <v>8457.8229738973932</v>
      </c>
      <c r="DL45" s="114">
        <v>9014.7546319933917</v>
      </c>
      <c r="DM45" s="114">
        <v>9006.0130952964264</v>
      </c>
      <c r="DN45" s="114">
        <v>12524.642159266958</v>
      </c>
      <c r="DO45" s="114">
        <v>6743.5204007219263</v>
      </c>
      <c r="DP45" s="114">
        <v>8325.7528776259933</v>
      </c>
      <c r="DQ45" s="114">
        <v>1190.8891088674491</v>
      </c>
      <c r="DR45" s="114">
        <v>7654.620283278392</v>
      </c>
      <c r="DS45" s="114">
        <v>9957.8616675947724</v>
      </c>
      <c r="DT45" s="114">
        <v>11295.490134163814</v>
      </c>
      <c r="DU45" s="114">
        <v>3216.7059756025592</v>
      </c>
      <c r="DV45" s="114">
        <v>12324.168959193606</v>
      </c>
      <c r="DW45" s="114">
        <v>3152.5688546493238</v>
      </c>
      <c r="DX45" s="114">
        <v>7871.5601496403442</v>
      </c>
      <c r="DY45" s="114">
        <v>10392.031782773116</v>
      </c>
      <c r="DZ45" s="114">
        <v>10732.664335164003</v>
      </c>
      <c r="EA45" s="114">
        <v>13826.071309683028</v>
      </c>
      <c r="EB45" s="114">
        <v>11036.224872895253</v>
      </c>
      <c r="EC45" s="114">
        <v>10942.61377620757</v>
      </c>
      <c r="ED45" s="114">
        <v>784.13778201385924</v>
      </c>
      <c r="EE45" s="114">
        <v>7546.0639246682204</v>
      </c>
      <c r="EF45" s="114">
        <v>7084.6510026130218</v>
      </c>
      <c r="EG45" s="114">
        <v>5670.8072925148299</v>
      </c>
      <c r="EH45" s="114">
        <v>4832.239279830419</v>
      </c>
      <c r="EI45" s="114">
        <v>3876.3409072876493</v>
      </c>
      <c r="EJ45" s="114">
        <v>14386.272843499666</v>
      </c>
      <c r="EK45" s="114">
        <v>18297.459596735313</v>
      </c>
      <c r="EL45" s="114">
        <v>16687.592372692379</v>
      </c>
      <c r="EM45" s="114">
        <v>2835.5639077318856</v>
      </c>
      <c r="EN45" s="114">
        <v>6963.9918721730064</v>
      </c>
      <c r="EO45" s="114">
        <v>9710.5562766822532</v>
      </c>
      <c r="EP45" s="114">
        <v>6164.8490166324618</v>
      </c>
      <c r="EQ45" s="114">
        <v>7079.9656473139712</v>
      </c>
      <c r="ER45" s="114">
        <v>5809.5925734542143</v>
      </c>
      <c r="ES45" s="114">
        <v>9791.2003630533582</v>
      </c>
      <c r="ET45" s="114">
        <v>13706.505816352754</v>
      </c>
      <c r="EU45" s="114">
        <v>14049.027329697188</v>
      </c>
      <c r="EV45" s="114">
        <v>14153.994918757626</v>
      </c>
      <c r="EW45" s="114">
        <v>8036.5240419437259</v>
      </c>
      <c r="EX45" s="114">
        <v>11684.612166500916</v>
      </c>
      <c r="EY45" s="114">
        <v>6628.7577160794899</v>
      </c>
      <c r="EZ45" s="114">
        <v>12329.414395604063</v>
      </c>
      <c r="FA45" s="114">
        <v>7452.0682221175612</v>
      </c>
      <c r="FB45" s="114">
        <v>12574.27590082721</v>
      </c>
      <c r="FC45" s="114">
        <v>4428.8324641198806</v>
      </c>
      <c r="FD45" s="114">
        <v>7439.6656331622617</v>
      </c>
      <c r="FE45" s="114">
        <v>7741.3264926451939</v>
      </c>
      <c r="FF45" s="114">
        <v>8239.5405573108819</v>
      </c>
      <c r="FG45" s="114">
        <v>11618.66922840898</v>
      </c>
      <c r="FH45" s="114">
        <v>930.52006540875846</v>
      </c>
      <c r="FI45" s="114">
        <v>9203.1831854464763</v>
      </c>
      <c r="FJ45" s="114">
        <v>9239.3373338766069</v>
      </c>
      <c r="FK45" s="114">
        <v>8819.3804772946642</v>
      </c>
      <c r="FL45" s="114">
        <v>5126.2827492453589</v>
      </c>
      <c r="FM45" s="114">
        <v>8412.1685194589081</v>
      </c>
      <c r="FN45" s="114">
        <v>14926.743364389053</v>
      </c>
      <c r="FO45" s="114">
        <v>6738.9104346492204</v>
      </c>
      <c r="FP45" s="114">
        <v>8129.4333854088645</v>
      </c>
      <c r="FQ45" s="114">
        <v>6953.0504638145876</v>
      </c>
      <c r="FR45" s="114">
        <v>1690.2646955226976</v>
      </c>
      <c r="FS45" s="114">
        <v>4080.2389326626503</v>
      </c>
      <c r="FT45" s="114">
        <v>9382.9277981531886</v>
      </c>
      <c r="FU45" s="114">
        <v>3293.4118318935225</v>
      </c>
      <c r="FV45" s="114">
        <v>5401.6272489814419</v>
      </c>
      <c r="FW45" s="114">
        <v>11660.015534390994</v>
      </c>
      <c r="FX45" s="114">
        <v>14427.504704467927</v>
      </c>
      <c r="FY45" s="114">
        <v>8679.3345159809669</v>
      </c>
      <c r="FZ45" s="114">
        <v>6881.1771335974481</v>
      </c>
      <c r="GA45" s="114">
        <v>4998.5263777239597</v>
      </c>
      <c r="GB45" s="114">
        <v>9470.7306122023074</v>
      </c>
      <c r="GC45" s="114">
        <v>6486.4974474046048</v>
      </c>
      <c r="GD45" s="114">
        <v>5971.0993603393408</v>
      </c>
      <c r="GE45" s="114">
        <v>8170.2322516293025</v>
      </c>
      <c r="GF45" s="114">
        <v>10102.772005107976</v>
      </c>
      <c r="GG45" s="114">
        <v>11030.538228467558</v>
      </c>
      <c r="GH45" s="114">
        <v>10877.723459254888</v>
      </c>
      <c r="GI45" s="114">
        <v>11187.814008728838</v>
      </c>
      <c r="GJ45" s="114">
        <v>19131.739984683467</v>
      </c>
      <c r="GK45" s="114">
        <v>3944.8343201054254</v>
      </c>
      <c r="GL45" s="114">
        <v>14464.741141244749</v>
      </c>
      <c r="GM45" s="114">
        <v>2295.1010697465817</v>
      </c>
      <c r="GN45" s="114">
        <v>7396.8430682861672</v>
      </c>
      <c r="GO45" s="114">
        <v>10917.658648963601</v>
      </c>
      <c r="GP45" s="114">
        <v>10831.172483449516</v>
      </c>
      <c r="GQ45" s="114">
        <v>3331.3567423628238</v>
      </c>
      <c r="GR45" s="114">
        <v>8972.2001457604292</v>
      </c>
      <c r="GS45" s="114">
        <v>7998.442195141768</v>
      </c>
      <c r="GT45" s="115">
        <v>11676.579212651004</v>
      </c>
    </row>
    <row r="46" spans="2:202" x14ac:dyDescent="0.6">
      <c r="B46" s="106" t="s">
        <v>39</v>
      </c>
      <c r="C46" s="63" t="s">
        <v>535</v>
      </c>
      <c r="D46" s="113">
        <v>14238.471003671562</v>
      </c>
      <c r="E46" s="114">
        <v>8566.0540956557397</v>
      </c>
      <c r="F46" s="114">
        <v>8477.7973006932862</v>
      </c>
      <c r="G46" s="114">
        <v>9766.3513321594692</v>
      </c>
      <c r="H46" s="114">
        <v>1943.1864043035453</v>
      </c>
      <c r="I46" s="114">
        <v>4747.7290081806605</v>
      </c>
      <c r="J46" s="114">
        <v>12035.574809890777</v>
      </c>
      <c r="K46" s="114">
        <v>14330.186497047904</v>
      </c>
      <c r="L46" s="114">
        <v>9664.6985370789316</v>
      </c>
      <c r="M46" s="114">
        <v>12432.693422180078</v>
      </c>
      <c r="N46" s="114">
        <v>2328.090070812556</v>
      </c>
      <c r="O46" s="114">
        <v>13134.335398303741</v>
      </c>
      <c r="P46" s="114">
        <v>16486.656641206431</v>
      </c>
      <c r="Q46" s="114">
        <v>1882.2942420933837</v>
      </c>
      <c r="R46" s="114">
        <v>10360.146152946132</v>
      </c>
      <c r="S46" s="114">
        <v>8802.8347972432293</v>
      </c>
      <c r="T46" s="114">
        <v>2113.5066621512578</v>
      </c>
      <c r="U46" s="114">
        <v>8457.1356704653626</v>
      </c>
      <c r="V46" s="114">
        <v>16072.591638426242</v>
      </c>
      <c r="W46" s="114">
        <v>2374.3384020102817</v>
      </c>
      <c r="X46" s="114">
        <v>9857.1916252155061</v>
      </c>
      <c r="Y46" s="114">
        <v>11175.062029891656</v>
      </c>
      <c r="Z46" s="114">
        <v>4291.8487051774309</v>
      </c>
      <c r="AA46" s="114">
        <v>4514.4765234476199</v>
      </c>
      <c r="AB46" s="114">
        <v>18611.483231211299</v>
      </c>
      <c r="AC46" s="114">
        <v>10269.70460039245</v>
      </c>
      <c r="AD46" s="114">
        <v>8027.5231287124316</v>
      </c>
      <c r="AE46" s="114">
        <v>11493.856204662046</v>
      </c>
      <c r="AF46" s="114">
        <v>5664.3891604069877</v>
      </c>
      <c r="AG46" s="114">
        <v>18264.776959305214</v>
      </c>
      <c r="AH46" s="114">
        <v>9277.0043085886973</v>
      </c>
      <c r="AI46" s="114">
        <v>9463.4016872755019</v>
      </c>
      <c r="AJ46" s="114">
        <v>4408.6584286477409</v>
      </c>
      <c r="AK46" s="114">
        <v>4553.3036867073797</v>
      </c>
      <c r="AL46" s="114">
        <v>10231.804187068959</v>
      </c>
      <c r="AM46" s="114">
        <v>9753.5672821803819</v>
      </c>
      <c r="AN46" s="114">
        <v>4195.8669045435936</v>
      </c>
      <c r="AO46" s="114">
        <v>15734.415111092147</v>
      </c>
      <c r="AP46" s="114">
        <v>15024.067986089418</v>
      </c>
      <c r="AQ46" s="114" t="s">
        <v>237</v>
      </c>
      <c r="AR46" s="114">
        <v>13061.074368202711</v>
      </c>
      <c r="AS46" s="114">
        <v>9968.0371102929385</v>
      </c>
      <c r="AT46" s="114">
        <v>9944.6104864166155</v>
      </c>
      <c r="AU46" s="114">
        <v>1248.1679483355517</v>
      </c>
      <c r="AV46" s="114">
        <v>7749.8266669529476</v>
      </c>
      <c r="AW46" s="114">
        <v>9630.8086567920709</v>
      </c>
      <c r="AX46" s="114">
        <v>2263.2527534443484</v>
      </c>
      <c r="AY46" s="114">
        <v>11280.03337453498</v>
      </c>
      <c r="AZ46" s="114">
        <v>9510.7330255035376</v>
      </c>
      <c r="BA46" s="114">
        <v>9379.4044362066034</v>
      </c>
      <c r="BB46" s="114">
        <v>12751.417897036141</v>
      </c>
      <c r="BC46" s="114">
        <v>1845.7466417225855</v>
      </c>
      <c r="BD46" s="114">
        <v>1624.6497474889654</v>
      </c>
      <c r="BE46" s="114">
        <v>9948.8643826613588</v>
      </c>
      <c r="BF46" s="114">
        <v>694.83563352720182</v>
      </c>
      <c r="BG46" s="114">
        <v>11210.301611242856</v>
      </c>
      <c r="BH46" s="114">
        <v>1939.206068826833</v>
      </c>
      <c r="BI46" s="114">
        <v>9148.232173311053</v>
      </c>
      <c r="BJ46" s="114">
        <v>12280.200054448458</v>
      </c>
      <c r="BK46" s="114">
        <v>10072.733648127909</v>
      </c>
      <c r="BL46" s="114">
        <v>11722.175713652687</v>
      </c>
      <c r="BM46" s="114">
        <v>12379.285257711583</v>
      </c>
      <c r="BN46" s="114">
        <v>10085.656865212062</v>
      </c>
      <c r="BO46" s="114">
        <v>8631.6900684840039</v>
      </c>
      <c r="BP46" s="114">
        <v>9258.1374333109125</v>
      </c>
      <c r="BQ46" s="114">
        <v>6393.0540155489807</v>
      </c>
      <c r="BR46" s="114">
        <v>11993.246050748934</v>
      </c>
      <c r="BS46" s="114">
        <v>9438.9318105501516</v>
      </c>
      <c r="BT46" s="114">
        <v>9320.5740121969211</v>
      </c>
      <c r="BU46" s="114">
        <v>9115.778784714892</v>
      </c>
      <c r="BV46" s="114">
        <v>8188.1745340375828</v>
      </c>
      <c r="BW46" s="114">
        <v>10367.358548035862</v>
      </c>
      <c r="BX46" s="114">
        <v>1597.2721063637302</v>
      </c>
      <c r="BY46" s="114">
        <v>2099.6693385261169</v>
      </c>
      <c r="BZ46" s="114">
        <v>6696.399209031375</v>
      </c>
      <c r="CA46" s="114">
        <v>6486.7448457110349</v>
      </c>
      <c r="CB46" s="114">
        <v>1774.0567746490319</v>
      </c>
      <c r="CC46" s="114">
        <v>1575.5976478733501</v>
      </c>
      <c r="CD46" s="114">
        <v>1800.1251891867021</v>
      </c>
      <c r="CE46" s="114">
        <v>9882.5417205721333</v>
      </c>
      <c r="CF46" s="114">
        <v>7840.3599807490182</v>
      </c>
      <c r="CG46" s="114">
        <v>15552.761182611484</v>
      </c>
      <c r="CH46" s="114">
        <v>15243.245315030135</v>
      </c>
      <c r="CI46" s="114">
        <v>19815.518526340718</v>
      </c>
      <c r="CJ46" s="114">
        <v>12808.139308236279</v>
      </c>
      <c r="CK46" s="114">
        <v>12313.71238852478</v>
      </c>
      <c r="CL46" s="114">
        <v>8161.2682214333463</v>
      </c>
      <c r="CM46" s="114">
        <v>5067.9826170655624</v>
      </c>
      <c r="CN46" s="114">
        <v>9379.1297922435188</v>
      </c>
      <c r="CO46" s="114">
        <v>9132.8100740128102</v>
      </c>
      <c r="CP46" s="114">
        <v>1543.0841149233852</v>
      </c>
      <c r="CQ46" s="114">
        <v>14343.291723339602</v>
      </c>
      <c r="CR46" s="114">
        <v>11579.557025320359</v>
      </c>
      <c r="CS46" s="114">
        <v>13023.483463387054</v>
      </c>
      <c r="CT46" s="114">
        <v>12288.006736009276</v>
      </c>
      <c r="CU46" s="114">
        <v>12795.49573207201</v>
      </c>
      <c r="CV46" s="114">
        <v>13910.415265141108</v>
      </c>
      <c r="CW46" s="114">
        <v>17544.100141347222</v>
      </c>
      <c r="CX46" s="114">
        <v>10097.811604010416</v>
      </c>
      <c r="CY46" s="114">
        <v>11506.161908714013</v>
      </c>
      <c r="CZ46" s="114">
        <v>11339.098061180708</v>
      </c>
      <c r="DA46" s="114">
        <v>7033.6761815564814</v>
      </c>
      <c r="DB46" s="114">
        <v>9474.0446975017094</v>
      </c>
      <c r="DC46" s="114">
        <v>9147.900056226079</v>
      </c>
      <c r="DD46" s="114">
        <v>10206.560608305728</v>
      </c>
      <c r="DE46" s="114">
        <v>8924.5019126472889</v>
      </c>
      <c r="DF46" s="114">
        <v>13456.767234605613</v>
      </c>
      <c r="DG46" s="114">
        <v>12008.417081954565</v>
      </c>
      <c r="DH46" s="114">
        <v>19043.592373282972</v>
      </c>
      <c r="DI46" s="114">
        <v>16263.608323205342</v>
      </c>
      <c r="DJ46" s="114">
        <v>7348.3809744766613</v>
      </c>
      <c r="DK46" s="114">
        <v>9574.5135858300564</v>
      </c>
      <c r="DL46" s="114">
        <v>14465.704460203478</v>
      </c>
      <c r="DM46" s="114">
        <v>14484.628720179591</v>
      </c>
      <c r="DN46" s="114">
        <v>3184.8366225450291</v>
      </c>
      <c r="DO46" s="114">
        <v>10620.208165644441</v>
      </c>
      <c r="DP46" s="114">
        <v>8985.4398500486004</v>
      </c>
      <c r="DQ46" s="114">
        <v>14203.214645297672</v>
      </c>
      <c r="DR46" s="114">
        <v>9949.0849421945004</v>
      </c>
      <c r="DS46" s="114">
        <v>7639.730691494623</v>
      </c>
      <c r="DT46" s="114">
        <v>11851.504013538743</v>
      </c>
      <c r="DU46" s="114">
        <v>17464.592988548695</v>
      </c>
      <c r="DV46" s="114">
        <v>10297.620860576268</v>
      </c>
      <c r="DW46" s="114">
        <v>15834.411091168502</v>
      </c>
      <c r="DX46" s="114">
        <v>8846.9474811142773</v>
      </c>
      <c r="DY46" s="114">
        <v>12179.29610845874</v>
      </c>
      <c r="DZ46" s="114">
        <v>12123.606334697921</v>
      </c>
      <c r="EA46" s="114">
        <v>1592.7083423980798</v>
      </c>
      <c r="EB46" s="114">
        <v>8390.0086974214883</v>
      </c>
      <c r="EC46" s="114">
        <v>8980.4714723788438</v>
      </c>
      <c r="ED46" s="114">
        <v>14795.220052651883</v>
      </c>
      <c r="EE46" s="114">
        <v>10117.61358189452</v>
      </c>
      <c r="EF46" s="114">
        <v>9278.9606789981099</v>
      </c>
      <c r="EG46" s="114">
        <v>14002.17255015808</v>
      </c>
      <c r="EH46" s="114">
        <v>14700.63264058733</v>
      </c>
      <c r="EI46" s="114">
        <v>14576.911658122508</v>
      </c>
      <c r="EJ46" s="114">
        <v>777.49342111669705</v>
      </c>
      <c r="EK46" s="114">
        <v>3737.7088505496367</v>
      </c>
      <c r="EL46" s="114">
        <v>1846.9534259331797</v>
      </c>
      <c r="EM46" s="114">
        <v>17354.749599958686</v>
      </c>
      <c r="EN46" s="114">
        <v>9966.8380296054092</v>
      </c>
      <c r="EO46" s="114">
        <v>7535.0072095258683</v>
      </c>
      <c r="EP46" s="114">
        <v>13270.48706314578</v>
      </c>
      <c r="EQ46" s="114">
        <v>10469.134936896411</v>
      </c>
      <c r="ER46" s="114">
        <v>10929.189316871598</v>
      </c>
      <c r="ES46" s="114">
        <v>11577.331087606923</v>
      </c>
      <c r="ET46" s="114">
        <v>1903.9914580257387</v>
      </c>
      <c r="EU46" s="114">
        <v>1822.8628284503325</v>
      </c>
      <c r="EV46" s="114">
        <v>1718.9144694689901</v>
      </c>
      <c r="EW46" s="114">
        <v>9377.2122889288657</v>
      </c>
      <c r="EX46" s="114">
        <v>8941.2014564730653</v>
      </c>
      <c r="EY46" s="114">
        <v>12828.674812442327</v>
      </c>
      <c r="EZ46" s="114">
        <v>6304.9752583922609</v>
      </c>
      <c r="FA46" s="114">
        <v>10014.872963488018</v>
      </c>
      <c r="FB46" s="114">
        <v>6731.5745482005213</v>
      </c>
      <c r="FC46" s="114">
        <v>19337.380147183907</v>
      </c>
      <c r="FD46" s="114">
        <v>9727.8279318838013</v>
      </c>
      <c r="FE46" s="114">
        <v>9531.5416585876555</v>
      </c>
      <c r="FF46" s="114">
        <v>13228.120266546457</v>
      </c>
      <c r="FG46" s="114">
        <v>11430.945549810225</v>
      </c>
      <c r="FH46" s="114">
        <v>14920.838394180086</v>
      </c>
      <c r="FI46" s="114">
        <v>11686.470668361631</v>
      </c>
      <c r="FJ46" s="114">
        <v>8050.9069827403982</v>
      </c>
      <c r="FK46" s="114">
        <v>8536.689576279814</v>
      </c>
      <c r="FL46" s="114">
        <v>16855.082452553601</v>
      </c>
      <c r="FM46" s="114">
        <v>11622.331951734317</v>
      </c>
      <c r="FN46" s="114">
        <v>2097.7028248095057</v>
      </c>
      <c r="FO46" s="114">
        <v>9708.5336170763421</v>
      </c>
      <c r="FP46" s="114">
        <v>8991.0014733079715</v>
      </c>
      <c r="FQ46" s="114">
        <v>11590.767368928231</v>
      </c>
      <c r="FR46" s="114">
        <v>16341.441311803823</v>
      </c>
      <c r="FS46" s="114">
        <v>13898.48997227132</v>
      </c>
      <c r="FT46" s="114">
        <v>12632.28841569066</v>
      </c>
      <c r="FU46" s="114">
        <v>17939.270181571075</v>
      </c>
      <c r="FV46" s="114">
        <v>17837.846329532313</v>
      </c>
      <c r="FW46" s="114">
        <v>8323.2224754397139</v>
      </c>
      <c r="FX46" s="114">
        <v>1545.7571726845968</v>
      </c>
      <c r="FY46" s="114">
        <v>9194.5170431711922</v>
      </c>
      <c r="FZ46" s="114">
        <v>11099.859838263277</v>
      </c>
      <c r="GA46" s="114">
        <v>13154.187342200525</v>
      </c>
      <c r="GB46" s="114">
        <v>11812.915036680901</v>
      </c>
      <c r="GC46" s="114">
        <v>10638.557791263571</v>
      </c>
      <c r="GD46" s="114">
        <v>13575.586960437893</v>
      </c>
      <c r="GE46" s="114">
        <v>8520.7785816113028</v>
      </c>
      <c r="GF46" s="114">
        <v>5630.7399060721473</v>
      </c>
      <c r="GG46" s="114">
        <v>4044.4708723786093</v>
      </c>
      <c r="GH46" s="114">
        <v>4237.670730214506</v>
      </c>
      <c r="GI46" s="114">
        <v>3855.7810958150249</v>
      </c>
      <c r="GJ46" s="114">
        <v>4707.9421121573105</v>
      </c>
      <c r="GK46" s="114">
        <v>13718.724947601831</v>
      </c>
      <c r="GL46" s="114">
        <v>1055.2987258182457</v>
      </c>
      <c r="GM46" s="114">
        <v>17191.321156492748</v>
      </c>
      <c r="GN46" s="114">
        <v>12868.755227081076</v>
      </c>
      <c r="GO46" s="114">
        <v>11437.424770341635</v>
      </c>
      <c r="GP46" s="114">
        <v>11744.139303843442</v>
      </c>
      <c r="GQ46" s="114">
        <v>18327.601226747611</v>
      </c>
      <c r="GR46" s="114">
        <v>14417.758733011609</v>
      </c>
      <c r="GS46" s="114">
        <v>9091.2231891102929</v>
      </c>
      <c r="GT46" s="115">
        <v>11420.36916530216</v>
      </c>
    </row>
    <row r="47" spans="2:202" x14ac:dyDescent="0.6">
      <c r="B47" s="106" t="s">
        <v>40</v>
      </c>
      <c r="C47" s="63" t="s">
        <v>441</v>
      </c>
      <c r="D47" s="113">
        <v>5771.3190590890326</v>
      </c>
      <c r="E47" s="114">
        <v>6772.7094344147108</v>
      </c>
      <c r="F47" s="114">
        <v>7336.857365403449</v>
      </c>
      <c r="G47" s="114">
        <v>3301.0185897297024</v>
      </c>
      <c r="H47" s="114">
        <v>11953.122508002956</v>
      </c>
      <c r="I47" s="114">
        <v>10408.230424614452</v>
      </c>
      <c r="J47" s="114">
        <v>5727.7681379999021</v>
      </c>
      <c r="K47" s="114">
        <v>10897.330944567244</v>
      </c>
      <c r="L47" s="114">
        <v>7131.6948885888987</v>
      </c>
      <c r="M47" s="114">
        <v>5785.41325350445</v>
      </c>
      <c r="N47" s="114">
        <v>13585.535083768165</v>
      </c>
      <c r="O47" s="114">
        <v>4240.7389677156652</v>
      </c>
      <c r="P47" s="114">
        <v>6421.0405713026175</v>
      </c>
      <c r="Q47" s="114">
        <v>11621.779847451027</v>
      </c>
      <c r="R47" s="114">
        <v>7373.968515930148</v>
      </c>
      <c r="S47" s="114">
        <v>7849.6026469333874</v>
      </c>
      <c r="T47" s="114">
        <v>14758.159028364515</v>
      </c>
      <c r="U47" s="114">
        <v>4914.9613521291421</v>
      </c>
      <c r="V47" s="114">
        <v>6589.0823620077945</v>
      </c>
      <c r="W47" s="114">
        <v>11856.706898741721</v>
      </c>
      <c r="X47" s="114">
        <v>6607.9204714988145</v>
      </c>
      <c r="Y47" s="114">
        <v>2355.116201514671</v>
      </c>
      <c r="Z47" s="114">
        <v>9483.6665111330349</v>
      </c>
      <c r="AA47" s="114">
        <v>9146.8310443027094</v>
      </c>
      <c r="AB47" s="114">
        <v>8139.7087694330357</v>
      </c>
      <c r="AC47" s="114">
        <v>6324.3221085638907</v>
      </c>
      <c r="AD47" s="114">
        <v>5563.0966647843843</v>
      </c>
      <c r="AE47" s="114">
        <v>1792.3991252920471</v>
      </c>
      <c r="AF47" s="114">
        <v>7889.8824958588393</v>
      </c>
      <c r="AG47" s="114">
        <v>7230.9272108303594</v>
      </c>
      <c r="AH47" s="114">
        <v>4079.9806687725063</v>
      </c>
      <c r="AI47" s="114">
        <v>3888.9043775591285</v>
      </c>
      <c r="AJ47" s="114">
        <v>13476.294890954536</v>
      </c>
      <c r="AK47" s="114">
        <v>13128.074279313194</v>
      </c>
      <c r="AL47" s="114">
        <v>3248.5741409317384</v>
      </c>
      <c r="AM47" s="114">
        <v>4096.0514195096966</v>
      </c>
      <c r="AN47" s="114">
        <v>11416.600310224869</v>
      </c>
      <c r="AO47" s="114">
        <v>9576.7442214957337</v>
      </c>
      <c r="AP47" s="114">
        <v>9403.7655823757814</v>
      </c>
      <c r="AQ47" s="114">
        <v>13061.074368202711</v>
      </c>
      <c r="AR47" s="114" t="s">
        <v>237</v>
      </c>
      <c r="AS47" s="114">
        <v>3163.9061522954194</v>
      </c>
      <c r="AT47" s="114">
        <v>3191.8975856681373</v>
      </c>
      <c r="AU47" s="114">
        <v>14243.630207316872</v>
      </c>
      <c r="AV47" s="114">
        <v>5541.9743257135078</v>
      </c>
      <c r="AW47" s="114">
        <v>6904.513952324688</v>
      </c>
      <c r="AX47" s="114">
        <v>14104.335036247729</v>
      </c>
      <c r="AY47" s="114">
        <v>5274.8612407546607</v>
      </c>
      <c r="AZ47" s="114">
        <v>7390.467543902636</v>
      </c>
      <c r="BA47" s="114">
        <v>7964.6173227883264</v>
      </c>
      <c r="BB47" s="114">
        <v>2501.9109044283732</v>
      </c>
      <c r="BC47" s="114">
        <v>11862.624491724224</v>
      </c>
      <c r="BD47" s="114">
        <v>12782.878919033801</v>
      </c>
      <c r="BE47" s="114">
        <v>3185.2732208443931</v>
      </c>
      <c r="BF47" s="114">
        <v>13430.671493405709</v>
      </c>
      <c r="BG47" s="114">
        <v>4781.0943086696188</v>
      </c>
      <c r="BH47" s="114">
        <v>14833.409194125834</v>
      </c>
      <c r="BI47" s="114">
        <v>4173.9486628943368</v>
      </c>
      <c r="BJ47" s="114">
        <v>2999.9419536959922</v>
      </c>
      <c r="BK47" s="114">
        <v>8030.2082592723646</v>
      </c>
      <c r="BL47" s="114">
        <v>2076.2038631443597</v>
      </c>
      <c r="BM47" s="114">
        <v>2330.3118083268287</v>
      </c>
      <c r="BN47" s="114">
        <v>8118.0164762877812</v>
      </c>
      <c r="BO47" s="114">
        <v>7780.5242219354895</v>
      </c>
      <c r="BP47" s="114">
        <v>3962.1914895007612</v>
      </c>
      <c r="BQ47" s="114">
        <v>7119.4178126662373</v>
      </c>
      <c r="BR47" s="114">
        <v>5876.0348317055177</v>
      </c>
      <c r="BS47" s="114">
        <v>7639.2459141036825</v>
      </c>
      <c r="BT47" s="114">
        <v>7315.1085260334366</v>
      </c>
      <c r="BU47" s="114">
        <v>7616.4121331725073</v>
      </c>
      <c r="BV47" s="114">
        <v>5131.3058121832364</v>
      </c>
      <c r="BW47" s="114">
        <v>5820.9218783643346</v>
      </c>
      <c r="BX47" s="114">
        <v>11868.240678360511</v>
      </c>
      <c r="BY47" s="114">
        <v>14959.086916158923</v>
      </c>
      <c r="BZ47" s="114">
        <v>6672.2138671508164</v>
      </c>
      <c r="CA47" s="114">
        <v>6953.7254663343192</v>
      </c>
      <c r="CB47" s="114">
        <v>11374.31048359381</v>
      </c>
      <c r="CC47" s="114">
        <v>13058.449856513022</v>
      </c>
      <c r="CD47" s="114">
        <v>14625.764716698208</v>
      </c>
      <c r="CE47" s="114">
        <v>6950.2924164912665</v>
      </c>
      <c r="CF47" s="114">
        <v>9975.8095053554207</v>
      </c>
      <c r="CG47" s="114">
        <v>4700.2278015012371</v>
      </c>
      <c r="CH47" s="114">
        <v>5735.5310199870801</v>
      </c>
      <c r="CI47" s="114">
        <v>6963.3123547912028</v>
      </c>
      <c r="CJ47" s="114">
        <v>5278.2890390161729</v>
      </c>
      <c r="CK47" s="114">
        <v>4960.7667000717738</v>
      </c>
      <c r="CL47" s="114">
        <v>8565.2350713245523</v>
      </c>
      <c r="CM47" s="114">
        <v>9588.0990922563014</v>
      </c>
      <c r="CN47" s="114">
        <v>6681.2054218241619</v>
      </c>
      <c r="CO47" s="114">
        <v>7180.7119501252491</v>
      </c>
      <c r="CP47" s="114">
        <v>13509.647334794952</v>
      </c>
      <c r="CQ47" s="114">
        <v>11334.661786797871</v>
      </c>
      <c r="CR47" s="114">
        <v>4846.945697630832</v>
      </c>
      <c r="CS47" s="114">
        <v>7462.1307445818939</v>
      </c>
      <c r="CT47" s="114">
        <v>1355.5680076387487</v>
      </c>
      <c r="CU47" s="114">
        <v>4555.3347898157081</v>
      </c>
      <c r="CV47" s="114">
        <v>6792.3372648751219</v>
      </c>
      <c r="CW47" s="114">
        <v>7248.5991117445938</v>
      </c>
      <c r="CX47" s="114">
        <v>7756.3755709750249</v>
      </c>
      <c r="CY47" s="114">
        <v>5064.6961358044055</v>
      </c>
      <c r="CZ47" s="114">
        <v>2571.3023006227363</v>
      </c>
      <c r="DA47" s="114">
        <v>6246.5004144856221</v>
      </c>
      <c r="DB47" s="114">
        <v>5833.8436991943909</v>
      </c>
      <c r="DC47" s="114">
        <v>7318.5542591311923</v>
      </c>
      <c r="DD47" s="114">
        <v>7507.6736349319781</v>
      </c>
      <c r="DE47" s="114">
        <v>7666.0131507414198</v>
      </c>
      <c r="DF47" s="114">
        <v>911.31855785761945</v>
      </c>
      <c r="DG47" s="114">
        <v>1088.9476391533819</v>
      </c>
      <c r="DH47" s="114">
        <v>6638.0022163875001</v>
      </c>
      <c r="DI47" s="114">
        <v>3746.0761682591378</v>
      </c>
      <c r="DJ47" s="114">
        <v>6188.5953482769255</v>
      </c>
      <c r="DK47" s="114">
        <v>6036.1405556867812</v>
      </c>
      <c r="DL47" s="114">
        <v>1794.2974623053644</v>
      </c>
      <c r="DM47" s="114">
        <v>1815.6915113306077</v>
      </c>
      <c r="DN47" s="114">
        <v>15884.421604133453</v>
      </c>
      <c r="DO47" s="114">
        <v>6648.6416151583271</v>
      </c>
      <c r="DP47" s="114">
        <v>7117.3424547954228</v>
      </c>
      <c r="DQ47" s="114">
        <v>9088.472973891734</v>
      </c>
      <c r="DR47" s="114">
        <v>6463.5892096709249</v>
      </c>
      <c r="DS47" s="114">
        <v>7304.5766956121852</v>
      </c>
      <c r="DT47" s="114">
        <v>1945.1338105336761</v>
      </c>
      <c r="DU47" s="114">
        <v>6603.0842834704126</v>
      </c>
      <c r="DV47" s="114">
        <v>3027.4797294052278</v>
      </c>
      <c r="DW47" s="114">
        <v>6259.5078808643621</v>
      </c>
      <c r="DX47" s="114">
        <v>7980.2862635498523</v>
      </c>
      <c r="DY47" s="114">
        <v>12644.387896013497</v>
      </c>
      <c r="DZ47" s="114">
        <v>12327.322151578075</v>
      </c>
      <c r="EA47" s="114">
        <v>14509.328141844668</v>
      </c>
      <c r="EB47" s="114">
        <v>5298.9151541916963</v>
      </c>
      <c r="EC47" s="114">
        <v>4568.992840092119</v>
      </c>
      <c r="ED47" s="114">
        <v>10138.688545302886</v>
      </c>
      <c r="EE47" s="114">
        <v>6346.5858166534554</v>
      </c>
      <c r="EF47" s="114">
        <v>8413.4335113060006</v>
      </c>
      <c r="EG47" s="114">
        <v>4205.1124138287278</v>
      </c>
      <c r="EH47" s="114">
        <v>4798.7247404132304</v>
      </c>
      <c r="EI47" s="114">
        <v>5904.9536500372924</v>
      </c>
      <c r="EJ47" s="114">
        <v>13716.656128253031</v>
      </c>
      <c r="EK47" s="114">
        <v>10500.612491380951</v>
      </c>
      <c r="EL47" s="114">
        <v>12914.751384218562</v>
      </c>
      <c r="EM47" s="114">
        <v>9042.8331897032713</v>
      </c>
      <c r="EN47" s="114">
        <v>7376.8721135241276</v>
      </c>
      <c r="EO47" s="114">
        <v>7748.0806529378442</v>
      </c>
      <c r="EP47" s="114">
        <v>4160.0225212718742</v>
      </c>
      <c r="EQ47" s="114">
        <v>6425.5917212036093</v>
      </c>
      <c r="ER47" s="114">
        <v>7485.2037433113828</v>
      </c>
      <c r="ES47" s="114">
        <v>1812.6018332943249</v>
      </c>
      <c r="ET47" s="114">
        <v>12016.029634619919</v>
      </c>
      <c r="EU47" s="114">
        <v>11774.350807687204</v>
      </c>
      <c r="EV47" s="114">
        <v>11815.451379526365</v>
      </c>
      <c r="EW47" s="114">
        <v>6863.5040267202585</v>
      </c>
      <c r="EX47" s="114">
        <v>4257.5454663102928</v>
      </c>
      <c r="EY47" s="114">
        <v>3997.5924879014055</v>
      </c>
      <c r="EZ47" s="114">
        <v>7250.0277461276564</v>
      </c>
      <c r="FA47" s="114">
        <v>6627.0634194341183</v>
      </c>
      <c r="FB47" s="114">
        <v>6603.4685749458795</v>
      </c>
      <c r="FC47" s="114">
        <v>6850.2938254500395</v>
      </c>
      <c r="FD47" s="114">
        <v>7099.0225586229844</v>
      </c>
      <c r="FE47" s="114">
        <v>7006.340081315956</v>
      </c>
      <c r="FF47" s="114">
        <v>1510.0215233551837</v>
      </c>
      <c r="FG47" s="114">
        <v>2221.835836025361</v>
      </c>
      <c r="FH47" s="114">
        <v>10194.755030587312</v>
      </c>
      <c r="FI47" s="114">
        <v>2215.0480988550266</v>
      </c>
      <c r="FJ47" s="114">
        <v>7481.0048852830541</v>
      </c>
      <c r="FK47" s="114">
        <v>7214.346753861586</v>
      </c>
      <c r="FL47" s="114">
        <v>4542.8492731940596</v>
      </c>
      <c r="FM47" s="114">
        <v>3199.6589026136244</v>
      </c>
      <c r="FN47" s="114">
        <v>11025.671134924169</v>
      </c>
      <c r="FO47" s="114">
        <v>8168.6049607784853</v>
      </c>
      <c r="FP47" s="114">
        <v>7368.4695367463928</v>
      </c>
      <c r="FQ47" s="114">
        <v>5025.1756373869248</v>
      </c>
      <c r="FR47" s="114">
        <v>9402.1755691465187</v>
      </c>
      <c r="FS47" s="114">
        <v>6123.9536422064411</v>
      </c>
      <c r="FT47" s="114">
        <v>664.09489109695346</v>
      </c>
      <c r="FU47" s="114">
        <v>6880.7313910221292</v>
      </c>
      <c r="FV47" s="114">
        <v>8976.339545451121</v>
      </c>
      <c r="FW47" s="114">
        <v>5032.9777598782739</v>
      </c>
      <c r="FX47" s="114">
        <v>11818.174500992858</v>
      </c>
      <c r="FY47" s="114">
        <v>6351.1258336096253</v>
      </c>
      <c r="FZ47" s="114">
        <v>5773.056125842907</v>
      </c>
      <c r="GA47" s="114">
        <v>5692.3399655473322</v>
      </c>
      <c r="GB47" s="114">
        <v>1761.5258972803413</v>
      </c>
      <c r="GC47" s="114">
        <v>6974.1891403860163</v>
      </c>
      <c r="GD47" s="114">
        <v>4145.284699442198</v>
      </c>
      <c r="GE47" s="114">
        <v>8121.3996632148519</v>
      </c>
      <c r="GF47" s="114">
        <v>16867.968552034195</v>
      </c>
      <c r="GG47" s="114">
        <v>13111.633450949286</v>
      </c>
      <c r="GH47" s="114">
        <v>12841.689403753764</v>
      </c>
      <c r="GI47" s="114">
        <v>13399.594644373024</v>
      </c>
      <c r="GJ47" s="114">
        <v>10123.391199259406</v>
      </c>
      <c r="GK47" s="114">
        <v>6425.6267377694221</v>
      </c>
      <c r="GL47" s="114">
        <v>12358.010571594112</v>
      </c>
      <c r="GM47" s="114">
        <v>7704.2582255886782</v>
      </c>
      <c r="GN47" s="114">
        <v>2978.7852972994715</v>
      </c>
      <c r="GO47" s="114">
        <v>1678.6966958388332</v>
      </c>
      <c r="GP47" s="114">
        <v>1468.5381305066528</v>
      </c>
      <c r="GQ47" s="114">
        <v>7434.5884434405325</v>
      </c>
      <c r="GR47" s="114">
        <v>10687.127486789974</v>
      </c>
      <c r="GS47" s="114">
        <v>7379.8890877950298</v>
      </c>
      <c r="GT47" s="115">
        <v>2285.340050778982</v>
      </c>
    </row>
    <row r="48" spans="2:202" x14ac:dyDescent="0.6">
      <c r="B48" s="106" t="s">
        <v>41</v>
      </c>
      <c r="C48" s="63" t="s">
        <v>442</v>
      </c>
      <c r="D48" s="113">
        <v>7075.3504500206318</v>
      </c>
      <c r="E48" s="114">
        <v>4706.000727272859</v>
      </c>
      <c r="F48" s="114">
        <v>5375.011797910659</v>
      </c>
      <c r="G48" s="114">
        <v>521.90249767295677</v>
      </c>
      <c r="H48" s="114">
        <v>8791.8069278802504</v>
      </c>
      <c r="I48" s="114">
        <v>8408.1400709685367</v>
      </c>
      <c r="J48" s="114">
        <v>5758.9404341242471</v>
      </c>
      <c r="K48" s="114">
        <v>13720.6342041763</v>
      </c>
      <c r="L48" s="114">
        <v>5832.5741444356145</v>
      </c>
      <c r="M48" s="114">
        <v>6066.0881587741114</v>
      </c>
      <c r="N48" s="114">
        <v>10463.8929241755</v>
      </c>
      <c r="O48" s="114">
        <v>5063.4839214730155</v>
      </c>
      <c r="P48" s="114">
        <v>8675.0808450868462</v>
      </c>
      <c r="Q48" s="114">
        <v>8458.8417180401175</v>
      </c>
      <c r="R48" s="114">
        <v>6529.167181518781</v>
      </c>
      <c r="S48" s="114">
        <v>6189.7034744409475</v>
      </c>
      <c r="T48" s="114">
        <v>11594.470536094381</v>
      </c>
      <c r="U48" s="114">
        <v>1851.2873354655128</v>
      </c>
      <c r="V48" s="114">
        <v>8675.4510599629975</v>
      </c>
      <c r="W48" s="114">
        <v>9171.27401058533</v>
      </c>
      <c r="X48" s="114">
        <v>5328.6176132733817</v>
      </c>
      <c r="Y48" s="114">
        <v>2492.288532317898</v>
      </c>
      <c r="Z48" s="114">
        <v>6962.6716078449736</v>
      </c>
      <c r="AA48" s="114">
        <v>6601.7520324895549</v>
      </c>
      <c r="AB48" s="114">
        <v>11116.597113197895</v>
      </c>
      <c r="AC48" s="114">
        <v>5262.0004061881891</v>
      </c>
      <c r="AD48" s="114">
        <v>2594.2124899367486</v>
      </c>
      <c r="AE48" s="114">
        <v>1544.0079504248104</v>
      </c>
      <c r="AF48" s="114">
        <v>4770.1950337350199</v>
      </c>
      <c r="AG48" s="114">
        <v>10013.541587201462</v>
      </c>
      <c r="AH48" s="114">
        <v>1120.6059172095047</v>
      </c>
      <c r="AI48" s="114">
        <v>975.451858398019</v>
      </c>
      <c r="AJ48" s="114">
        <v>10718.470442639884</v>
      </c>
      <c r="AK48" s="114">
        <v>10406.585093093101</v>
      </c>
      <c r="AL48" s="114">
        <v>1009.5785806087723</v>
      </c>
      <c r="AM48" s="114">
        <v>1828.414365543485</v>
      </c>
      <c r="AN48" s="114">
        <v>9345.6991425107044</v>
      </c>
      <c r="AO48" s="114">
        <v>11790.543961799143</v>
      </c>
      <c r="AP48" s="114">
        <v>11246.593899168873</v>
      </c>
      <c r="AQ48" s="114">
        <v>9968.0371102929385</v>
      </c>
      <c r="AR48" s="114">
        <v>3163.9061522954194</v>
      </c>
      <c r="AS48" s="114" t="s">
        <v>237</v>
      </c>
      <c r="AT48" s="114">
        <v>34.041501751368244</v>
      </c>
      <c r="AU48" s="114">
        <v>11108.819403095433</v>
      </c>
      <c r="AV48" s="114">
        <v>2401.9201282040281</v>
      </c>
      <c r="AW48" s="114">
        <v>5540.6370921688194</v>
      </c>
      <c r="AX48" s="114">
        <v>10965.851620735786</v>
      </c>
      <c r="AY48" s="114">
        <v>4768.0580346701618</v>
      </c>
      <c r="AZ48" s="114">
        <v>6047.4250622485888</v>
      </c>
      <c r="BA48" s="114">
        <v>6648.136534871418</v>
      </c>
      <c r="BB48" s="114">
        <v>3433.2225958719318</v>
      </c>
      <c r="BC48" s="114">
        <v>8698.8248736523037</v>
      </c>
      <c r="BD48" s="114">
        <v>9622.467674535128</v>
      </c>
      <c r="BE48" s="114">
        <v>23.029340820254728</v>
      </c>
      <c r="BF48" s="114">
        <v>10412.491558723135</v>
      </c>
      <c r="BG48" s="114">
        <v>4173.5430034435194</v>
      </c>
      <c r="BH48" s="114">
        <v>11676.266406785831</v>
      </c>
      <c r="BI48" s="114">
        <v>1149.3588419025309</v>
      </c>
      <c r="BJ48" s="114">
        <v>3355.4733313882743</v>
      </c>
      <c r="BK48" s="114">
        <v>7112.4560416981994</v>
      </c>
      <c r="BL48" s="114">
        <v>2951.951370819721</v>
      </c>
      <c r="BM48" s="114">
        <v>2960.2189995227045</v>
      </c>
      <c r="BN48" s="114">
        <v>7219.7491295810742</v>
      </c>
      <c r="BO48" s="114">
        <v>6010.8243450550444</v>
      </c>
      <c r="BP48" s="114">
        <v>843.42901554774062</v>
      </c>
      <c r="BQ48" s="114">
        <v>4011.3870451642492</v>
      </c>
      <c r="BR48" s="114">
        <v>5885.6667494930134</v>
      </c>
      <c r="BS48" s="114">
        <v>6299.716076266548</v>
      </c>
      <c r="BT48" s="114">
        <v>5844.9118771303411</v>
      </c>
      <c r="BU48" s="114">
        <v>6086.727662531438</v>
      </c>
      <c r="BV48" s="114">
        <v>2018.1841584515073</v>
      </c>
      <c r="BW48" s="114">
        <v>4735.4736137161481</v>
      </c>
      <c r="BX48" s="114">
        <v>8707.9724285079628</v>
      </c>
      <c r="BY48" s="114">
        <v>11798.454940342108</v>
      </c>
      <c r="BZ48" s="114">
        <v>3533.054683737822</v>
      </c>
      <c r="CA48" s="114">
        <v>3828.6037072985887</v>
      </c>
      <c r="CB48" s="114">
        <v>8239.6473003781339</v>
      </c>
      <c r="CC48" s="114">
        <v>9897.7749565064951</v>
      </c>
      <c r="CD48" s="114">
        <v>11465.955703319269</v>
      </c>
      <c r="CE48" s="114">
        <v>5751.2889817790892</v>
      </c>
      <c r="CF48" s="114">
        <v>8196.1516986234874</v>
      </c>
      <c r="CG48" s="114">
        <v>6812.4884619918957</v>
      </c>
      <c r="CH48" s="114">
        <v>7534.243976022346</v>
      </c>
      <c r="CI48" s="114">
        <v>10076.312743835182</v>
      </c>
      <c r="CJ48" s="114">
        <v>5798.7516493576541</v>
      </c>
      <c r="CK48" s="114">
        <v>5168.9214804340181</v>
      </c>
      <c r="CL48" s="114">
        <v>6705.9811420653741</v>
      </c>
      <c r="CM48" s="114">
        <v>6665.0350731367307</v>
      </c>
      <c r="CN48" s="114">
        <v>5109.458584803152</v>
      </c>
      <c r="CO48" s="114">
        <v>5569.8096510590231</v>
      </c>
      <c r="CP48" s="114">
        <v>10347.478101574749</v>
      </c>
      <c r="CQ48" s="114">
        <v>13359.153649151411</v>
      </c>
      <c r="CR48" s="114">
        <v>4529.1038152612291</v>
      </c>
      <c r="CS48" s="114">
        <v>8122.7078752804728</v>
      </c>
      <c r="CT48" s="114">
        <v>2376.6348606335268</v>
      </c>
      <c r="CU48" s="114">
        <v>5112.4121881983265</v>
      </c>
      <c r="CV48" s="114">
        <v>7893.4623835491529</v>
      </c>
      <c r="CW48" s="114">
        <v>9834.33658015119</v>
      </c>
      <c r="CX48" s="114">
        <v>6813.8201461048966</v>
      </c>
      <c r="CY48" s="114">
        <v>4705.4693267370385</v>
      </c>
      <c r="CZ48" s="114">
        <v>3038.4778148859546</v>
      </c>
      <c r="DA48" s="114">
        <v>3091.8488532983656</v>
      </c>
      <c r="DB48" s="114">
        <v>4100.7778069860333</v>
      </c>
      <c r="DC48" s="114">
        <v>5746.5620864710172</v>
      </c>
      <c r="DD48" s="114">
        <v>6591.9582977747923</v>
      </c>
      <c r="DE48" s="114">
        <v>6037.0169920601156</v>
      </c>
      <c r="DF48" s="114">
        <v>3818.1023243668728</v>
      </c>
      <c r="DG48" s="114">
        <v>2263.3262036729088</v>
      </c>
      <c r="DH48" s="114">
        <v>9600.2164232341183</v>
      </c>
      <c r="DI48" s="114">
        <v>6505.9974050076262</v>
      </c>
      <c r="DJ48" s="114">
        <v>3133.7020418060001</v>
      </c>
      <c r="DK48" s="114">
        <v>4434.3095866391905</v>
      </c>
      <c r="DL48" s="114">
        <v>4868.3683735303848</v>
      </c>
      <c r="DM48" s="114">
        <v>4890.2157520469664</v>
      </c>
      <c r="DN48" s="114">
        <v>12727.198566262427</v>
      </c>
      <c r="DO48" s="114">
        <v>5861.4953784707377</v>
      </c>
      <c r="DP48" s="114">
        <v>5402.8493249641733</v>
      </c>
      <c r="DQ48" s="114">
        <v>10484.053848422427</v>
      </c>
      <c r="DR48" s="114">
        <v>5215.6967892279799</v>
      </c>
      <c r="DS48" s="114">
        <v>4856.7954107346559</v>
      </c>
      <c r="DT48" s="114">
        <v>2978.9308693856783</v>
      </c>
      <c r="DU48" s="114">
        <v>9176.2712099284909</v>
      </c>
      <c r="DV48" s="114">
        <v>2012.6041120478196</v>
      </c>
      <c r="DW48" s="114">
        <v>8268.9887907790435</v>
      </c>
      <c r="DX48" s="114">
        <v>6370.765000319223</v>
      </c>
      <c r="DY48" s="114">
        <v>14963.074330452542</v>
      </c>
      <c r="DZ48" s="114">
        <v>14526.091837389766</v>
      </c>
      <c r="EA48" s="114">
        <v>11358.124946730632</v>
      </c>
      <c r="EB48" s="114">
        <v>2443.4035429616515</v>
      </c>
      <c r="EC48" s="114">
        <v>1731.4197152771101</v>
      </c>
      <c r="ED48" s="114">
        <v>12029.792311671339</v>
      </c>
      <c r="EE48" s="114">
        <v>5187.5216976747624</v>
      </c>
      <c r="EF48" s="114">
        <v>7115.7675958087693</v>
      </c>
      <c r="EG48" s="114">
        <v>5591.1540589051492</v>
      </c>
      <c r="EH48" s="114">
        <v>6464.3637006461959</v>
      </c>
      <c r="EI48" s="114">
        <v>7370.2537207168416</v>
      </c>
      <c r="EJ48" s="114">
        <v>10582.774516422925</v>
      </c>
      <c r="EK48" s="114">
        <v>8054.0878759930347</v>
      </c>
      <c r="EL48" s="114">
        <v>10158.457674045112</v>
      </c>
      <c r="EM48" s="114">
        <v>11814.911373582259</v>
      </c>
      <c r="EN48" s="114">
        <v>6300.7937470166034</v>
      </c>
      <c r="EO48" s="114">
        <v>5376.9715547257729</v>
      </c>
      <c r="EP48" s="114">
        <v>5086.8472143530998</v>
      </c>
      <c r="EQ48" s="114">
        <v>5510.1785886103935</v>
      </c>
      <c r="ER48" s="114">
        <v>6985.4664850305808</v>
      </c>
      <c r="ES48" s="114">
        <v>1663.242196956488</v>
      </c>
      <c r="ET48" s="114">
        <v>8854.6628046064161</v>
      </c>
      <c r="EU48" s="114">
        <v>8610.6322100181933</v>
      </c>
      <c r="EV48" s="114">
        <v>8652.802588145958</v>
      </c>
      <c r="EW48" s="114">
        <v>5332.3235622213342</v>
      </c>
      <c r="EX48" s="114">
        <v>1106.8548461701873</v>
      </c>
      <c r="EY48" s="114">
        <v>4640.3830135256021</v>
      </c>
      <c r="EZ48" s="114">
        <v>4150.9166826613227</v>
      </c>
      <c r="FA48" s="114">
        <v>5452.7675175147433</v>
      </c>
      <c r="FB48" s="114">
        <v>3456.8351258389785</v>
      </c>
      <c r="FC48" s="114">
        <v>9853.3077125831551</v>
      </c>
      <c r="FD48" s="114">
        <v>5832.1954721900747</v>
      </c>
      <c r="FE48" s="114">
        <v>5601.4630386357621</v>
      </c>
      <c r="FF48" s="114">
        <v>3400.4313817074094</v>
      </c>
      <c r="FG48" s="114">
        <v>2716.3547264302047</v>
      </c>
      <c r="FH48" s="114">
        <v>12166.112398311565</v>
      </c>
      <c r="FI48" s="114">
        <v>2075.3493764718824</v>
      </c>
      <c r="FJ48" s="114">
        <v>5313.9744261388623</v>
      </c>
      <c r="FK48" s="114">
        <v>5255.1118346799103</v>
      </c>
      <c r="FL48" s="114">
        <v>7271.965403359929</v>
      </c>
      <c r="FM48" s="114">
        <v>2878.8366588814883</v>
      </c>
      <c r="FN48" s="114">
        <v>7895.2931674298225</v>
      </c>
      <c r="FO48" s="114">
        <v>7068.0272294282076</v>
      </c>
      <c r="FP48" s="114">
        <v>5714.5908702662628</v>
      </c>
      <c r="FQ48" s="114">
        <v>4725.2455393492273</v>
      </c>
      <c r="FR48" s="114">
        <v>11847.321582919334</v>
      </c>
      <c r="FS48" s="114">
        <v>7231.0749288891921</v>
      </c>
      <c r="FT48" s="114">
        <v>2667.2825397016054</v>
      </c>
      <c r="FU48" s="114">
        <v>9579.0794827673035</v>
      </c>
      <c r="FV48" s="114">
        <v>12125.727726188874</v>
      </c>
      <c r="FW48" s="114">
        <v>1948.6809987030119</v>
      </c>
      <c r="FX48" s="114">
        <v>8662.439881329472</v>
      </c>
      <c r="FY48" s="114">
        <v>4571.9181298287276</v>
      </c>
      <c r="FZ48" s="114">
        <v>5190.3340700355311</v>
      </c>
      <c r="GA48" s="114">
        <v>6405.2874242610533</v>
      </c>
      <c r="GB48" s="114">
        <v>1953.0749784113414</v>
      </c>
      <c r="GC48" s="114">
        <v>6241.5904214551065</v>
      </c>
      <c r="GD48" s="114">
        <v>5275.7055381050895</v>
      </c>
      <c r="GE48" s="114">
        <v>6362.2746821994751</v>
      </c>
      <c r="GF48" s="114">
        <v>14199.751671346387</v>
      </c>
      <c r="GG48" s="114">
        <v>10264.006451037889</v>
      </c>
      <c r="GH48" s="114">
        <v>10034.461283382627</v>
      </c>
      <c r="GI48" s="114">
        <v>10511.297039778867</v>
      </c>
      <c r="GJ48" s="114">
        <v>8036.0512661901112</v>
      </c>
      <c r="GK48" s="114">
        <v>7430.5139665702536</v>
      </c>
      <c r="GL48" s="114">
        <v>9206.7666637400416</v>
      </c>
      <c r="GM48" s="114">
        <v>10199.536966278498</v>
      </c>
      <c r="GN48" s="114">
        <v>3860.8344160293732</v>
      </c>
      <c r="GO48" s="114">
        <v>1859.4788899892401</v>
      </c>
      <c r="GP48" s="114">
        <v>2247.0432825867033</v>
      </c>
      <c r="GQ48" s="114">
        <v>10241.110221348004</v>
      </c>
      <c r="GR48" s="114">
        <v>13496.383649163237</v>
      </c>
      <c r="GS48" s="114">
        <v>5787.4383487938285</v>
      </c>
      <c r="GT48" s="115">
        <v>2783.6611668696996</v>
      </c>
    </row>
    <row r="49" spans="2:202" x14ac:dyDescent="0.6">
      <c r="B49" s="106" t="s">
        <v>41</v>
      </c>
      <c r="C49" s="63" t="s">
        <v>443</v>
      </c>
      <c r="D49" s="113">
        <v>7073.7308975800333</v>
      </c>
      <c r="E49" s="114">
        <v>4675.0261357908003</v>
      </c>
      <c r="F49" s="114">
        <v>5344.2397694660785</v>
      </c>
      <c r="G49" s="114">
        <v>536.51263703813311</v>
      </c>
      <c r="H49" s="114">
        <v>8763.1062554074542</v>
      </c>
      <c r="I49" s="114">
        <v>8406.5592905163867</v>
      </c>
      <c r="J49" s="114">
        <v>5745.8454201892246</v>
      </c>
      <c r="K49" s="114">
        <v>13754.550899332484</v>
      </c>
      <c r="L49" s="114">
        <v>5806.4763523628299</v>
      </c>
      <c r="M49" s="114">
        <v>6055.0097938479903</v>
      </c>
      <c r="N49" s="114">
        <v>10433.305878051098</v>
      </c>
      <c r="O49" s="114">
        <v>5060.7733186461182</v>
      </c>
      <c r="P49" s="114">
        <v>8683.3564731665938</v>
      </c>
      <c r="Q49" s="114">
        <v>8431.4119852810927</v>
      </c>
      <c r="R49" s="114">
        <v>6506.1617141116794</v>
      </c>
      <c r="S49" s="114">
        <v>6160.4120719227103</v>
      </c>
      <c r="T49" s="114">
        <v>11566.324853015843</v>
      </c>
      <c r="U49" s="114">
        <v>1817.9570397031403</v>
      </c>
      <c r="V49" s="114">
        <v>8681.3821730941982</v>
      </c>
      <c r="W49" s="114">
        <v>9157.813416073388</v>
      </c>
      <c r="X49" s="114">
        <v>5303.3511801001277</v>
      </c>
      <c r="Y49" s="114">
        <v>2525.3385975864589</v>
      </c>
      <c r="Z49" s="114">
        <v>6954.0392101000289</v>
      </c>
      <c r="AA49" s="114">
        <v>6593.0055129480243</v>
      </c>
      <c r="AB49" s="114">
        <v>11136.242653170513</v>
      </c>
      <c r="AC49" s="114">
        <v>5238.8391824956789</v>
      </c>
      <c r="AD49" s="114">
        <v>2560.3465416145036</v>
      </c>
      <c r="AE49" s="114">
        <v>1563.6628242282923</v>
      </c>
      <c r="AF49" s="114">
        <v>4738.9442818221069</v>
      </c>
      <c r="AG49" s="114">
        <v>10029.391024652245</v>
      </c>
      <c r="AH49" s="114">
        <v>1086.7113925493966</v>
      </c>
      <c r="AI49" s="114">
        <v>942.20776781033771</v>
      </c>
      <c r="AJ49" s="114">
        <v>10684.709565489264</v>
      </c>
      <c r="AK49" s="114">
        <v>10372.713598894978</v>
      </c>
      <c r="AL49" s="114">
        <v>992.2983438146581</v>
      </c>
      <c r="AM49" s="114">
        <v>1801.1990422604135</v>
      </c>
      <c r="AN49" s="114">
        <v>9342.0934351507476</v>
      </c>
      <c r="AO49" s="114">
        <v>11795.157889177519</v>
      </c>
      <c r="AP49" s="114">
        <v>11246.349018808254</v>
      </c>
      <c r="AQ49" s="114">
        <v>9944.6104864166155</v>
      </c>
      <c r="AR49" s="114">
        <v>3191.8975856681373</v>
      </c>
      <c r="AS49" s="114">
        <v>34.041501751368244</v>
      </c>
      <c r="AT49" s="114" t="s">
        <v>237</v>
      </c>
      <c r="AU49" s="114">
        <v>11083.489152383647</v>
      </c>
      <c r="AV49" s="114">
        <v>2370.9776951716831</v>
      </c>
      <c r="AW49" s="114">
        <v>5514.3449365962842</v>
      </c>
      <c r="AX49" s="114">
        <v>10935.841226017685</v>
      </c>
      <c r="AY49" s="114">
        <v>4751.5461814184564</v>
      </c>
      <c r="AZ49" s="114">
        <v>6020.7144470158864</v>
      </c>
      <c r="BA49" s="114">
        <v>6621.0245276240666</v>
      </c>
      <c r="BB49" s="114">
        <v>3438.6765331209522</v>
      </c>
      <c r="BC49" s="114">
        <v>8670.7335984644051</v>
      </c>
      <c r="BD49" s="114">
        <v>9593.6721071868906</v>
      </c>
      <c r="BE49" s="114">
        <v>12.675879101996738</v>
      </c>
      <c r="BF49" s="114">
        <v>10391.212833597579</v>
      </c>
      <c r="BG49" s="114">
        <v>4157.609568470888</v>
      </c>
      <c r="BH49" s="114">
        <v>11649.492243147941</v>
      </c>
      <c r="BI49" s="114">
        <v>1115.3430346113996</v>
      </c>
      <c r="BJ49" s="114">
        <v>3354.64767219755</v>
      </c>
      <c r="BK49" s="114">
        <v>7088.1199543704852</v>
      </c>
      <c r="BL49" s="114">
        <v>2985.8028290855323</v>
      </c>
      <c r="BM49" s="114">
        <v>2965.7121342929227</v>
      </c>
      <c r="BN49" s="114">
        <v>7195.4602917947986</v>
      </c>
      <c r="BO49" s="114">
        <v>5980.8964500290849</v>
      </c>
      <c r="BP49" s="114">
        <v>810.42840821809875</v>
      </c>
      <c r="BQ49" s="114">
        <v>3979.6695102675167</v>
      </c>
      <c r="BR49" s="114">
        <v>5872.0853115475065</v>
      </c>
      <c r="BS49" s="114">
        <v>6272.7666216032358</v>
      </c>
      <c r="BT49" s="114">
        <v>5817.3859998684393</v>
      </c>
      <c r="BU49" s="114">
        <v>6058.4940770824205</v>
      </c>
      <c r="BV49" s="114">
        <v>1985.9916203177449</v>
      </c>
      <c r="BW49" s="114">
        <v>4713.0442946250514</v>
      </c>
      <c r="BX49" s="114">
        <v>8681.0165172024099</v>
      </c>
      <c r="BY49" s="114">
        <v>11771.308616290162</v>
      </c>
      <c r="BZ49" s="114">
        <v>3502.343530718641</v>
      </c>
      <c r="CA49" s="114">
        <v>3797.3700421234162</v>
      </c>
      <c r="CB49" s="114">
        <v>8214.7095647664391</v>
      </c>
      <c r="CC49" s="114">
        <v>9869.0193988057272</v>
      </c>
      <c r="CD49" s="114">
        <v>11438.925436749714</v>
      </c>
      <c r="CE49" s="114">
        <v>5726.1576291866322</v>
      </c>
      <c r="CF49" s="114">
        <v>8164.8804388720782</v>
      </c>
      <c r="CG49" s="114">
        <v>6821.1014155353259</v>
      </c>
      <c r="CH49" s="114">
        <v>7537.8564139965183</v>
      </c>
      <c r="CI49" s="114">
        <v>10100.493134908002</v>
      </c>
      <c r="CJ49" s="114">
        <v>5790.830296304508</v>
      </c>
      <c r="CK49" s="114">
        <v>5159.1074980010208</v>
      </c>
      <c r="CL49" s="114">
        <v>6675.0127334397957</v>
      </c>
      <c r="CM49" s="114">
        <v>6631.5266096305104</v>
      </c>
      <c r="CN49" s="114">
        <v>5081.9344640904174</v>
      </c>
      <c r="CO49" s="114">
        <v>5541.4495537261491</v>
      </c>
      <c r="CP49" s="114">
        <v>10318.945273595918</v>
      </c>
      <c r="CQ49" s="114">
        <v>13359.025719398642</v>
      </c>
      <c r="CR49" s="114">
        <v>4515.3002938956379</v>
      </c>
      <c r="CS49" s="114">
        <v>8112.2559331702987</v>
      </c>
      <c r="CT49" s="114">
        <v>2394.4496924253222</v>
      </c>
      <c r="CU49" s="114">
        <v>5106.6001509649041</v>
      </c>
      <c r="CV49" s="114">
        <v>7888.2262333250628</v>
      </c>
      <c r="CW49" s="114">
        <v>9846.729205731177</v>
      </c>
      <c r="CX49" s="114">
        <v>6789.6094629415475</v>
      </c>
      <c r="CY49" s="114">
        <v>4690.7119856888676</v>
      </c>
      <c r="CZ49" s="114">
        <v>3071.2394096303956</v>
      </c>
      <c r="DA49" s="114">
        <v>3062.0793951913643</v>
      </c>
      <c r="DB49" s="114">
        <v>4073.2634088598993</v>
      </c>
      <c r="DC49" s="114">
        <v>5718.3293118475376</v>
      </c>
      <c r="DD49" s="114">
        <v>6568.2451983143901</v>
      </c>
      <c r="DE49" s="114">
        <v>6008.0792076664147</v>
      </c>
      <c r="DF49" s="114">
        <v>3849.2613314767555</v>
      </c>
      <c r="DG49" s="114">
        <v>2295.0700856781623</v>
      </c>
      <c r="DH49" s="114">
        <v>9620.0964893822638</v>
      </c>
      <c r="DI49" s="114">
        <v>6523.9409234964032</v>
      </c>
      <c r="DJ49" s="114">
        <v>3100.7371108210264</v>
      </c>
      <c r="DK49" s="114">
        <v>4407.4650097266049</v>
      </c>
      <c r="DL49" s="114">
        <v>4898.953538673034</v>
      </c>
      <c r="DM49" s="114">
        <v>4920.8046028585068</v>
      </c>
      <c r="DN49" s="114">
        <v>12698.240277522273</v>
      </c>
      <c r="DO49" s="114">
        <v>5839.9716657361541</v>
      </c>
      <c r="DP49" s="114">
        <v>5373.8490723745308</v>
      </c>
      <c r="DQ49" s="114">
        <v>10478.904545466126</v>
      </c>
      <c r="DR49" s="114">
        <v>5190.8806329917397</v>
      </c>
      <c r="DS49" s="114">
        <v>4823.5266088319877</v>
      </c>
      <c r="DT49" s="114">
        <v>3012.9170893449709</v>
      </c>
      <c r="DU49" s="114">
        <v>9188.9612603738206</v>
      </c>
      <c r="DV49" s="114">
        <v>2040.9241244218003</v>
      </c>
      <c r="DW49" s="114">
        <v>8274.3539354016084</v>
      </c>
      <c r="DX49" s="114">
        <v>6341.6898164788126</v>
      </c>
      <c r="DY49" s="114">
        <v>14995.8073604198</v>
      </c>
      <c r="DZ49" s="114">
        <v>14558.389632859878</v>
      </c>
      <c r="EA49" s="114">
        <v>11331.838484142225</v>
      </c>
      <c r="EB49" s="114">
        <v>2409.3948674087601</v>
      </c>
      <c r="EC49" s="114">
        <v>1697.7449211833741</v>
      </c>
      <c r="ED49" s="114">
        <v>12029.323396832331</v>
      </c>
      <c r="EE49" s="114">
        <v>5163.5714296295655</v>
      </c>
      <c r="EF49" s="114">
        <v>7088.3719127294207</v>
      </c>
      <c r="EG49" s="114">
        <v>5593.3994285267054</v>
      </c>
      <c r="EH49" s="114">
        <v>6468.0547615398682</v>
      </c>
      <c r="EI49" s="114">
        <v>7370.0537188813541</v>
      </c>
      <c r="EJ49" s="114">
        <v>10557.563408022652</v>
      </c>
      <c r="EK49" s="114">
        <v>8045.8048540043346</v>
      </c>
      <c r="EL49" s="114">
        <v>10143.020501265453</v>
      </c>
      <c r="EM49" s="114">
        <v>11829.467259613773</v>
      </c>
      <c r="EN49" s="114">
        <v>6276.0403590413125</v>
      </c>
      <c r="EO49" s="114">
        <v>5343.8650607886775</v>
      </c>
      <c r="EP49" s="114">
        <v>5085.2346140815307</v>
      </c>
      <c r="EQ49" s="114">
        <v>5488.0021673186639</v>
      </c>
      <c r="ER49" s="114">
        <v>6965.0087158104643</v>
      </c>
      <c r="ES49" s="114">
        <v>1680.0051621282319</v>
      </c>
      <c r="ET49" s="114">
        <v>8825.971132967994</v>
      </c>
      <c r="EU49" s="114">
        <v>8582.9183020754645</v>
      </c>
      <c r="EV49" s="114">
        <v>8625.4385870848455</v>
      </c>
      <c r="EW49" s="114">
        <v>5304.8703193331812</v>
      </c>
      <c r="EX49" s="114">
        <v>1076.0221966500142</v>
      </c>
      <c r="EY49" s="114">
        <v>4636.9722343027333</v>
      </c>
      <c r="EZ49" s="114">
        <v>4119.0054055750852</v>
      </c>
      <c r="FA49" s="114">
        <v>5428.2698446191025</v>
      </c>
      <c r="FB49" s="114">
        <v>3426.5208174634154</v>
      </c>
      <c r="FC49" s="114">
        <v>9874.1009548052934</v>
      </c>
      <c r="FD49" s="114">
        <v>5806.3733910646779</v>
      </c>
      <c r="FE49" s="114">
        <v>5574.7479772591969</v>
      </c>
      <c r="FF49" s="114">
        <v>3416.3829141249134</v>
      </c>
      <c r="FG49" s="114">
        <v>2749.8685429736738</v>
      </c>
      <c r="FH49" s="114">
        <v>12166.644414466748</v>
      </c>
      <c r="FI49" s="114">
        <v>2081.4203341341386</v>
      </c>
      <c r="FJ49" s="114">
        <v>5281.9449056448775</v>
      </c>
      <c r="FK49" s="114">
        <v>5224.448190666305</v>
      </c>
      <c r="FL49" s="114">
        <v>7288.7362854386074</v>
      </c>
      <c r="FM49" s="114">
        <v>2872.7770025240566</v>
      </c>
      <c r="FN49" s="114">
        <v>7870.6379815012378</v>
      </c>
      <c r="FO49" s="114">
        <v>7042.2231381111142</v>
      </c>
      <c r="FP49" s="114">
        <v>5685.7568256320947</v>
      </c>
      <c r="FQ49" s="114">
        <v>4711.0791487329552</v>
      </c>
      <c r="FR49" s="114">
        <v>11855.681517268244</v>
      </c>
      <c r="FS49" s="114">
        <v>7226.9345642979106</v>
      </c>
      <c r="FT49" s="114">
        <v>2691.9251003560344</v>
      </c>
      <c r="FU49" s="114">
        <v>9593.625111906862</v>
      </c>
      <c r="FV49" s="114">
        <v>12151.570733973636</v>
      </c>
      <c r="FW49" s="114">
        <v>1915.7458542327167</v>
      </c>
      <c r="FX49" s="114">
        <v>8635.9973960548414</v>
      </c>
      <c r="FY49" s="114">
        <v>4543.3160171618283</v>
      </c>
      <c r="FZ49" s="114">
        <v>5172.0522187296938</v>
      </c>
      <c r="GA49" s="114">
        <v>6398.2163720376811</v>
      </c>
      <c r="GB49" s="114">
        <v>1967.4763410482531</v>
      </c>
      <c r="GC49" s="114">
        <v>6220.0045763058843</v>
      </c>
      <c r="GD49" s="114">
        <v>5275.85461874065</v>
      </c>
      <c r="GE49" s="114">
        <v>6332.1635849442437</v>
      </c>
      <c r="GF49" s="114">
        <v>14166.251976996286</v>
      </c>
      <c r="GG49" s="114">
        <v>10230.50590853908</v>
      </c>
      <c r="GH49" s="114">
        <v>10000.785596180369</v>
      </c>
      <c r="GI49" s="114">
        <v>10478.017645550717</v>
      </c>
      <c r="GJ49" s="114">
        <v>8033.5831148003508</v>
      </c>
      <c r="GK49" s="114">
        <v>7424.8948466873317</v>
      </c>
      <c r="GL49" s="114">
        <v>9180.6644629859256</v>
      </c>
      <c r="GM49" s="114">
        <v>10210.12409371035</v>
      </c>
      <c r="GN49" s="114">
        <v>3863.3087016593145</v>
      </c>
      <c r="GO49" s="114">
        <v>1893.1007453578761</v>
      </c>
      <c r="GP49" s="114">
        <v>2280.6452209217014</v>
      </c>
      <c r="GQ49" s="114">
        <v>10257.302515135554</v>
      </c>
      <c r="GR49" s="114">
        <v>13530.316571686968</v>
      </c>
      <c r="GS49" s="114">
        <v>5759.0061978842832</v>
      </c>
      <c r="GT49" s="115">
        <v>2817.0530937916415</v>
      </c>
    </row>
    <row r="50" spans="2:202" x14ac:dyDescent="0.6">
      <c r="B50" s="106" t="s">
        <v>42</v>
      </c>
      <c r="C50" s="63" t="s">
        <v>326</v>
      </c>
      <c r="D50" s="113">
        <v>14377.847375564801</v>
      </c>
      <c r="E50" s="114">
        <v>9121.3689770017972</v>
      </c>
      <c r="F50" s="114">
        <v>8913.1927392351154</v>
      </c>
      <c r="G50" s="114">
        <v>10942.687050737733</v>
      </c>
      <c r="H50" s="114">
        <v>2540.4540841115981</v>
      </c>
      <c r="I50" s="114">
        <v>5684.0846388126329</v>
      </c>
      <c r="J50" s="114">
        <v>12360.311289465959</v>
      </c>
      <c r="K50" s="114">
        <v>13808.821826719632</v>
      </c>
      <c r="L50" s="114">
        <v>9966.1622432907679</v>
      </c>
      <c r="M50" s="114">
        <v>12707.822093636671</v>
      </c>
      <c r="N50" s="114">
        <v>1868.3066626101775</v>
      </c>
      <c r="O50" s="114">
        <v>13685.310117335235</v>
      </c>
      <c r="P50" s="114">
        <v>16295.479836867929</v>
      </c>
      <c r="Q50" s="114">
        <v>2722.1291493756094</v>
      </c>
      <c r="R50" s="114">
        <v>10516.265724966679</v>
      </c>
      <c r="S50" s="114">
        <v>9064.9740356886341</v>
      </c>
      <c r="T50" s="114">
        <v>966.34787944050265</v>
      </c>
      <c r="U50" s="114">
        <v>9504.5023816218909</v>
      </c>
      <c r="V50" s="114">
        <v>15856.443438648525</v>
      </c>
      <c r="W50" s="114">
        <v>3356.7894877412909</v>
      </c>
      <c r="X50" s="114">
        <v>10248.71244308333</v>
      </c>
      <c r="Y50" s="114">
        <v>12419.870280892968</v>
      </c>
      <c r="Z50" s="114">
        <v>5482.6769594613916</v>
      </c>
      <c r="AA50" s="114">
        <v>5726.0965563012032</v>
      </c>
      <c r="AB50" s="114">
        <v>17390.339943364237</v>
      </c>
      <c r="AC50" s="114">
        <v>10667.693361638958</v>
      </c>
      <c r="AD50" s="114">
        <v>9002.6117306562101</v>
      </c>
      <c r="AE50" s="114">
        <v>12608.736674696203</v>
      </c>
      <c r="AF50" s="114">
        <v>6602.3358645755552</v>
      </c>
      <c r="AG50" s="114">
        <v>17509.518372655974</v>
      </c>
      <c r="AH50" s="114">
        <v>10340.149554151916</v>
      </c>
      <c r="AI50" s="114">
        <v>10530.485042041439</v>
      </c>
      <c r="AJ50" s="114">
        <v>3823.5330452735157</v>
      </c>
      <c r="AK50" s="114">
        <v>4056.2610810833339</v>
      </c>
      <c r="AL50" s="114">
        <v>11280.266372341146</v>
      </c>
      <c r="AM50" s="114">
        <v>10707.055189429215</v>
      </c>
      <c r="AN50" s="114">
        <v>4971.7272022359211</v>
      </c>
      <c r="AO50" s="114">
        <v>14730.841793251222</v>
      </c>
      <c r="AP50" s="114">
        <v>14170.279903942428</v>
      </c>
      <c r="AQ50" s="114">
        <v>1248.1679483355517</v>
      </c>
      <c r="AR50" s="114">
        <v>14243.630207316872</v>
      </c>
      <c r="AS50" s="114">
        <v>11108.819403095433</v>
      </c>
      <c r="AT50" s="114">
        <v>11083.489152383647</v>
      </c>
      <c r="AU50" s="114" t="s">
        <v>237</v>
      </c>
      <c r="AV50" s="114">
        <v>8815.421897543165</v>
      </c>
      <c r="AW50" s="114">
        <v>9988.0205901314603</v>
      </c>
      <c r="AX50" s="114">
        <v>1516.6096693829857</v>
      </c>
      <c r="AY50" s="114">
        <v>11777.601697956086</v>
      </c>
      <c r="AZ50" s="114">
        <v>9775.3767531087124</v>
      </c>
      <c r="BA50" s="114">
        <v>9532.0418238135844</v>
      </c>
      <c r="BB50" s="114">
        <v>13641.439157096387</v>
      </c>
      <c r="BC50" s="114">
        <v>2550.8333718114104</v>
      </c>
      <c r="BD50" s="114">
        <v>1834.6003385558402</v>
      </c>
      <c r="BE50" s="114">
        <v>11088.687959846313</v>
      </c>
      <c r="BF50" s="114">
        <v>1247.8875556738765</v>
      </c>
      <c r="BG50" s="114">
        <v>11816.060846653882</v>
      </c>
      <c r="BH50" s="114">
        <v>699.70178615386044</v>
      </c>
      <c r="BI50" s="114">
        <v>10219.713045715236</v>
      </c>
      <c r="BJ50" s="114">
        <v>13116.518852222142</v>
      </c>
      <c r="BK50" s="114">
        <v>10119.614406555553</v>
      </c>
      <c r="BL50" s="114">
        <v>12969.352498691585</v>
      </c>
      <c r="BM50" s="114">
        <v>13317.155588276202</v>
      </c>
      <c r="BN50" s="114">
        <v>10111.440700074118</v>
      </c>
      <c r="BO50" s="114">
        <v>8936.4056863498608</v>
      </c>
      <c r="BP50" s="114">
        <v>10362.580052866344</v>
      </c>
      <c r="BQ50" s="114">
        <v>7361.1321159565041</v>
      </c>
      <c r="BR50" s="114">
        <v>12290.327611995664</v>
      </c>
      <c r="BS50" s="114">
        <v>9657.2349395752135</v>
      </c>
      <c r="BT50" s="114">
        <v>9629.454779920261</v>
      </c>
      <c r="BU50" s="114">
        <v>9385.4769932040726</v>
      </c>
      <c r="BV50" s="114">
        <v>9248.9945577926228</v>
      </c>
      <c r="BW50" s="114">
        <v>10861.036733565017</v>
      </c>
      <c r="BX50" s="114">
        <v>2447.742870286163</v>
      </c>
      <c r="BY50" s="114">
        <v>863.32798389767754</v>
      </c>
      <c r="BZ50" s="114">
        <v>7721.5287822159398</v>
      </c>
      <c r="CA50" s="114">
        <v>7482.3205996355819</v>
      </c>
      <c r="CB50" s="114">
        <v>2871.006376797608</v>
      </c>
      <c r="CC50" s="114">
        <v>1609.6351461649424</v>
      </c>
      <c r="CD50" s="114">
        <v>604.67756869235996</v>
      </c>
      <c r="CE50" s="114">
        <v>10194.587029156417</v>
      </c>
      <c r="CF50" s="114">
        <v>7739.8279077829638</v>
      </c>
      <c r="CG50" s="114">
        <v>15948.181567385009</v>
      </c>
      <c r="CH50" s="114">
        <v>15337.172280316259</v>
      </c>
      <c r="CI50" s="114">
        <v>18804.653221713859</v>
      </c>
      <c r="CJ50" s="114">
        <v>13161.498140645856</v>
      </c>
      <c r="CK50" s="114">
        <v>12774.657967768529</v>
      </c>
      <c r="CL50" s="114">
        <v>8351.8452274220544</v>
      </c>
      <c r="CM50" s="114">
        <v>5595.5254251039996</v>
      </c>
      <c r="CN50" s="114">
        <v>9823.4230049900943</v>
      </c>
      <c r="CO50" s="114">
        <v>9500.3040743254878</v>
      </c>
      <c r="CP50" s="114">
        <v>1241.3464527499787</v>
      </c>
      <c r="CQ50" s="114">
        <v>13208.517861380833</v>
      </c>
      <c r="CR50" s="114">
        <v>12132.472218954017</v>
      </c>
      <c r="CS50" s="114">
        <v>12864.667945998695</v>
      </c>
      <c r="CT50" s="114">
        <v>13371.291933560211</v>
      </c>
      <c r="CU50" s="114">
        <v>13302.796161230899</v>
      </c>
      <c r="CV50" s="114">
        <v>13823.424223600563</v>
      </c>
      <c r="CW50" s="114">
        <v>16919.498076006155</v>
      </c>
      <c r="CX50" s="114">
        <v>10202.317001631838</v>
      </c>
      <c r="CY50" s="114">
        <v>12022.514227609967</v>
      </c>
      <c r="CZ50" s="114">
        <v>12587.154631868645</v>
      </c>
      <c r="DA50" s="114">
        <v>8096.4345408418576</v>
      </c>
      <c r="DB50" s="114">
        <v>10093.867231206543</v>
      </c>
      <c r="DC50" s="114">
        <v>9481.4148340023585</v>
      </c>
      <c r="DD50" s="114">
        <v>10352.433832632572</v>
      </c>
      <c r="DE50" s="114">
        <v>9211.1346905220616</v>
      </c>
      <c r="DF50" s="114">
        <v>14686.80966534754</v>
      </c>
      <c r="DG50" s="114">
        <v>13211.459930759309</v>
      </c>
      <c r="DH50" s="114">
        <v>18486.681679323778</v>
      </c>
      <c r="DI50" s="114">
        <v>17083.150270980517</v>
      </c>
      <c r="DJ50" s="114">
        <v>8326.2955689105966</v>
      </c>
      <c r="DK50" s="114">
        <v>10133.78804960729</v>
      </c>
      <c r="DL50" s="114">
        <v>15707.038576730549</v>
      </c>
      <c r="DM50" s="114">
        <v>15726.275211049408</v>
      </c>
      <c r="DN50" s="114">
        <v>1944.5787970282631</v>
      </c>
      <c r="DO50" s="114">
        <v>10903.189406704601</v>
      </c>
      <c r="DP50" s="114">
        <v>9390.2391395576251</v>
      </c>
      <c r="DQ50" s="114">
        <v>13534.254639976449</v>
      </c>
      <c r="DR50" s="114">
        <v>10359.751778652202</v>
      </c>
      <c r="DS50" s="114">
        <v>8237.9004999331046</v>
      </c>
      <c r="DT50" s="114">
        <v>13098.103771780396</v>
      </c>
      <c r="DU50" s="114">
        <v>17123.917378339804</v>
      </c>
      <c r="DV50" s="114">
        <v>11538.898974004078</v>
      </c>
      <c r="DW50" s="114">
        <v>15740.060931192724</v>
      </c>
      <c r="DX50" s="114">
        <v>9071.9466985534709</v>
      </c>
      <c r="DY50" s="114">
        <v>11636.846478850239</v>
      </c>
      <c r="DZ50" s="114">
        <v>11671.559505303683</v>
      </c>
      <c r="EA50" s="114">
        <v>366.85309846557169</v>
      </c>
      <c r="EB50" s="114">
        <v>9345.6895003340742</v>
      </c>
      <c r="EC50" s="114">
        <v>9986.3747754693286</v>
      </c>
      <c r="ED50" s="114">
        <v>13815.462081477915</v>
      </c>
      <c r="EE50" s="114">
        <v>10530.970254377087</v>
      </c>
      <c r="EF50" s="114">
        <v>9343.2803533973547</v>
      </c>
      <c r="EG50" s="114">
        <v>14525.710939957462</v>
      </c>
      <c r="EH50" s="114">
        <v>15066.375216474215</v>
      </c>
      <c r="EI50" s="114">
        <v>14660.97649855969</v>
      </c>
      <c r="EJ50" s="114">
        <v>527.01979908193186</v>
      </c>
      <c r="EK50" s="114">
        <v>4819.3248176568004</v>
      </c>
      <c r="EL50" s="114">
        <v>2518.6996832380305</v>
      </c>
      <c r="EM50" s="114">
        <v>16180.457944712292</v>
      </c>
      <c r="EN50" s="114">
        <v>10172.666652255264</v>
      </c>
      <c r="EO50" s="114">
        <v>8038.8844585801853</v>
      </c>
      <c r="EP50" s="114">
        <v>13831.011072012316</v>
      </c>
      <c r="EQ50" s="114">
        <v>10819.434608183119</v>
      </c>
      <c r="ER50" s="114">
        <v>10992.157440384564</v>
      </c>
      <c r="ES50" s="114">
        <v>12674.513041320692</v>
      </c>
      <c r="ET50" s="114">
        <v>2482.0619498172882</v>
      </c>
      <c r="EU50" s="114">
        <v>2597.9696111147728</v>
      </c>
      <c r="EV50" s="114">
        <v>2528.8609407509125</v>
      </c>
      <c r="EW50" s="114">
        <v>9780.4939705256966</v>
      </c>
      <c r="EX50" s="114">
        <v>10050.656558487968</v>
      </c>
      <c r="EY50" s="114">
        <v>13446.276781079734</v>
      </c>
      <c r="EZ50" s="114">
        <v>7256.2920315101683</v>
      </c>
      <c r="FA50" s="114">
        <v>10380.551679321208</v>
      </c>
      <c r="FB50" s="114">
        <v>7769.8254324299523</v>
      </c>
      <c r="FC50" s="114">
        <v>18524.012099332373</v>
      </c>
      <c r="FD50" s="114">
        <v>10027.869236669156</v>
      </c>
      <c r="FE50" s="114">
        <v>9880.0080891452399</v>
      </c>
      <c r="FF50" s="114">
        <v>14251.615503600287</v>
      </c>
      <c r="FG50" s="114">
        <v>12677.220684669455</v>
      </c>
      <c r="FH50" s="114">
        <v>13911.33142125266</v>
      </c>
      <c r="FI50" s="114">
        <v>12702.97848158803</v>
      </c>
      <c r="FJ50" s="114">
        <v>8525.6102436495567</v>
      </c>
      <c r="FK50" s="114">
        <v>8991.4963279968651</v>
      </c>
      <c r="FL50" s="114">
        <v>17456.694276098086</v>
      </c>
      <c r="FM50" s="114">
        <v>12481.705207638734</v>
      </c>
      <c r="FN50" s="114">
        <v>3218.4279765998108</v>
      </c>
      <c r="FO50" s="114">
        <v>9771.1680699597982</v>
      </c>
      <c r="FP50" s="114">
        <v>9336.6844654622146</v>
      </c>
      <c r="FQ50" s="114">
        <v>12106.409305012434</v>
      </c>
      <c r="FR50" s="114">
        <v>15274.35079773347</v>
      </c>
      <c r="FS50" s="114">
        <v>13975.148510648783</v>
      </c>
      <c r="FT50" s="114">
        <v>13774.370135136964</v>
      </c>
      <c r="FU50" s="114">
        <v>17413.532115167724</v>
      </c>
      <c r="FV50" s="114">
        <v>16792.171784247763</v>
      </c>
      <c r="FW50" s="114">
        <v>9373.7775990197988</v>
      </c>
      <c r="FX50" s="114">
        <v>2467.600159397175</v>
      </c>
      <c r="FY50" s="114">
        <v>9742.4663778250197</v>
      </c>
      <c r="FZ50" s="114">
        <v>11513.677006373129</v>
      </c>
      <c r="GA50" s="114">
        <v>13388.966980652653</v>
      </c>
      <c r="GB50" s="114">
        <v>12886.470355089072</v>
      </c>
      <c r="GC50" s="114">
        <v>10848.209749595751</v>
      </c>
      <c r="GD50" s="114">
        <v>14125.75341716699</v>
      </c>
      <c r="GE50" s="114">
        <v>8761.898434145005</v>
      </c>
      <c r="GF50" s="114">
        <v>4423.6787644807482</v>
      </c>
      <c r="GG50" s="114">
        <v>3602.8964294649836</v>
      </c>
      <c r="GH50" s="114">
        <v>3861.1260515043969</v>
      </c>
      <c r="GI50" s="114">
        <v>3337.9504299655428</v>
      </c>
      <c r="GJ50" s="114">
        <v>5712.7847536649097</v>
      </c>
      <c r="GK50" s="114">
        <v>13737.163366326304</v>
      </c>
      <c r="GL50" s="114">
        <v>1915.0827463017008</v>
      </c>
      <c r="GM50" s="114">
        <v>16457.077992205253</v>
      </c>
      <c r="GN50" s="114">
        <v>13673.636448864161</v>
      </c>
      <c r="GO50" s="114">
        <v>12649.127997633768</v>
      </c>
      <c r="GP50" s="114">
        <v>12966.450327573901</v>
      </c>
      <c r="GQ50" s="114">
        <v>17461.842145957355</v>
      </c>
      <c r="GR50" s="114">
        <v>13940.801464362692</v>
      </c>
      <c r="GS50" s="114">
        <v>9419.0930308235038</v>
      </c>
      <c r="GT50" s="115">
        <v>12667.482947602812</v>
      </c>
    </row>
    <row r="51" spans="2:202" x14ac:dyDescent="0.6">
      <c r="B51" s="106" t="s">
        <v>43</v>
      </c>
      <c r="C51" s="63" t="s">
        <v>546</v>
      </c>
      <c r="D51" s="113">
        <v>8125.3104592149502</v>
      </c>
      <c r="E51" s="114">
        <v>3530.5394139261348</v>
      </c>
      <c r="F51" s="114">
        <v>4144.0807739146558</v>
      </c>
      <c r="G51" s="114">
        <v>2448.7792021523469</v>
      </c>
      <c r="H51" s="114">
        <v>6416.6879877450747</v>
      </c>
      <c r="I51" s="114">
        <v>7428.5123542549254</v>
      </c>
      <c r="J51" s="114">
        <v>6172.1413417618105</v>
      </c>
      <c r="K51" s="114">
        <v>15929.379766825115</v>
      </c>
      <c r="L51" s="114">
        <v>5129.9036112088424</v>
      </c>
      <c r="M51" s="114">
        <v>6589.8203657571221</v>
      </c>
      <c r="N51" s="114">
        <v>8062.8869097165416</v>
      </c>
      <c r="O51" s="114">
        <v>6201.9929503892863</v>
      </c>
      <c r="P51" s="114">
        <v>10206.395952630435</v>
      </c>
      <c r="Q51" s="114">
        <v>6116.004358981163</v>
      </c>
      <c r="R51" s="114">
        <v>6061.1130368881886</v>
      </c>
      <c r="S51" s="114">
        <v>5080.4672038250092</v>
      </c>
      <c r="T51" s="114">
        <v>9225.8037530058264</v>
      </c>
      <c r="U51" s="114">
        <v>719.67584232235549</v>
      </c>
      <c r="V51" s="114">
        <v>10076.811730894366</v>
      </c>
      <c r="W51" s="114">
        <v>7441.206406864344</v>
      </c>
      <c r="X51" s="114">
        <v>4773.402331242386</v>
      </c>
      <c r="Y51" s="114">
        <v>4608.7296770828189</v>
      </c>
      <c r="Z51" s="114">
        <v>5628.942371543536</v>
      </c>
      <c r="AA51" s="114">
        <v>5286.959419388224</v>
      </c>
      <c r="AB51" s="114">
        <v>13155.373202493551</v>
      </c>
      <c r="AC51" s="114">
        <v>4921.7604206892165</v>
      </c>
      <c r="AD51" s="114">
        <v>813.66625809022196</v>
      </c>
      <c r="AE51" s="114">
        <v>3807.3855614505146</v>
      </c>
      <c r="AF51" s="114">
        <v>2369.2062962798782</v>
      </c>
      <c r="AG51" s="114">
        <v>11894.451964887121</v>
      </c>
      <c r="AH51" s="114">
        <v>1528.1963657574138</v>
      </c>
      <c r="AI51" s="114">
        <v>1716.6659748633613</v>
      </c>
      <c r="AJ51" s="114">
        <v>8423.2369515211994</v>
      </c>
      <c r="AK51" s="114">
        <v>8134.8214328118038</v>
      </c>
      <c r="AL51" s="114">
        <v>2482.1875885623085</v>
      </c>
      <c r="AM51" s="114">
        <v>2178.0107829399603</v>
      </c>
      <c r="AN51" s="114">
        <v>8181.9021756999236</v>
      </c>
      <c r="AO51" s="114">
        <v>12952.34297354105</v>
      </c>
      <c r="AP51" s="114">
        <v>12130.845883660861</v>
      </c>
      <c r="AQ51" s="114">
        <v>7749.8266669529476</v>
      </c>
      <c r="AR51" s="114">
        <v>5541.9743257135078</v>
      </c>
      <c r="AS51" s="114">
        <v>2401.9201282040281</v>
      </c>
      <c r="AT51" s="114">
        <v>2370.9776951716831</v>
      </c>
      <c r="AU51" s="114">
        <v>8815.421897543165</v>
      </c>
      <c r="AV51" s="114" t="s">
        <v>237</v>
      </c>
      <c r="AW51" s="114">
        <v>4851.0505841502372</v>
      </c>
      <c r="AX51" s="114">
        <v>8568.8942011186191</v>
      </c>
      <c r="AY51" s="114">
        <v>5051.649747496017</v>
      </c>
      <c r="AZ51" s="114">
        <v>5255.6787093315907</v>
      </c>
      <c r="BA51" s="114">
        <v>5754.9033044611615</v>
      </c>
      <c r="BB51" s="114">
        <v>5121.7653911467542</v>
      </c>
      <c r="BC51" s="114">
        <v>6337.7302782340112</v>
      </c>
      <c r="BD51" s="114">
        <v>7244.1401641982266</v>
      </c>
      <c r="BE51" s="114">
        <v>2379.3656432242906</v>
      </c>
      <c r="BF51" s="114">
        <v>8274.0218426780139</v>
      </c>
      <c r="BG51" s="114">
        <v>4590.8314164737876</v>
      </c>
      <c r="BH51" s="114">
        <v>9339.0810644036137</v>
      </c>
      <c r="BI51" s="114">
        <v>1404.3718405440361</v>
      </c>
      <c r="BJ51" s="114">
        <v>4775.4336518169666</v>
      </c>
      <c r="BK51" s="114">
        <v>6465.2924613498426</v>
      </c>
      <c r="BL51" s="114">
        <v>5155.5315914224393</v>
      </c>
      <c r="BM51" s="114">
        <v>4697.7503781090263</v>
      </c>
      <c r="BN51" s="114">
        <v>6568.193493276317</v>
      </c>
      <c r="BO51" s="114">
        <v>4834.7018867608176</v>
      </c>
      <c r="BP51" s="114">
        <v>1579.9780941541333</v>
      </c>
      <c r="BQ51" s="114">
        <v>1618.3778434792423</v>
      </c>
      <c r="BR51" s="114">
        <v>6251.01108408656</v>
      </c>
      <c r="BS51" s="114">
        <v>5456.5370596843095</v>
      </c>
      <c r="BT51" s="114">
        <v>4983.4982055959335</v>
      </c>
      <c r="BU51" s="114">
        <v>5117.6425061145728</v>
      </c>
      <c r="BV51" s="114">
        <v>438.90205819278322</v>
      </c>
      <c r="BW51" s="114">
        <v>4538.5117164299745</v>
      </c>
      <c r="BX51" s="114">
        <v>6377.7879524958271</v>
      </c>
      <c r="BY51" s="114">
        <v>9451.5803070455077</v>
      </c>
      <c r="BZ51" s="114">
        <v>1132.1416368270593</v>
      </c>
      <c r="CA51" s="114">
        <v>1427.8460797118571</v>
      </c>
      <c r="CB51" s="114">
        <v>5981.7251474918949</v>
      </c>
      <c r="CC51" s="114">
        <v>7519.8227397167502</v>
      </c>
      <c r="CD51" s="114">
        <v>9123.0169833001801</v>
      </c>
      <c r="CE51" s="114">
        <v>5158.1998917769488</v>
      </c>
      <c r="CF51" s="114">
        <v>6682.9431855056455</v>
      </c>
      <c r="CG51" s="114">
        <v>8439.7494835435755</v>
      </c>
      <c r="CH51" s="114">
        <v>8861.0801372619408</v>
      </c>
      <c r="CI51" s="114">
        <v>12322.230922306808</v>
      </c>
      <c r="CJ51" s="114">
        <v>6556.9045927325715</v>
      </c>
      <c r="CK51" s="114">
        <v>5868.1633009710558</v>
      </c>
      <c r="CL51" s="114">
        <v>5325.8358306929495</v>
      </c>
      <c r="CM51" s="114">
        <v>4364.0534659939749</v>
      </c>
      <c r="CN51" s="114">
        <v>4338.0013953129874</v>
      </c>
      <c r="CO51" s="114">
        <v>4640.8434425691894</v>
      </c>
      <c r="CP51" s="114">
        <v>7973.1861781306579</v>
      </c>
      <c r="CQ51" s="114">
        <v>14092.466943672036</v>
      </c>
      <c r="CR51" s="114">
        <v>5041.3868242616172</v>
      </c>
      <c r="CS51" s="114">
        <v>8523.0870939384658</v>
      </c>
      <c r="CT51" s="114">
        <v>4556.272513133692</v>
      </c>
      <c r="CU51" s="114">
        <v>6066.6939772508877</v>
      </c>
      <c r="CV51" s="114">
        <v>8663.2693470013837</v>
      </c>
      <c r="CW51" s="114">
        <v>11542.770357409876</v>
      </c>
      <c r="CX51" s="114">
        <v>6204.7979648873361</v>
      </c>
      <c r="CY51" s="114">
        <v>5126.0346633842155</v>
      </c>
      <c r="CZ51" s="114">
        <v>5092.7257353508076</v>
      </c>
      <c r="DA51" s="114">
        <v>719.10063775220931</v>
      </c>
      <c r="DB51" s="114">
        <v>3501.2338495085132</v>
      </c>
      <c r="DC51" s="114">
        <v>4813.0353783590181</v>
      </c>
      <c r="DD51" s="114">
        <v>6051.2089813699949</v>
      </c>
      <c r="DE51" s="114">
        <v>4987.0119827609005</v>
      </c>
      <c r="DF51" s="114">
        <v>6219.9235276181134</v>
      </c>
      <c r="DG51" s="114">
        <v>4663.3949822096283</v>
      </c>
      <c r="DH51" s="114">
        <v>11679.3220730459</v>
      </c>
      <c r="DI51" s="114">
        <v>8563.1217825336371</v>
      </c>
      <c r="DJ51" s="114">
        <v>868.78538615992125</v>
      </c>
      <c r="DK51" s="114">
        <v>3846.6930178597695</v>
      </c>
      <c r="DL51" s="114">
        <v>7269.5602001763909</v>
      </c>
      <c r="DM51" s="114">
        <v>7291.4191213926679</v>
      </c>
      <c r="DN51" s="114">
        <v>10342.489027189486</v>
      </c>
      <c r="DO51" s="114">
        <v>5597.506534047302</v>
      </c>
      <c r="DP51" s="114">
        <v>4413.8932468187613</v>
      </c>
      <c r="DQ51" s="114">
        <v>11091.715644157599</v>
      </c>
      <c r="DR51" s="114">
        <v>4721.1608037323231</v>
      </c>
      <c r="DS51" s="114">
        <v>3201.7980542259788</v>
      </c>
      <c r="DT51" s="114">
        <v>5216.2299522180892</v>
      </c>
      <c r="DU51" s="114">
        <v>10922.486924857141</v>
      </c>
      <c r="DV51" s="114">
        <v>3838.797569487414</v>
      </c>
      <c r="DW51" s="114">
        <v>9657.5773858651646</v>
      </c>
      <c r="DX51" s="114">
        <v>5272.4342759577967</v>
      </c>
      <c r="DY51" s="114">
        <v>16507.917843330255</v>
      </c>
      <c r="DZ51" s="114">
        <v>16026.25702960848</v>
      </c>
      <c r="EA51" s="114">
        <v>9035.267754493254</v>
      </c>
      <c r="EB51" s="114">
        <v>1105.1980376614836</v>
      </c>
      <c r="EC51" s="114">
        <v>1317.3061719688235</v>
      </c>
      <c r="ED51" s="114">
        <v>12846.322271075118</v>
      </c>
      <c r="EE51" s="114">
        <v>4782.1607492246658</v>
      </c>
      <c r="EF51" s="114">
        <v>6152.2105677807349</v>
      </c>
      <c r="EG51" s="114">
        <v>6957.8432165935346</v>
      </c>
      <c r="EH51" s="114">
        <v>7853.800315997556</v>
      </c>
      <c r="EI51" s="114">
        <v>8486.3515464891116</v>
      </c>
      <c r="EJ51" s="114">
        <v>8296.4910728863433</v>
      </c>
      <c r="EK51" s="114">
        <v>6674.4351609613541</v>
      </c>
      <c r="EL51" s="114">
        <v>8293.7476472555973</v>
      </c>
      <c r="EM51" s="114">
        <v>13568.713284589074</v>
      </c>
      <c r="EN51" s="114">
        <v>5686.9406007594998</v>
      </c>
      <c r="EO51" s="114">
        <v>3713.2956147831778</v>
      </c>
      <c r="EP51" s="114">
        <v>6284.3357489167602</v>
      </c>
      <c r="EQ51" s="114">
        <v>5228.9299787273203</v>
      </c>
      <c r="ER51" s="114">
        <v>6703.2125887015454</v>
      </c>
      <c r="ES51" s="114">
        <v>3861.1536777453771</v>
      </c>
      <c r="ET51" s="114">
        <v>6479.6201869368342</v>
      </c>
      <c r="EU51" s="114">
        <v>6259.4405597985606</v>
      </c>
      <c r="EV51" s="114">
        <v>6311.0276973535165</v>
      </c>
      <c r="EW51" s="114">
        <v>4539.4880254957779</v>
      </c>
      <c r="EX51" s="114">
        <v>1295.0813188936304</v>
      </c>
      <c r="EY51" s="114">
        <v>5780.3799321250135</v>
      </c>
      <c r="EZ51" s="114">
        <v>1762.8269211985414</v>
      </c>
      <c r="FA51" s="114">
        <v>4959.124183703625</v>
      </c>
      <c r="FB51" s="114">
        <v>1061.724063981052</v>
      </c>
      <c r="FC51" s="114">
        <v>11967.542877370332</v>
      </c>
      <c r="FD51" s="114">
        <v>5158.6564956759721</v>
      </c>
      <c r="FE51" s="114">
        <v>4858.59833821759</v>
      </c>
      <c r="FF51" s="114">
        <v>5478.7037248265433</v>
      </c>
      <c r="FG51" s="114">
        <v>4874.878327412599</v>
      </c>
      <c r="FH51" s="114">
        <v>13039.186887841619</v>
      </c>
      <c r="FI51" s="114">
        <v>3943.434114530753</v>
      </c>
      <c r="FJ51" s="114">
        <v>3881.6507069440336</v>
      </c>
      <c r="FK51" s="114">
        <v>4054.4852241435051</v>
      </c>
      <c r="FL51" s="114">
        <v>9263.5551320908398</v>
      </c>
      <c r="FM51" s="114">
        <v>4122.9932801319892</v>
      </c>
      <c r="FN51" s="114">
        <v>5652.1403910457047</v>
      </c>
      <c r="FO51" s="114">
        <v>6277.9769306220596</v>
      </c>
      <c r="FP51" s="114">
        <v>4710.9184542649355</v>
      </c>
      <c r="FQ51" s="114">
        <v>5184.9514263416613</v>
      </c>
      <c r="FR51" s="114">
        <v>13237.93861345679</v>
      </c>
      <c r="FS51" s="114">
        <v>8115.8304707932093</v>
      </c>
      <c r="FT51" s="114">
        <v>4993.0956131694847</v>
      </c>
      <c r="FU51" s="114">
        <v>11407.085769350286</v>
      </c>
      <c r="FV51" s="114">
        <v>14413.91870554287</v>
      </c>
      <c r="FW51" s="114">
        <v>583.93164573113938</v>
      </c>
      <c r="FX51" s="114">
        <v>6348.3697155569707</v>
      </c>
      <c r="FY51" s="114">
        <v>3751.9860987188672</v>
      </c>
      <c r="FZ51" s="114">
        <v>5280.0683280680087</v>
      </c>
      <c r="GA51" s="114">
        <v>7165.5770582049636</v>
      </c>
      <c r="GB51" s="114">
        <v>4073.202491560829</v>
      </c>
      <c r="GC51" s="114">
        <v>5931.3511128022556</v>
      </c>
      <c r="GD51" s="114">
        <v>6553.6140671208241</v>
      </c>
      <c r="GE51" s="114">
        <v>5129.8267103372436</v>
      </c>
      <c r="GF51" s="114">
        <v>11857.08391076672</v>
      </c>
      <c r="GG51" s="114">
        <v>7938.2941699934918</v>
      </c>
      <c r="GH51" s="114">
        <v>7730.6403802128807</v>
      </c>
      <c r="GI51" s="114">
        <v>8165.6885488462667</v>
      </c>
      <c r="GJ51" s="114">
        <v>7023.4714159306559</v>
      </c>
      <c r="GK51" s="114">
        <v>8207.2259578060912</v>
      </c>
      <c r="GL51" s="114">
        <v>6900.3692650891953</v>
      </c>
      <c r="GM51" s="114">
        <v>11796.282994712343</v>
      </c>
      <c r="GN51" s="114">
        <v>5377.807469855441</v>
      </c>
      <c r="GO51" s="114">
        <v>4222.2171333613678</v>
      </c>
      <c r="GP51" s="114">
        <v>4606.3319096201212</v>
      </c>
      <c r="GQ51" s="114">
        <v>12132.86742032115</v>
      </c>
      <c r="GR51" s="114">
        <v>15703.52668267664</v>
      </c>
      <c r="GS51" s="114">
        <v>4825.4038073714792</v>
      </c>
      <c r="GT51" s="115">
        <v>4923.1623201345019</v>
      </c>
    </row>
    <row r="52" spans="2:202" x14ac:dyDescent="0.6">
      <c r="B52" s="106" t="s">
        <v>44</v>
      </c>
      <c r="C52" s="63" t="s">
        <v>444</v>
      </c>
      <c r="D52" s="113">
        <v>4643.1098571445254</v>
      </c>
      <c r="E52" s="114">
        <v>1453.1739307762161</v>
      </c>
      <c r="F52" s="114">
        <v>1194.3471590901127</v>
      </c>
      <c r="G52" s="114">
        <v>6009.4336001670972</v>
      </c>
      <c r="H52" s="114">
        <v>7689.5705374384779</v>
      </c>
      <c r="I52" s="114">
        <v>11826.097724144885</v>
      </c>
      <c r="J52" s="114">
        <v>2405.551277296529</v>
      </c>
      <c r="K52" s="114">
        <v>16044.623966132418</v>
      </c>
      <c r="L52" s="114">
        <v>295.37108405764292</v>
      </c>
      <c r="M52" s="114">
        <v>2805.9638550568952</v>
      </c>
      <c r="N52" s="114">
        <v>8257.8189885194661</v>
      </c>
      <c r="O52" s="114">
        <v>3756.5080347128328</v>
      </c>
      <c r="P52" s="114">
        <v>7008.5987645195319</v>
      </c>
      <c r="Q52" s="114">
        <v>7803.0438630464405</v>
      </c>
      <c r="R52" s="114">
        <v>1226.3304841207564</v>
      </c>
      <c r="S52" s="114">
        <v>1011.1551685641449</v>
      </c>
      <c r="T52" s="114">
        <v>9688.6202023957248</v>
      </c>
      <c r="U52" s="114">
        <v>4547.6802203617926</v>
      </c>
      <c r="V52" s="114">
        <v>6669.7606268131831</v>
      </c>
      <c r="W52" s="114">
        <v>10805.346733626207</v>
      </c>
      <c r="X52" s="114">
        <v>305.96344302891316</v>
      </c>
      <c r="Y52" s="114">
        <v>7843.5737810812143</v>
      </c>
      <c r="Z52" s="114">
        <v>9915.7150452725637</v>
      </c>
      <c r="AA52" s="114">
        <v>9642.3524788252944</v>
      </c>
      <c r="AB52" s="114">
        <v>10378.239423685833</v>
      </c>
      <c r="AC52" s="114">
        <v>697.29869571292022</v>
      </c>
      <c r="AD52" s="114">
        <v>4037.69475606468</v>
      </c>
      <c r="AE52" s="114">
        <v>5575.4033983600848</v>
      </c>
      <c r="AF52" s="114">
        <v>4963.7325497407992</v>
      </c>
      <c r="AG52" s="114">
        <v>9028.4308922084456</v>
      </c>
      <c r="AH52" s="114">
        <v>4644.462771454625</v>
      </c>
      <c r="AI52" s="114">
        <v>4688.3032925394</v>
      </c>
      <c r="AJ52" s="114">
        <v>7042.3710529285017</v>
      </c>
      <c r="AK52" s="114">
        <v>6685.6171178139575</v>
      </c>
      <c r="AL52" s="114">
        <v>4596.8976395685177</v>
      </c>
      <c r="AM52" s="114">
        <v>3715.0943899039139</v>
      </c>
      <c r="AN52" s="114">
        <v>12284.737742766887</v>
      </c>
      <c r="AO52" s="114">
        <v>8687.4157415893405</v>
      </c>
      <c r="AP52" s="114">
        <v>7698.4070733500539</v>
      </c>
      <c r="AQ52" s="114">
        <v>9630.8086567920709</v>
      </c>
      <c r="AR52" s="114">
        <v>6904.513952324688</v>
      </c>
      <c r="AS52" s="114">
        <v>5540.6370921688194</v>
      </c>
      <c r="AT52" s="114">
        <v>5514.3449365962842</v>
      </c>
      <c r="AU52" s="114">
        <v>9988.0205901314603</v>
      </c>
      <c r="AV52" s="114">
        <v>4851.0505841502372</v>
      </c>
      <c r="AW52" s="114" t="s">
        <v>237</v>
      </c>
      <c r="AX52" s="114">
        <v>8776.0503679065278</v>
      </c>
      <c r="AY52" s="114">
        <v>1885.694841891532</v>
      </c>
      <c r="AZ52" s="114">
        <v>516.01872166598628</v>
      </c>
      <c r="BA52" s="114">
        <v>1125.2431558586659</v>
      </c>
      <c r="BB52" s="114">
        <v>4585.2107424732276</v>
      </c>
      <c r="BC52" s="114">
        <v>7788.9964383140368</v>
      </c>
      <c r="BD52" s="114">
        <v>8199.5786232921819</v>
      </c>
      <c r="BE52" s="114">
        <v>5526.5522992354281</v>
      </c>
      <c r="BF52" s="114">
        <v>10325.625408414149</v>
      </c>
      <c r="BG52" s="114">
        <v>2191.2566063182544</v>
      </c>
      <c r="BH52" s="114">
        <v>10055.292308235114</v>
      </c>
      <c r="BI52" s="114">
        <v>4726.2695733056498</v>
      </c>
      <c r="BJ52" s="114">
        <v>3995.8950404289999</v>
      </c>
      <c r="BK52" s="114">
        <v>1637.5751166102984</v>
      </c>
      <c r="BL52" s="114">
        <v>8122.9971104339065</v>
      </c>
      <c r="BM52" s="114">
        <v>4606.5869539720043</v>
      </c>
      <c r="BN52" s="114">
        <v>1744.2826876191707</v>
      </c>
      <c r="BO52" s="114">
        <v>1066.4330520855551</v>
      </c>
      <c r="BP52" s="114">
        <v>5069.6708034127196</v>
      </c>
      <c r="BQ52" s="114">
        <v>4676.5440412337448</v>
      </c>
      <c r="BR52" s="114">
        <v>2364.0165892057094</v>
      </c>
      <c r="BS52" s="114">
        <v>774.95964218301094</v>
      </c>
      <c r="BT52" s="114">
        <v>422.2716719247984</v>
      </c>
      <c r="BU52" s="114">
        <v>726.2377442677606</v>
      </c>
      <c r="BV52" s="114">
        <v>4714.0482166790243</v>
      </c>
      <c r="BW52" s="114">
        <v>1096.8582542229415</v>
      </c>
      <c r="BX52" s="114">
        <v>8070.7505334082243</v>
      </c>
      <c r="BY52" s="114">
        <v>10055.134361012921</v>
      </c>
      <c r="BZ52" s="114">
        <v>4889.0934355279978</v>
      </c>
      <c r="CA52" s="114">
        <v>4791.7431589640291</v>
      </c>
      <c r="CB52" s="114">
        <v>8224.6979604493063</v>
      </c>
      <c r="CC52" s="114">
        <v>8391.7974009092522</v>
      </c>
      <c r="CD52" s="114">
        <v>9858.1884364679754</v>
      </c>
      <c r="CE52" s="114">
        <v>332.25850653297567</v>
      </c>
      <c r="CF52" s="114">
        <v>3076.7790391172707</v>
      </c>
      <c r="CG52" s="114">
        <v>5979.8394441253422</v>
      </c>
      <c r="CH52" s="114">
        <v>5643.0642237268848</v>
      </c>
      <c r="CI52" s="114">
        <v>10553.846510713882</v>
      </c>
      <c r="CJ52" s="114">
        <v>3190.5816998659348</v>
      </c>
      <c r="CK52" s="114">
        <v>2801.110795872165</v>
      </c>
      <c r="CL52" s="114">
        <v>1782.138587437207</v>
      </c>
      <c r="CM52" s="114">
        <v>4578.1791038916326</v>
      </c>
      <c r="CN52" s="114">
        <v>513.95616329358211</v>
      </c>
      <c r="CO52" s="114">
        <v>498.06381593043818</v>
      </c>
      <c r="CP52" s="114">
        <v>8749.312199111384</v>
      </c>
      <c r="CQ52" s="114">
        <v>9393.7005194259182</v>
      </c>
      <c r="CR52" s="114">
        <v>2313.4935069023732</v>
      </c>
      <c r="CS52" s="114">
        <v>4067.9055909077701</v>
      </c>
      <c r="CT52" s="114">
        <v>5582.130089958845</v>
      </c>
      <c r="CU52" s="114">
        <v>3348.5588898042761</v>
      </c>
      <c r="CV52" s="114">
        <v>4612.8015984488984</v>
      </c>
      <c r="CW52" s="114">
        <v>8373.6358003094538</v>
      </c>
      <c r="CX52" s="114">
        <v>1360.632729493484</v>
      </c>
      <c r="CY52" s="114">
        <v>2143.075392486192</v>
      </c>
      <c r="CZ52" s="114">
        <v>8388.1642260975659</v>
      </c>
      <c r="DA52" s="114">
        <v>5042.204883626513</v>
      </c>
      <c r="DB52" s="114">
        <v>1462.6115877161023</v>
      </c>
      <c r="DC52" s="114">
        <v>512.62119095043511</v>
      </c>
      <c r="DD52" s="114">
        <v>1200.9713959367728</v>
      </c>
      <c r="DE52" s="114">
        <v>832.56411093287181</v>
      </c>
      <c r="DF52" s="114">
        <v>7809.0619350459247</v>
      </c>
      <c r="DG52" s="114">
        <v>6856.891152352051</v>
      </c>
      <c r="DH52" s="114">
        <v>9436.8149239138893</v>
      </c>
      <c r="DI52" s="114">
        <v>7222.3566029066997</v>
      </c>
      <c r="DJ52" s="114">
        <v>4286.1398581769163</v>
      </c>
      <c r="DK52" s="114">
        <v>1112.6502935530373</v>
      </c>
      <c r="DL52" s="114">
        <v>8422.8153290939335</v>
      </c>
      <c r="DM52" s="114">
        <v>8438.8556935496763</v>
      </c>
      <c r="DN52" s="114">
        <v>10274.064346523952</v>
      </c>
      <c r="DO52" s="114">
        <v>1033.7431599364756</v>
      </c>
      <c r="DP52" s="114">
        <v>674.193862469387</v>
      </c>
      <c r="DQ52" s="114">
        <v>6535.3450710103079</v>
      </c>
      <c r="DR52" s="114">
        <v>450.00564591292914</v>
      </c>
      <c r="DS52" s="114">
        <v>2290.2474536506279</v>
      </c>
      <c r="DT52" s="114">
        <v>8083.3318784335925</v>
      </c>
      <c r="DU52" s="114">
        <v>7989.1494298539201</v>
      </c>
      <c r="DV52" s="114">
        <v>7546.023331168949</v>
      </c>
      <c r="DW52" s="114">
        <v>6332.3497522174312</v>
      </c>
      <c r="DX52" s="114">
        <v>1098.7780091122795</v>
      </c>
      <c r="DY52" s="114">
        <v>18034.701536986347</v>
      </c>
      <c r="DZ52" s="114">
        <v>18242.468190121836</v>
      </c>
      <c r="EA52" s="114">
        <v>9949.6422257262566</v>
      </c>
      <c r="EB52" s="114">
        <v>3803.6740595538809</v>
      </c>
      <c r="EC52" s="114">
        <v>4129.436305652026</v>
      </c>
      <c r="ED52" s="114">
        <v>8291.0880841711896</v>
      </c>
      <c r="EE52" s="114">
        <v>598.6584935185042</v>
      </c>
      <c r="EF52" s="114">
        <v>1599.2013572078033</v>
      </c>
      <c r="EG52" s="114">
        <v>4554.5808114662095</v>
      </c>
      <c r="EH52" s="114">
        <v>5102.1947554959243</v>
      </c>
      <c r="EI52" s="114">
        <v>5005.9892933186575</v>
      </c>
      <c r="EJ52" s="114">
        <v>9667.889359692268</v>
      </c>
      <c r="EK52" s="114">
        <v>10746.418502102186</v>
      </c>
      <c r="EL52" s="114">
        <v>11155.132828418324</v>
      </c>
      <c r="EM52" s="114">
        <v>10027.50623953081</v>
      </c>
      <c r="EN52" s="114">
        <v>836.69673113552187</v>
      </c>
      <c r="EO52" s="114">
        <v>2176.4696842640956</v>
      </c>
      <c r="EP52" s="114">
        <v>3905.6273705959725</v>
      </c>
      <c r="EQ52" s="114">
        <v>839.38496055058374</v>
      </c>
      <c r="ER52" s="114">
        <v>1914.0998972401856</v>
      </c>
      <c r="ES52" s="114">
        <v>5426.6126804752384</v>
      </c>
      <c r="ET52" s="114">
        <v>7731.6654062115276</v>
      </c>
      <c r="EU52" s="114">
        <v>7828.0429107696636</v>
      </c>
      <c r="EV52" s="114">
        <v>7939.4555243584846</v>
      </c>
      <c r="EW52" s="114">
        <v>338.51673661576183</v>
      </c>
      <c r="EX52" s="114">
        <v>5128.2566521860426</v>
      </c>
      <c r="EY52" s="114">
        <v>3621.2166459857308</v>
      </c>
      <c r="EZ52" s="114">
        <v>4633.2736087412914</v>
      </c>
      <c r="FA52" s="114">
        <v>392.62271319053622</v>
      </c>
      <c r="FB52" s="114">
        <v>4968.3106945302097</v>
      </c>
      <c r="FC52" s="114">
        <v>9763.1326679233607</v>
      </c>
      <c r="FD52" s="114">
        <v>310.54121795264416</v>
      </c>
      <c r="FE52" s="114">
        <v>114.03933481857091</v>
      </c>
      <c r="FF52" s="114">
        <v>5634.3284353933104</v>
      </c>
      <c r="FG52" s="114">
        <v>7989.6693273003775</v>
      </c>
      <c r="FH52" s="114">
        <v>8507.5986936373993</v>
      </c>
      <c r="FI52" s="114">
        <v>4778.5107564366672</v>
      </c>
      <c r="FJ52" s="114">
        <v>1652.0309988615475</v>
      </c>
      <c r="FK52" s="114">
        <v>1173.2463000333157</v>
      </c>
      <c r="FL52" s="114">
        <v>7469.1916149362087</v>
      </c>
      <c r="FM52" s="114">
        <v>3705.0656827748899</v>
      </c>
      <c r="FN52" s="114">
        <v>8071.7825506653371</v>
      </c>
      <c r="FO52" s="114">
        <v>1532.1705681837843</v>
      </c>
      <c r="FP52" s="114">
        <v>651.33615309495553</v>
      </c>
      <c r="FQ52" s="114">
        <v>2218.9505580471091</v>
      </c>
      <c r="FR52" s="114">
        <v>9196.8018912713487</v>
      </c>
      <c r="FS52" s="114">
        <v>4368.2299553377443</v>
      </c>
      <c r="FT52" s="114">
        <v>6277.0706395149891</v>
      </c>
      <c r="FU52" s="114">
        <v>8537.9405818345404</v>
      </c>
      <c r="FV52" s="114">
        <v>12196.567486312137</v>
      </c>
      <c r="FW52" s="114">
        <v>4596.952805097194</v>
      </c>
      <c r="FX52" s="114">
        <v>8160.5175615717999</v>
      </c>
      <c r="FY52" s="114">
        <v>1100.3371944807875</v>
      </c>
      <c r="FZ52" s="114">
        <v>1534.050078741941</v>
      </c>
      <c r="GA52" s="114">
        <v>3533.5737441691667</v>
      </c>
      <c r="GB52" s="114">
        <v>5297.5397175784592</v>
      </c>
      <c r="GC52" s="114">
        <v>1216.0838970111822</v>
      </c>
      <c r="GD52" s="114">
        <v>4180.507830330469</v>
      </c>
      <c r="GE52" s="114">
        <v>1320.7084066619002</v>
      </c>
      <c r="GF52" s="114">
        <v>10024.958613324989</v>
      </c>
      <c r="GG52" s="114">
        <v>6896.9891396930425</v>
      </c>
      <c r="GH52" s="114">
        <v>6590.8835198448178</v>
      </c>
      <c r="GI52" s="114">
        <v>7223.4206842917574</v>
      </c>
      <c r="GJ52" s="114">
        <v>11437.185787282913</v>
      </c>
      <c r="GK52" s="114">
        <v>4273.3352849925168</v>
      </c>
      <c r="GL52" s="114">
        <v>8581.5806559757984</v>
      </c>
      <c r="GM52" s="114">
        <v>8350.9523098112386</v>
      </c>
      <c r="GN52" s="114">
        <v>4283.5742756446525</v>
      </c>
      <c r="GO52" s="114">
        <v>6876.3162628996188</v>
      </c>
      <c r="GP52" s="114">
        <v>7169.0149034302613</v>
      </c>
      <c r="GQ52" s="114">
        <v>9232.6573641621471</v>
      </c>
      <c r="GR52" s="114">
        <v>15976.916505747598</v>
      </c>
      <c r="GS52" s="114">
        <v>578.04403404997129</v>
      </c>
      <c r="GT52" s="115">
        <v>8071.7275680229377</v>
      </c>
    </row>
    <row r="53" spans="2:202" x14ac:dyDescent="0.6">
      <c r="B53" s="106" t="s">
        <v>45</v>
      </c>
      <c r="C53" s="63" t="s">
        <v>445</v>
      </c>
      <c r="D53" s="113">
        <v>12953.951452881469</v>
      </c>
      <c r="E53" s="114">
        <v>8110.397067310616</v>
      </c>
      <c r="F53" s="114">
        <v>7794.4565787324973</v>
      </c>
      <c r="G53" s="114">
        <v>10922.336300904921</v>
      </c>
      <c r="H53" s="114">
        <v>2226.3644315262836</v>
      </c>
      <c r="I53" s="114">
        <v>7003.1891240251207</v>
      </c>
      <c r="J53" s="114">
        <v>11072.397470854345</v>
      </c>
      <c r="K53" s="114">
        <v>14735.329452612152</v>
      </c>
      <c r="L53" s="114">
        <v>8713.4150261600753</v>
      </c>
      <c r="M53" s="114">
        <v>11381.834321005703</v>
      </c>
      <c r="N53" s="114">
        <v>554.69962163685886</v>
      </c>
      <c r="O53" s="114">
        <v>12531.535930518585</v>
      </c>
      <c r="P53" s="114">
        <v>14779.955593687822</v>
      </c>
      <c r="Q53" s="114">
        <v>2662.1562380619184</v>
      </c>
      <c r="R53" s="114">
        <v>9161.2228748176149</v>
      </c>
      <c r="S53" s="114">
        <v>7804.3661490946542</v>
      </c>
      <c r="T53" s="114">
        <v>912.57128484717839</v>
      </c>
      <c r="U53" s="114">
        <v>9190.0026276447788</v>
      </c>
      <c r="V53" s="114">
        <v>14340.984825661619</v>
      </c>
      <c r="W53" s="114">
        <v>4629.8143891615318</v>
      </c>
      <c r="X53" s="114">
        <v>9057.253766973321</v>
      </c>
      <c r="Y53" s="114">
        <v>12755.854180774366</v>
      </c>
      <c r="Z53" s="114">
        <v>6454.8057431575171</v>
      </c>
      <c r="AA53" s="114">
        <v>6630.8880445397263</v>
      </c>
      <c r="AB53" s="114">
        <v>16421.499312673157</v>
      </c>
      <c r="AC53" s="114">
        <v>9471.1074857203257</v>
      </c>
      <c r="AD53" s="114">
        <v>8565.3640029319813</v>
      </c>
      <c r="AE53" s="114">
        <v>12331.740616360557</v>
      </c>
      <c r="AF53" s="114">
        <v>6214.4539688948371</v>
      </c>
      <c r="AG53" s="114">
        <v>16119.553396374535</v>
      </c>
      <c r="AH53" s="114">
        <v>10027.54096017275</v>
      </c>
      <c r="AI53" s="114">
        <v>10219.386759542389</v>
      </c>
      <c r="AJ53" s="114">
        <v>2307.3800179868413</v>
      </c>
      <c r="AK53" s="114">
        <v>2543.1409526659154</v>
      </c>
      <c r="AL53" s="114">
        <v>10898.428528249493</v>
      </c>
      <c r="AM53" s="114">
        <v>10163.577022424543</v>
      </c>
      <c r="AN53" s="114">
        <v>6386.6109764037274</v>
      </c>
      <c r="AO53" s="114">
        <v>13471.296897294018</v>
      </c>
      <c r="AP53" s="114">
        <v>12792.855196720051</v>
      </c>
      <c r="AQ53" s="114">
        <v>2263.2527534443484</v>
      </c>
      <c r="AR53" s="114">
        <v>14104.335036247729</v>
      </c>
      <c r="AS53" s="114">
        <v>10965.851620735786</v>
      </c>
      <c r="AT53" s="114">
        <v>10935.841226017685</v>
      </c>
      <c r="AU53" s="114">
        <v>1516.6096693829857</v>
      </c>
      <c r="AV53" s="114">
        <v>8568.8942011186191</v>
      </c>
      <c r="AW53" s="114">
        <v>8776.0503679065278</v>
      </c>
      <c r="AX53" s="114" t="s">
        <v>237</v>
      </c>
      <c r="AY53" s="114">
        <v>10634.589213221174</v>
      </c>
      <c r="AZ53" s="114">
        <v>8501.0447703566297</v>
      </c>
      <c r="BA53" s="114">
        <v>8191.5245851948066</v>
      </c>
      <c r="BB53" s="114">
        <v>12874.599667074719</v>
      </c>
      <c r="BC53" s="114">
        <v>2368.2499006806247</v>
      </c>
      <c r="BD53" s="114">
        <v>1416.4432574190141</v>
      </c>
      <c r="BE53" s="114">
        <v>10943.638429908202</v>
      </c>
      <c r="BF53" s="114">
        <v>2616.7348438101367</v>
      </c>
      <c r="BG53" s="114">
        <v>10772.633237105094</v>
      </c>
      <c r="BH53" s="114">
        <v>1297.9820580509602</v>
      </c>
      <c r="BI53" s="114">
        <v>9930.7630097813835</v>
      </c>
      <c r="BJ53" s="114">
        <v>12295.729790942174</v>
      </c>
      <c r="BK53" s="114">
        <v>8714.8599479521217</v>
      </c>
      <c r="BL53" s="114">
        <v>13337.839532550581</v>
      </c>
      <c r="BM53" s="114">
        <v>12640.385918188993</v>
      </c>
      <c r="BN53" s="114">
        <v>8697.2149060131287</v>
      </c>
      <c r="BO53" s="114">
        <v>7709.8882988745818</v>
      </c>
      <c r="BP53" s="114">
        <v>10148.035159019943</v>
      </c>
      <c r="BQ53" s="114">
        <v>6985.2273324645394</v>
      </c>
      <c r="BR53" s="114">
        <v>10986.198954559515</v>
      </c>
      <c r="BS53" s="114">
        <v>8354.6160198700654</v>
      </c>
      <c r="BT53" s="114">
        <v>8389.6125688324337</v>
      </c>
      <c r="BU53" s="114">
        <v>8123.0339039253086</v>
      </c>
      <c r="BV53" s="114">
        <v>8974.1417276382581</v>
      </c>
      <c r="BW53" s="114">
        <v>9739.6483174992809</v>
      </c>
      <c r="BX53" s="114">
        <v>2487.6684275329967</v>
      </c>
      <c r="BY53" s="114">
        <v>1280.3313171359339</v>
      </c>
      <c r="BZ53" s="114">
        <v>7436.8858355264947</v>
      </c>
      <c r="CA53" s="114">
        <v>7151.3004782370517</v>
      </c>
      <c r="CB53" s="114">
        <v>3169.9677176949735</v>
      </c>
      <c r="CC53" s="114">
        <v>1164.1737810653526</v>
      </c>
      <c r="CD53" s="114">
        <v>1129.7750139428103</v>
      </c>
      <c r="CE53" s="114">
        <v>8944.3764644572602</v>
      </c>
      <c r="CF53" s="114">
        <v>6300.3519192148788</v>
      </c>
      <c r="CG53" s="114">
        <v>14604.571990595521</v>
      </c>
      <c r="CH53" s="114">
        <v>13880.829471498364</v>
      </c>
      <c r="CI53" s="114">
        <v>17912.270209999217</v>
      </c>
      <c r="CJ53" s="114">
        <v>11874.134465245654</v>
      </c>
      <c r="CK53" s="114">
        <v>11574.308430316849</v>
      </c>
      <c r="CL53" s="114">
        <v>7058.2014882259427</v>
      </c>
      <c r="CM53" s="114">
        <v>4713.2837178313248</v>
      </c>
      <c r="CN53" s="114">
        <v>8686.8431578247873</v>
      </c>
      <c r="CO53" s="114">
        <v>8308.3470067634735</v>
      </c>
      <c r="CP53" s="114">
        <v>820.64106487733636</v>
      </c>
      <c r="CQ53" s="114">
        <v>12128.735120258638</v>
      </c>
      <c r="CR53" s="114">
        <v>11028.684529441034</v>
      </c>
      <c r="CS53" s="114">
        <v>11368.585841791106</v>
      </c>
      <c r="CT53" s="114">
        <v>12979.151603670631</v>
      </c>
      <c r="CU53" s="114">
        <v>12124.490090374378</v>
      </c>
      <c r="CV53" s="114">
        <v>12336.123806535476</v>
      </c>
      <c r="CW53" s="114">
        <v>15467.295886483882</v>
      </c>
      <c r="CX53" s="114">
        <v>8824.5978647924185</v>
      </c>
      <c r="CY53" s="114">
        <v>10889.04148502986</v>
      </c>
      <c r="CZ53" s="114">
        <v>13049.336566639331</v>
      </c>
      <c r="DA53" s="114">
        <v>7874.2319058483536</v>
      </c>
      <c r="DB53" s="114">
        <v>9118.9028736156288</v>
      </c>
      <c r="DC53" s="114">
        <v>8263.4509938526626</v>
      </c>
      <c r="DD53" s="114">
        <v>8994.3888979228232</v>
      </c>
      <c r="DE53" s="114">
        <v>7964.7058984899013</v>
      </c>
      <c r="DF53" s="114">
        <v>14770.055329630199</v>
      </c>
      <c r="DG53" s="114">
        <v>13211.276392035112</v>
      </c>
      <c r="DH53" s="114">
        <v>17078.74960215007</v>
      </c>
      <c r="DI53" s="114">
        <v>15998.266615036704</v>
      </c>
      <c r="DJ53" s="114">
        <v>7923.0629761203809</v>
      </c>
      <c r="DK53" s="114">
        <v>9095.0519247439806</v>
      </c>
      <c r="DL53" s="114">
        <v>15829.586219617873</v>
      </c>
      <c r="DM53" s="114">
        <v>15851.329771283503</v>
      </c>
      <c r="DN53" s="114">
        <v>1801.7553945499578</v>
      </c>
      <c r="DO53" s="114">
        <v>9618.0608682938</v>
      </c>
      <c r="DP53" s="114">
        <v>8231.6561836769251</v>
      </c>
      <c r="DQ53" s="114">
        <v>12067.460148445609</v>
      </c>
      <c r="DR53" s="114">
        <v>9180.9261333104678</v>
      </c>
      <c r="DS53" s="114">
        <v>7303.4383058542171</v>
      </c>
      <c r="DT53" s="114">
        <v>13446.095552847821</v>
      </c>
      <c r="DU53" s="114">
        <v>15616.194654483892</v>
      </c>
      <c r="DV53" s="114">
        <v>11855.342299963613</v>
      </c>
      <c r="DW53" s="114">
        <v>14236.295178896711</v>
      </c>
      <c r="DX53" s="114">
        <v>7785.6418294083896</v>
      </c>
      <c r="DY53" s="114">
        <v>12635.734071798199</v>
      </c>
      <c r="DZ53" s="114">
        <v>12757.574333901186</v>
      </c>
      <c r="EA53" s="114">
        <v>1295.6904766576895</v>
      </c>
      <c r="EB53" s="114">
        <v>8859.499165149793</v>
      </c>
      <c r="EC53" s="114">
        <v>9567.872268826799</v>
      </c>
      <c r="ED53" s="114">
        <v>12532.709207503034</v>
      </c>
      <c r="EE53" s="114">
        <v>9350.0360292964997</v>
      </c>
      <c r="EF53" s="114">
        <v>7957.6710733432528</v>
      </c>
      <c r="EG53" s="114">
        <v>13320.437237331533</v>
      </c>
      <c r="EH53" s="114">
        <v>13736.052562845825</v>
      </c>
      <c r="EI53" s="114">
        <v>13212.271709828954</v>
      </c>
      <c r="EJ53" s="114">
        <v>1597.2734290668232</v>
      </c>
      <c r="EK53" s="114">
        <v>5993.1422856880881</v>
      </c>
      <c r="EL53" s="114">
        <v>3941.8991767066104</v>
      </c>
      <c r="EM53" s="114">
        <v>15141.326016734747</v>
      </c>
      <c r="EN53" s="114">
        <v>8852.4732987958305</v>
      </c>
      <c r="EO53" s="114">
        <v>7013.1141412322049</v>
      </c>
      <c r="EP53" s="114">
        <v>12680.559214776442</v>
      </c>
      <c r="EQ53" s="114">
        <v>9583.021832726834</v>
      </c>
      <c r="ER53" s="114">
        <v>9583.6049272270866</v>
      </c>
      <c r="ES53" s="114">
        <v>12348.539427334235</v>
      </c>
      <c r="ET53" s="114">
        <v>2165.7810499952116</v>
      </c>
      <c r="EU53" s="114">
        <v>2489.5943764905915</v>
      </c>
      <c r="EV53" s="114">
        <v>2488.5112037253907</v>
      </c>
      <c r="EW53" s="114">
        <v>8610.3693526937295</v>
      </c>
      <c r="EX53" s="114">
        <v>9860.9959806739516</v>
      </c>
      <c r="EY53" s="114">
        <v>12361.226359226221</v>
      </c>
      <c r="EZ53" s="114">
        <v>6855.8864758795726</v>
      </c>
      <c r="FA53" s="114">
        <v>9165.7655452821946</v>
      </c>
      <c r="FB53" s="114">
        <v>7509.8278348513877</v>
      </c>
      <c r="FC53" s="114">
        <v>17220.762581639781</v>
      </c>
      <c r="FD53" s="114">
        <v>8772.7600412320626</v>
      </c>
      <c r="FE53" s="114">
        <v>8663.9119567494636</v>
      </c>
      <c r="FF53" s="114">
        <v>13683.42171632964</v>
      </c>
      <c r="FG53" s="114">
        <v>13032.48362205688</v>
      </c>
      <c r="FH53" s="114">
        <v>12657.693327452938</v>
      </c>
      <c r="FI53" s="114">
        <v>12196.007299727695</v>
      </c>
      <c r="FJ53" s="114">
        <v>7454.9002871313414</v>
      </c>
      <c r="FK53" s="114">
        <v>7887.8719546571965</v>
      </c>
      <c r="FL53" s="114">
        <v>16151.267386149149</v>
      </c>
      <c r="FM53" s="114">
        <v>11719.173371500901</v>
      </c>
      <c r="FN53" s="114">
        <v>3502.9369712395678</v>
      </c>
      <c r="FO53" s="114">
        <v>8378.6000591223874</v>
      </c>
      <c r="FP53" s="114">
        <v>8131.6470688352656</v>
      </c>
      <c r="FQ53" s="114">
        <v>10969.942631743601</v>
      </c>
      <c r="FR53" s="114">
        <v>14082.356833617225</v>
      </c>
      <c r="FS53" s="114">
        <v>12533.807174039679</v>
      </c>
      <c r="FT53" s="114">
        <v>13520.602231173854</v>
      </c>
      <c r="FU53" s="114">
        <v>15943.884163248387</v>
      </c>
      <c r="FV53" s="114">
        <v>16651.775018227836</v>
      </c>
      <c r="FW53" s="114">
        <v>9071.3832005720615</v>
      </c>
      <c r="FX53" s="114">
        <v>2596.2182611828721</v>
      </c>
      <c r="FY53" s="114">
        <v>8704.4298745421147</v>
      </c>
      <c r="FZ53" s="114">
        <v>10308.886171420181</v>
      </c>
      <c r="GA53" s="114">
        <v>12027.040489594066</v>
      </c>
      <c r="GB53" s="114">
        <v>12493.842476644399</v>
      </c>
      <c r="GC53" s="114">
        <v>9518.1713577392093</v>
      </c>
      <c r="GD53" s="114">
        <v>12956.274167189851</v>
      </c>
      <c r="GE53" s="114">
        <v>7493.4233317962098</v>
      </c>
      <c r="GF53" s="114">
        <v>3700.9623645144557</v>
      </c>
      <c r="GG53" s="114">
        <v>2105.9360770568728</v>
      </c>
      <c r="GH53" s="114">
        <v>2379.5180205263082</v>
      </c>
      <c r="GI53" s="114">
        <v>1827.4653981962147</v>
      </c>
      <c r="GJ53" s="114">
        <v>6971.1897815237598</v>
      </c>
      <c r="GK53" s="114">
        <v>12279.17811882919</v>
      </c>
      <c r="GL53" s="114">
        <v>2188.3604862498219</v>
      </c>
      <c r="GM53" s="114">
        <v>15037.256318788184</v>
      </c>
      <c r="GN53" s="114">
        <v>12787.52474830044</v>
      </c>
      <c r="GO53" s="114">
        <v>12715.46443184258</v>
      </c>
      <c r="GP53" s="114">
        <v>13079.840334546074</v>
      </c>
      <c r="GQ53" s="114">
        <v>16124.105528424558</v>
      </c>
      <c r="GR53" s="114">
        <v>14907.292793260533</v>
      </c>
      <c r="GS53" s="114">
        <v>8198.3384394749046</v>
      </c>
      <c r="GT53" s="115">
        <v>13044.461688647207</v>
      </c>
    </row>
    <row r="54" spans="2:202" x14ac:dyDescent="0.6">
      <c r="B54" s="106" t="s">
        <v>46</v>
      </c>
      <c r="C54" s="63" t="s">
        <v>446</v>
      </c>
      <c r="D54" s="113">
        <v>3262.0862550168313</v>
      </c>
      <c r="E54" s="114">
        <v>2715.1751301421177</v>
      </c>
      <c r="F54" s="114">
        <v>2865.4682234847223</v>
      </c>
      <c r="G54" s="114">
        <v>5287.8141303219654</v>
      </c>
      <c r="H54" s="114">
        <v>9370.0411487298043</v>
      </c>
      <c r="I54" s="114">
        <v>12475.736513084366</v>
      </c>
      <c r="J54" s="114">
        <v>1120.5937241856432</v>
      </c>
      <c r="K54" s="114">
        <v>14405.252297402434</v>
      </c>
      <c r="L54" s="114">
        <v>2016.1760435312115</v>
      </c>
      <c r="M54" s="114">
        <v>1543.7822008293863</v>
      </c>
      <c r="N54" s="114">
        <v>10106.317364962404</v>
      </c>
      <c r="O54" s="114">
        <v>1909.9993347699349</v>
      </c>
      <c r="P54" s="114">
        <v>5604.5562979376764</v>
      </c>
      <c r="Q54" s="114">
        <v>9405.374227261982</v>
      </c>
      <c r="R54" s="114">
        <v>2100.4053504113672</v>
      </c>
      <c r="S54" s="114">
        <v>2893.3375109388012</v>
      </c>
      <c r="T54" s="114">
        <v>11546.065096302502</v>
      </c>
      <c r="U54" s="114">
        <v>4499.6371404210568</v>
      </c>
      <c r="V54" s="114">
        <v>5345.1780565617973</v>
      </c>
      <c r="W54" s="114">
        <v>12049.451023959109</v>
      </c>
      <c r="X54" s="114">
        <v>1589.6433495261163</v>
      </c>
      <c r="Y54" s="114">
        <v>6670.9193824385957</v>
      </c>
      <c r="Z54" s="114">
        <v>10633.825207148444</v>
      </c>
      <c r="AA54" s="114">
        <v>10306.413761366488</v>
      </c>
      <c r="AB54" s="114">
        <v>8968.6271913377295</v>
      </c>
      <c r="AC54" s="114">
        <v>1192.9610943173191</v>
      </c>
      <c r="AD54" s="114">
        <v>4309.8469280514555</v>
      </c>
      <c r="AE54" s="114">
        <v>4275.4695979081134</v>
      </c>
      <c r="AF54" s="114">
        <v>6033.342010898833</v>
      </c>
      <c r="AG54" s="114">
        <v>7587.2128040652378</v>
      </c>
      <c r="AH54" s="114">
        <v>4217.7093299405706</v>
      </c>
      <c r="AI54" s="114">
        <v>4175.6359004945407</v>
      </c>
      <c r="AJ54" s="114">
        <v>8922.493578289841</v>
      </c>
      <c r="AK54" s="114">
        <v>8567.0339410404231</v>
      </c>
      <c r="AL54" s="114">
        <v>3759.3648185820857</v>
      </c>
      <c r="AM54" s="114">
        <v>3173.9086766681676</v>
      </c>
      <c r="AN54" s="114">
        <v>13173.072408312981</v>
      </c>
      <c r="AO54" s="114">
        <v>7932.7506721855825</v>
      </c>
      <c r="AP54" s="114">
        <v>7079.6209718672071</v>
      </c>
      <c r="AQ54" s="114">
        <v>11280.03337453498</v>
      </c>
      <c r="AR54" s="114">
        <v>5274.8612407546607</v>
      </c>
      <c r="AS54" s="114">
        <v>4768.0580346701618</v>
      </c>
      <c r="AT54" s="114">
        <v>4751.5461814184564</v>
      </c>
      <c r="AU54" s="114">
        <v>11777.601697956086</v>
      </c>
      <c r="AV54" s="114">
        <v>5051.649747496017</v>
      </c>
      <c r="AW54" s="114">
        <v>1885.694841891532</v>
      </c>
      <c r="AX54" s="114">
        <v>10634.589213221174</v>
      </c>
      <c r="AY54" s="114" t="s">
        <v>237</v>
      </c>
      <c r="AZ54" s="114">
        <v>2265.4882538920087</v>
      </c>
      <c r="BA54" s="114">
        <v>2765.7894130895602</v>
      </c>
      <c r="BB54" s="114">
        <v>2820.0047584170834</v>
      </c>
      <c r="BC54" s="114">
        <v>9440.0809587149943</v>
      </c>
      <c r="BD54" s="114">
        <v>9957.0474104686018</v>
      </c>
      <c r="BE54" s="114">
        <v>4761.640974388346</v>
      </c>
      <c r="BF54" s="114">
        <v>11966.682539260928</v>
      </c>
      <c r="BG54" s="114">
        <v>599.48726445041439</v>
      </c>
      <c r="BH54" s="114">
        <v>11899.438194018579</v>
      </c>
      <c r="BI54" s="114">
        <v>4345.6351555546689</v>
      </c>
      <c r="BJ54" s="114">
        <v>2276.2030346699848</v>
      </c>
      <c r="BK54" s="114">
        <v>2757.3452661001015</v>
      </c>
      <c r="BL54" s="114">
        <v>6817.9203151219144</v>
      </c>
      <c r="BM54" s="114">
        <v>2947.2448695451449</v>
      </c>
      <c r="BN54" s="114">
        <v>2847.7325553895425</v>
      </c>
      <c r="BO54" s="114">
        <v>2944.3105525835672</v>
      </c>
      <c r="BP54" s="114">
        <v>4604.7629998143593</v>
      </c>
      <c r="BQ54" s="114">
        <v>5519.3271755314699</v>
      </c>
      <c r="BR54" s="114">
        <v>1206.6910985313611</v>
      </c>
      <c r="BS54" s="114">
        <v>2481.398881117475</v>
      </c>
      <c r="BT54" s="114">
        <v>2298.0169969833801</v>
      </c>
      <c r="BU54" s="114">
        <v>2591.9647898247572</v>
      </c>
      <c r="BV54" s="114">
        <v>4753.1206019735118</v>
      </c>
      <c r="BW54" s="114">
        <v>918.691782408113</v>
      </c>
      <c r="BX54" s="114">
        <v>9686.3652432163235</v>
      </c>
      <c r="BY54" s="114">
        <v>11908.94933195558</v>
      </c>
      <c r="BZ54" s="114">
        <v>5531.6781290140561</v>
      </c>
      <c r="CA54" s="114">
        <v>5554.8220138099423</v>
      </c>
      <c r="CB54" s="114">
        <v>9716.5598363029439</v>
      </c>
      <c r="CC54" s="114">
        <v>10168.813425640847</v>
      </c>
      <c r="CD54" s="114">
        <v>11695.884641389679</v>
      </c>
      <c r="CE54" s="114">
        <v>1796.7152494668928</v>
      </c>
      <c r="CF54" s="114">
        <v>4857.5531728957303</v>
      </c>
      <c r="CG54" s="114">
        <v>4272.8673664669795</v>
      </c>
      <c r="CH54" s="114">
        <v>4182.7862184185697</v>
      </c>
      <c r="CI54" s="114">
        <v>8888.0532930689078</v>
      </c>
      <c r="CJ54" s="114">
        <v>1636.8082521083736</v>
      </c>
      <c r="CK54" s="114">
        <v>1037.9594906143118</v>
      </c>
      <c r="CL54" s="114">
        <v>3664.3329340598807</v>
      </c>
      <c r="CM54" s="114">
        <v>6228.2484379985945</v>
      </c>
      <c r="CN54" s="114">
        <v>1957.48812061585</v>
      </c>
      <c r="CO54" s="114">
        <v>2330.6415280617862</v>
      </c>
      <c r="CP54" s="114">
        <v>10551.32376430043</v>
      </c>
      <c r="CQ54" s="114">
        <v>9070.4905059131925</v>
      </c>
      <c r="CR54" s="114">
        <v>445.54261389947595</v>
      </c>
      <c r="CS54" s="114">
        <v>3509.5586659847008</v>
      </c>
      <c r="CT54" s="114">
        <v>4047.0131526012283</v>
      </c>
      <c r="CU54" s="114">
        <v>1528.2205943409274</v>
      </c>
      <c r="CV54" s="114">
        <v>3627.1919670032667</v>
      </c>
      <c r="CW54" s="114">
        <v>7015.6294047846077</v>
      </c>
      <c r="CX54" s="114">
        <v>2481.520123949455</v>
      </c>
      <c r="CY54" s="114">
        <v>257.41872019415638</v>
      </c>
      <c r="CZ54" s="114">
        <v>7174.7952512204074</v>
      </c>
      <c r="DA54" s="114">
        <v>5501.5145785058485</v>
      </c>
      <c r="DB54" s="114">
        <v>1883.8698391656876</v>
      </c>
      <c r="DC54" s="114">
        <v>2392.9110985239536</v>
      </c>
      <c r="DD54" s="114">
        <v>2232.8835490843226</v>
      </c>
      <c r="DE54" s="114">
        <v>2717.5162118728667</v>
      </c>
      <c r="DF54" s="114">
        <v>6147.5303749889054</v>
      </c>
      <c r="DG54" s="114">
        <v>5459.7248102094627</v>
      </c>
      <c r="DH54" s="114">
        <v>7830.8386236261786</v>
      </c>
      <c r="DI54" s="114">
        <v>5372.2716154431037</v>
      </c>
      <c r="DJ54" s="114">
        <v>4813.4436646681224</v>
      </c>
      <c r="DK54" s="114">
        <v>1716.4406604724331</v>
      </c>
      <c r="DL54" s="114">
        <v>6642.1127624374585</v>
      </c>
      <c r="DM54" s="114">
        <v>6656.500829960828</v>
      </c>
      <c r="DN54" s="114">
        <v>12159.555539010114</v>
      </c>
      <c r="DO54" s="114">
        <v>1373.9124783742111</v>
      </c>
      <c r="DP54" s="114">
        <v>2404.5409687008532</v>
      </c>
      <c r="DQ54" s="114">
        <v>6058.1410543183356</v>
      </c>
      <c r="DR54" s="114">
        <v>1458.6945957085975</v>
      </c>
      <c r="DS54" s="114">
        <v>3648.2408399755841</v>
      </c>
      <c r="DT54" s="114">
        <v>6748.0184466649771</v>
      </c>
      <c r="DU54" s="114">
        <v>6526.0353296519179</v>
      </c>
      <c r="DV54" s="114">
        <v>6613.0301984562211</v>
      </c>
      <c r="DW54" s="114">
        <v>4954.4938939420927</v>
      </c>
      <c r="DX54" s="114">
        <v>2959.5026908231725</v>
      </c>
      <c r="DY54" s="114">
        <v>16570.29643650103</v>
      </c>
      <c r="DZ54" s="114">
        <v>16580.3678740293</v>
      </c>
      <c r="EA54" s="114">
        <v>11770.761433035554</v>
      </c>
      <c r="EB54" s="114">
        <v>3957.5718880758786</v>
      </c>
      <c r="EC54" s="114">
        <v>3914.8618398364115</v>
      </c>
      <c r="ED54" s="114">
        <v>7798.3614773167128</v>
      </c>
      <c r="EE54" s="114">
        <v>1293.0602697440775</v>
      </c>
      <c r="EF54" s="114">
        <v>3180.9442549643845</v>
      </c>
      <c r="EG54" s="114">
        <v>2752.1204418813272</v>
      </c>
      <c r="EH54" s="114">
        <v>3429.7525587271889</v>
      </c>
      <c r="EI54" s="114">
        <v>3643.1683844674417</v>
      </c>
      <c r="EJ54" s="114">
        <v>11416.067271854739</v>
      </c>
      <c r="EK54" s="114">
        <v>11624.13986359278</v>
      </c>
      <c r="EL54" s="114">
        <v>12605.270221382852</v>
      </c>
      <c r="EM54" s="114">
        <v>8892.6110277941079</v>
      </c>
      <c r="EN54" s="114">
        <v>2128.35117111608</v>
      </c>
      <c r="EO54" s="114">
        <v>3757.6580606834095</v>
      </c>
      <c r="EP54" s="114">
        <v>2057.3507157053155</v>
      </c>
      <c r="EQ54" s="114">
        <v>1188.0222173723382</v>
      </c>
      <c r="ER54" s="114">
        <v>2320.8437508575576</v>
      </c>
      <c r="ES54" s="114">
        <v>4093.4047616497132</v>
      </c>
      <c r="ET54" s="114">
        <v>9418.1463460603372</v>
      </c>
      <c r="EU54" s="114">
        <v>9457.1715345153461</v>
      </c>
      <c r="EV54" s="114">
        <v>9561.9436648031824</v>
      </c>
      <c r="EW54" s="114">
        <v>2024.3058325557913</v>
      </c>
      <c r="EX54" s="114">
        <v>4785.762418434033</v>
      </c>
      <c r="EY54" s="114">
        <v>1737.3054750428842</v>
      </c>
      <c r="EZ54" s="114">
        <v>5531.4759535571475</v>
      </c>
      <c r="FA54" s="114">
        <v>1514.184155317656</v>
      </c>
      <c r="FB54" s="114">
        <v>5573.741842358857</v>
      </c>
      <c r="FC54" s="114">
        <v>8161.919272969858</v>
      </c>
      <c r="FD54" s="114">
        <v>1966.7510283751906</v>
      </c>
      <c r="FE54" s="114">
        <v>1999.7286133973394</v>
      </c>
      <c r="FF54" s="114">
        <v>3881.9277515584195</v>
      </c>
      <c r="FG54" s="114">
        <v>6753.3745665103934</v>
      </c>
      <c r="FH54" s="114">
        <v>7988.4915291887401</v>
      </c>
      <c r="FI54" s="114">
        <v>3367.8236524830459</v>
      </c>
      <c r="FJ54" s="114">
        <v>3256.5147826638458</v>
      </c>
      <c r="FK54" s="114">
        <v>2786.1745448877114</v>
      </c>
      <c r="FL54" s="114">
        <v>5687.7241893891278</v>
      </c>
      <c r="FM54" s="114">
        <v>2202.3787398993431</v>
      </c>
      <c r="FN54" s="114">
        <v>9506.5142201631406</v>
      </c>
      <c r="FO54" s="114">
        <v>2900.5554409005758</v>
      </c>
      <c r="FP54" s="114">
        <v>2512.6021385629724</v>
      </c>
      <c r="FQ54" s="114">
        <v>335.63649405042139</v>
      </c>
      <c r="FR54" s="114">
        <v>8298.1545219391191</v>
      </c>
      <c r="FS54" s="114">
        <v>3141.6515118379816</v>
      </c>
      <c r="FT54" s="114">
        <v>4703.0190039598865</v>
      </c>
      <c r="FU54" s="114">
        <v>7076.415524027374</v>
      </c>
      <c r="FV54" s="114">
        <v>10721.742961603248</v>
      </c>
      <c r="FW54" s="114">
        <v>4599.3284941914708</v>
      </c>
      <c r="FX54" s="114">
        <v>9754.5066730779654</v>
      </c>
      <c r="FY54" s="114">
        <v>2087.6847405665094</v>
      </c>
      <c r="FZ54" s="114">
        <v>500.98393935817433</v>
      </c>
      <c r="GA54" s="114">
        <v>2183.7098503827151</v>
      </c>
      <c r="GB54" s="114">
        <v>3881.9550191144635</v>
      </c>
      <c r="GC54" s="114">
        <v>1707.1369314150015</v>
      </c>
      <c r="GD54" s="114">
        <v>2348.4492092376722</v>
      </c>
      <c r="GE54" s="114">
        <v>3204.8899090460009</v>
      </c>
      <c r="GF54" s="114">
        <v>11773.866434449437</v>
      </c>
      <c r="GG54" s="114">
        <v>8782.5387245737329</v>
      </c>
      <c r="GH54" s="114">
        <v>8476.4406095823069</v>
      </c>
      <c r="GI54" s="114">
        <v>9108.9786060550414</v>
      </c>
      <c r="GJ54" s="114">
        <v>12070.364339627127</v>
      </c>
      <c r="GK54" s="114">
        <v>3183.7175462907048</v>
      </c>
      <c r="GL54" s="114">
        <v>10225.477422879838</v>
      </c>
      <c r="GM54" s="114">
        <v>7109.8065802034689</v>
      </c>
      <c r="GN54" s="114">
        <v>2450.2483437557707</v>
      </c>
      <c r="GO54" s="114">
        <v>5627.6988343627436</v>
      </c>
      <c r="GP54" s="114">
        <v>5845.8134623965852</v>
      </c>
      <c r="GQ54" s="114">
        <v>7812.0146244026882</v>
      </c>
      <c r="GR54" s="114">
        <v>14294.737364922876</v>
      </c>
      <c r="GS54" s="114">
        <v>2459.4418027010765</v>
      </c>
      <c r="GT54" s="115">
        <v>6838.3074704650689</v>
      </c>
    </row>
    <row r="55" spans="2:202" x14ac:dyDescent="0.6">
      <c r="B55" s="106" t="s">
        <v>610</v>
      </c>
      <c r="C55" s="63" t="s">
        <v>323</v>
      </c>
      <c r="D55" s="113">
        <v>4728.939692287543</v>
      </c>
      <c r="E55" s="114">
        <v>1759.5916195970672</v>
      </c>
      <c r="F55" s="114">
        <v>1310.9394296773501</v>
      </c>
      <c r="G55" s="114">
        <v>6511.2899272595323</v>
      </c>
      <c r="H55" s="114">
        <v>7568.8269494960896</v>
      </c>
      <c r="I55" s="114">
        <v>12036.480706066717</v>
      </c>
      <c r="J55" s="114">
        <v>2585.6524036996575</v>
      </c>
      <c r="K55" s="114">
        <v>16085.62381437114</v>
      </c>
      <c r="L55" s="114">
        <v>259.34339913055305</v>
      </c>
      <c r="M55" s="114">
        <v>2941.816842403493</v>
      </c>
      <c r="N55" s="114">
        <v>7998.2972618994818</v>
      </c>
      <c r="O55" s="114">
        <v>4064.5987354603421</v>
      </c>
      <c r="P55" s="114">
        <v>7055.4587267845773</v>
      </c>
      <c r="Q55" s="114">
        <v>7725.6991640841115</v>
      </c>
      <c r="R55" s="114">
        <v>977.12693361005506</v>
      </c>
      <c r="S55" s="114">
        <v>712.57878465043655</v>
      </c>
      <c r="T55" s="114">
        <v>9411.3181165916885</v>
      </c>
      <c r="U55" s="114">
        <v>4995.4564827937756</v>
      </c>
      <c r="V55" s="114">
        <v>6692.4452434753885</v>
      </c>
      <c r="W55" s="114">
        <v>10847.573092601851</v>
      </c>
      <c r="X55" s="114">
        <v>788.27239789881105</v>
      </c>
      <c r="Y55" s="114">
        <v>8359.4793298626118</v>
      </c>
      <c r="Z55" s="114">
        <v>10133.347557943827</v>
      </c>
      <c r="AA55" s="114">
        <v>9877.9091501499843</v>
      </c>
      <c r="AB55" s="114">
        <v>10385.651385002322</v>
      </c>
      <c r="AC55" s="114">
        <v>1089.7011144613273</v>
      </c>
      <c r="AD55" s="114">
        <v>4446.3042157764958</v>
      </c>
      <c r="AE55" s="114">
        <v>6087.8602836533646</v>
      </c>
      <c r="AF55" s="114">
        <v>5153.4765111955076</v>
      </c>
      <c r="AG55" s="114">
        <v>9064.185841624645</v>
      </c>
      <c r="AH55" s="114">
        <v>5132.7450064257337</v>
      </c>
      <c r="AI55" s="114">
        <v>5183.1750005549493</v>
      </c>
      <c r="AJ55" s="114">
        <v>6669.2386020279664</v>
      </c>
      <c r="AK55" s="114">
        <v>6316.6619454377715</v>
      </c>
      <c r="AL55" s="114">
        <v>5109.7077453568472</v>
      </c>
      <c r="AM55" s="114">
        <v>4219.9830880910586</v>
      </c>
      <c r="AN55" s="114">
        <v>12421.233591777989</v>
      </c>
      <c r="AO55" s="114">
        <v>8498.5343851140806</v>
      </c>
      <c r="AP55" s="114">
        <v>7487.1542114620352</v>
      </c>
      <c r="AQ55" s="114">
        <v>9510.7330255035376</v>
      </c>
      <c r="AR55" s="114">
        <v>7390.467543902636</v>
      </c>
      <c r="AS55" s="114">
        <v>6047.4250622485888</v>
      </c>
      <c r="AT55" s="114">
        <v>6020.7144470158864</v>
      </c>
      <c r="AU55" s="114">
        <v>9775.3767531087124</v>
      </c>
      <c r="AV55" s="114">
        <v>5255.6787093315907</v>
      </c>
      <c r="AW55" s="114">
        <v>516.01872166598628</v>
      </c>
      <c r="AX55" s="114">
        <v>8501.0447703566297</v>
      </c>
      <c r="AY55" s="114">
        <v>2265.4882538920087</v>
      </c>
      <c r="AZ55" s="114" t="s">
        <v>237</v>
      </c>
      <c r="BA55" s="114">
        <v>609.24070473350127</v>
      </c>
      <c r="BB55" s="114">
        <v>5033.3343892836665</v>
      </c>
      <c r="BC55" s="114">
        <v>7684.7584809629452</v>
      </c>
      <c r="BD55" s="114">
        <v>8023.2660353415058</v>
      </c>
      <c r="BE55" s="114">
        <v>6032.9869746149343</v>
      </c>
      <c r="BF55" s="114">
        <v>10203.797579902883</v>
      </c>
      <c r="BG55" s="114">
        <v>2639.7321786762536</v>
      </c>
      <c r="BH55" s="114">
        <v>9792.4864650311065</v>
      </c>
      <c r="BI55" s="114">
        <v>5209.6098736178719</v>
      </c>
      <c r="BJ55" s="114">
        <v>4453.0373452353324</v>
      </c>
      <c r="BK55" s="114">
        <v>1211.7990684664474</v>
      </c>
      <c r="BL55" s="114">
        <v>8637.9958383459798</v>
      </c>
      <c r="BM55" s="114">
        <v>5079.6568177592781</v>
      </c>
      <c r="BN55" s="114">
        <v>1313.2120367610553</v>
      </c>
      <c r="BO55" s="114">
        <v>887.84797432790981</v>
      </c>
      <c r="BP55" s="114">
        <v>5557.5374199325897</v>
      </c>
      <c r="BQ55" s="114">
        <v>4942.2233059215232</v>
      </c>
      <c r="BR55" s="114">
        <v>2516.1188094206741</v>
      </c>
      <c r="BS55" s="114">
        <v>259.15946786540167</v>
      </c>
      <c r="BT55" s="114">
        <v>286.72965791345553</v>
      </c>
      <c r="BU55" s="114">
        <v>395.12454791257835</v>
      </c>
      <c r="BV55" s="114">
        <v>5146.8864803813685</v>
      </c>
      <c r="BW55" s="114">
        <v>1569.5695301601272</v>
      </c>
      <c r="BX55" s="114">
        <v>7983.5248517827031</v>
      </c>
      <c r="BY55" s="114">
        <v>9780.9756895858427</v>
      </c>
      <c r="BZ55" s="114">
        <v>5201.9398523641858</v>
      </c>
      <c r="CA55" s="114">
        <v>5076.3273478530627</v>
      </c>
      <c r="CB55" s="114">
        <v>8197.312784226513</v>
      </c>
      <c r="CC55" s="114">
        <v>8199.334487297554</v>
      </c>
      <c r="CD55" s="114">
        <v>9603.278691510448</v>
      </c>
      <c r="CE55" s="114">
        <v>468.85294590457238</v>
      </c>
      <c r="CF55" s="114">
        <v>2612.118300519398</v>
      </c>
      <c r="CG55" s="114">
        <v>6173.5190014125537</v>
      </c>
      <c r="CH55" s="114">
        <v>5734.3281020744153</v>
      </c>
      <c r="CI55" s="114">
        <v>10681.688220473356</v>
      </c>
      <c r="CJ55" s="114">
        <v>3388.2763798896085</v>
      </c>
      <c r="CK55" s="114">
        <v>3089.5037388212754</v>
      </c>
      <c r="CL55" s="114">
        <v>1443.8036129430852</v>
      </c>
      <c r="CM55" s="114">
        <v>4517.0158479801748</v>
      </c>
      <c r="CN55" s="114">
        <v>957.93560193751489</v>
      </c>
      <c r="CO55" s="114">
        <v>633.245620144751</v>
      </c>
      <c r="CP55" s="114">
        <v>8534.0820839568496</v>
      </c>
      <c r="CQ55" s="114">
        <v>9086.9779168345267</v>
      </c>
      <c r="CR55" s="114">
        <v>2707.2910075689811</v>
      </c>
      <c r="CS55" s="114">
        <v>3929.4974468464779</v>
      </c>
      <c r="CT55" s="114">
        <v>6077.4447937187406</v>
      </c>
      <c r="CU55" s="114">
        <v>3646.8016023130963</v>
      </c>
      <c r="CV55" s="114">
        <v>4574.1614049238406</v>
      </c>
      <c r="CW55" s="114">
        <v>8384.2115568306053</v>
      </c>
      <c r="CX55" s="114">
        <v>972.15933568734351</v>
      </c>
      <c r="CY55" s="114">
        <v>2518.7004694860857</v>
      </c>
      <c r="CZ55" s="114">
        <v>8904.1760438330584</v>
      </c>
      <c r="DA55" s="114">
        <v>5393.5207497600304</v>
      </c>
      <c r="DB55" s="114">
        <v>1954.8852910789994</v>
      </c>
      <c r="DC55" s="114">
        <v>489.30429190656344</v>
      </c>
      <c r="DD55" s="114">
        <v>887.54204445878383</v>
      </c>
      <c r="DE55" s="114">
        <v>589.15607995960852</v>
      </c>
      <c r="DF55" s="114">
        <v>8291.2517391483289</v>
      </c>
      <c r="DG55" s="114">
        <v>7366.8795431716935</v>
      </c>
      <c r="DH55" s="114">
        <v>9542.8844984938714</v>
      </c>
      <c r="DI55" s="114">
        <v>7504.7808098697742</v>
      </c>
      <c r="DJ55" s="114">
        <v>4639.310073419746</v>
      </c>
      <c r="DK55" s="114">
        <v>1613.4547766907849</v>
      </c>
      <c r="DL55" s="114">
        <v>8873.9828071880293</v>
      </c>
      <c r="DM55" s="114">
        <v>8889.4106691145043</v>
      </c>
      <c r="DN55" s="114">
        <v>9930.7269585678987</v>
      </c>
      <c r="DO55" s="114">
        <v>1127.8761269191107</v>
      </c>
      <c r="DP55" s="114">
        <v>870.51844059631503</v>
      </c>
      <c r="DQ55" s="114">
        <v>6306.9660607543847</v>
      </c>
      <c r="DR55" s="114">
        <v>930.20689343835136</v>
      </c>
      <c r="DS55" s="114">
        <v>2473.6396139377393</v>
      </c>
      <c r="DT55" s="114">
        <v>8597.4825674519216</v>
      </c>
      <c r="DU55" s="114">
        <v>8046.2562646476345</v>
      </c>
      <c r="DV55" s="114">
        <v>8055.3189923400232</v>
      </c>
      <c r="DW55" s="114">
        <v>6380.1728918722147</v>
      </c>
      <c r="DX55" s="114">
        <v>716.84620877003942</v>
      </c>
      <c r="DY55" s="114">
        <v>17879.019033766559</v>
      </c>
      <c r="DZ55" s="114">
        <v>18194.409397581807</v>
      </c>
      <c r="EA55" s="114">
        <v>9710.5517283114841</v>
      </c>
      <c r="EB55" s="114">
        <v>4236.7024342399445</v>
      </c>
      <c r="EC55" s="114">
        <v>4603.4145002735231</v>
      </c>
      <c r="ED55" s="114">
        <v>8038.8060655197651</v>
      </c>
      <c r="EE55" s="114">
        <v>1045.1748385204885</v>
      </c>
      <c r="EF55" s="114">
        <v>1083.196418114971</v>
      </c>
      <c r="EG55" s="114">
        <v>4821.0444551748078</v>
      </c>
      <c r="EH55" s="114">
        <v>5291.5643966055814</v>
      </c>
      <c r="EI55" s="114">
        <v>5075.8630999843981</v>
      </c>
      <c r="EJ55" s="114">
        <v>9487.4930781951989</v>
      </c>
      <c r="EK55" s="114">
        <v>10908.077507877741</v>
      </c>
      <c r="EL55" s="114">
        <v>11113.74089221246</v>
      </c>
      <c r="EM55" s="114">
        <v>9936.8700585690767</v>
      </c>
      <c r="EN55" s="114">
        <v>526.70883526403736</v>
      </c>
      <c r="EO55" s="114">
        <v>2248.3706818680766</v>
      </c>
      <c r="EP55" s="114">
        <v>4213.0120815736745</v>
      </c>
      <c r="EQ55" s="114">
        <v>1102.3771285918549</v>
      </c>
      <c r="ER55" s="114">
        <v>1682.4248889930825</v>
      </c>
      <c r="ES55" s="114">
        <v>5937.3060090459285</v>
      </c>
      <c r="ET55" s="114">
        <v>7606.8284844038271</v>
      </c>
      <c r="EU55" s="114">
        <v>7735.8520376808628</v>
      </c>
      <c r="EV55" s="114">
        <v>7849.8074241551803</v>
      </c>
      <c r="EW55" s="114">
        <v>737.32563455800141</v>
      </c>
      <c r="EX55" s="114">
        <v>5603.8507105050076</v>
      </c>
      <c r="EY55" s="114">
        <v>3974.972080755379</v>
      </c>
      <c r="EZ55" s="114">
        <v>4884.2182734767266</v>
      </c>
      <c r="FA55" s="114">
        <v>771.52766617451084</v>
      </c>
      <c r="FB55" s="114">
        <v>5288.3504228608454</v>
      </c>
      <c r="FC55" s="114">
        <v>9863.7191288891772</v>
      </c>
      <c r="FD55" s="114">
        <v>300.14220966355043</v>
      </c>
      <c r="FE55" s="114">
        <v>445.96648771202206</v>
      </c>
      <c r="FF55" s="114">
        <v>6089.7592326337563</v>
      </c>
      <c r="FG55" s="114">
        <v>8505.6034854905502</v>
      </c>
      <c r="FH55" s="114">
        <v>8258.9461429849889</v>
      </c>
      <c r="FI55" s="114">
        <v>5282.5025542882249</v>
      </c>
      <c r="FJ55" s="114">
        <v>1755.2900266322497</v>
      </c>
      <c r="FK55" s="114">
        <v>1339.5600348964706</v>
      </c>
      <c r="FL55" s="114">
        <v>7692.9246746775652</v>
      </c>
      <c r="FM55" s="114">
        <v>4194.3932004790959</v>
      </c>
      <c r="FN55" s="114">
        <v>8071.7217533776893</v>
      </c>
      <c r="FO55" s="114">
        <v>1046.1454166040944</v>
      </c>
      <c r="FP55" s="114">
        <v>642.33820744698596</v>
      </c>
      <c r="FQ55" s="114">
        <v>2587.8493137450951</v>
      </c>
      <c r="FR55" s="114">
        <v>9042.290337064338</v>
      </c>
      <c r="FS55" s="114">
        <v>4411.8155097848448</v>
      </c>
      <c r="FT55" s="114">
        <v>6769.6615994635522</v>
      </c>
      <c r="FU55" s="114">
        <v>8587.8095148158609</v>
      </c>
      <c r="FV55" s="114">
        <v>12211.453016426563</v>
      </c>
      <c r="FW55" s="114">
        <v>5036.9946157297827</v>
      </c>
      <c r="FX55" s="114">
        <v>8083.8740015651465</v>
      </c>
      <c r="FY55" s="114">
        <v>1542.3731660979245</v>
      </c>
      <c r="FZ55" s="114">
        <v>1847.8759758197054</v>
      </c>
      <c r="GA55" s="114">
        <v>3649.8477983778248</v>
      </c>
      <c r="GB55" s="114">
        <v>5802.9329013567467</v>
      </c>
      <c r="GC55" s="114">
        <v>1141.8197713425911</v>
      </c>
      <c r="GD55" s="114">
        <v>4471.8982709839865</v>
      </c>
      <c r="GE55" s="114">
        <v>1013.75214208173</v>
      </c>
      <c r="GF55" s="114">
        <v>9560.6683047109273</v>
      </c>
      <c r="GG55" s="114">
        <v>6560.0461182757008</v>
      </c>
      <c r="GH55" s="114">
        <v>6254.6289604334625</v>
      </c>
      <c r="GI55" s="114">
        <v>6885.4962314013992</v>
      </c>
      <c r="GJ55" s="114">
        <v>11657.436912194678</v>
      </c>
      <c r="GK55" s="114">
        <v>4278.0110333606672</v>
      </c>
      <c r="GL55" s="114">
        <v>8473.892619907283</v>
      </c>
      <c r="GM55" s="114">
        <v>8318.8639844018271</v>
      </c>
      <c r="GN55" s="114">
        <v>4704.3854028713231</v>
      </c>
      <c r="GO55" s="114">
        <v>7391.6873828579282</v>
      </c>
      <c r="GP55" s="114">
        <v>7682.7487890052444</v>
      </c>
      <c r="GQ55" s="114">
        <v>9257.6030172466799</v>
      </c>
      <c r="GR55" s="114">
        <v>16048.240278781763</v>
      </c>
      <c r="GS55" s="114">
        <v>511.54036574181828</v>
      </c>
      <c r="GT55" s="115">
        <v>8587.6917731249268</v>
      </c>
    </row>
    <row r="56" spans="2:202" x14ac:dyDescent="0.6">
      <c r="B56" s="106" t="s">
        <v>47</v>
      </c>
      <c r="C56" s="63" t="s">
        <v>447</v>
      </c>
      <c r="D56" s="113">
        <v>4879.741096554545</v>
      </c>
      <c r="E56" s="114">
        <v>2225.2093253247913</v>
      </c>
      <c r="F56" s="114">
        <v>1660.3045395790061</v>
      </c>
      <c r="G56" s="114">
        <v>7106.865762626926</v>
      </c>
      <c r="H56" s="114">
        <v>7453.4194529082288</v>
      </c>
      <c r="I56" s="114">
        <v>12275.890205115338</v>
      </c>
      <c r="J56" s="114">
        <v>2893.2002162726521</v>
      </c>
      <c r="K56" s="114">
        <v>16051.983646295561</v>
      </c>
      <c r="L56" s="114">
        <v>853.11586016764738</v>
      </c>
      <c r="M56" s="114">
        <v>3190.8270642944831</v>
      </c>
      <c r="N56" s="114">
        <v>7711.1233369880847</v>
      </c>
      <c r="O56" s="114">
        <v>4466.7527399907931</v>
      </c>
      <c r="P56" s="114">
        <v>7130.7767336195384</v>
      </c>
      <c r="Q56" s="114">
        <v>7660.7130214250501</v>
      </c>
      <c r="R56" s="114">
        <v>987.31541690912252</v>
      </c>
      <c r="S56" s="114">
        <v>769.38662771768566</v>
      </c>
      <c r="T56" s="114">
        <v>9093.2216377497025</v>
      </c>
      <c r="U56" s="114">
        <v>5539.261290206613</v>
      </c>
      <c r="V56" s="114">
        <v>6743.3323572703703</v>
      </c>
      <c r="W56" s="114">
        <v>10896.859026503878</v>
      </c>
      <c r="X56" s="114">
        <v>1388.3601548076688</v>
      </c>
      <c r="Y56" s="114">
        <v>8968.6907291955413</v>
      </c>
      <c r="Z56" s="114">
        <v>10395.271973940782</v>
      </c>
      <c r="AA56" s="114">
        <v>10162.605956212006</v>
      </c>
      <c r="AB56" s="114">
        <v>10384.648338162031</v>
      </c>
      <c r="AC56" s="114">
        <v>1640.653757031374</v>
      </c>
      <c r="AD56" s="114">
        <v>4954.0933140307025</v>
      </c>
      <c r="AE56" s="114">
        <v>6692.6487701117567</v>
      </c>
      <c r="AF56" s="114">
        <v>5425.9897880704566</v>
      </c>
      <c r="AG56" s="114">
        <v>9107.8200362294028</v>
      </c>
      <c r="AH56" s="114">
        <v>5716.0485980361309</v>
      </c>
      <c r="AI56" s="114">
        <v>5772.8133155700807</v>
      </c>
      <c r="AJ56" s="114">
        <v>6249.072475204187</v>
      </c>
      <c r="AK56" s="114">
        <v>5904.0716115068271</v>
      </c>
      <c r="AL56" s="114">
        <v>5716.3613031229079</v>
      </c>
      <c r="AM56" s="114">
        <v>4819.8257432435885</v>
      </c>
      <c r="AN56" s="114">
        <v>12568.625393761331</v>
      </c>
      <c r="AO56" s="114">
        <v>8280.7876728320425</v>
      </c>
      <c r="AP56" s="114">
        <v>7250.7204372414926</v>
      </c>
      <c r="AQ56" s="114">
        <v>9379.4044362066034</v>
      </c>
      <c r="AR56" s="114">
        <v>7964.6173227883264</v>
      </c>
      <c r="AS56" s="114">
        <v>6648.136534871418</v>
      </c>
      <c r="AT56" s="114">
        <v>6621.0245276240666</v>
      </c>
      <c r="AU56" s="114">
        <v>9532.0418238135844</v>
      </c>
      <c r="AV56" s="114">
        <v>5754.9033044611615</v>
      </c>
      <c r="AW56" s="114">
        <v>1125.2431558586659</v>
      </c>
      <c r="AX56" s="114">
        <v>8191.5245851948066</v>
      </c>
      <c r="AY56" s="114">
        <v>2765.7894130895602</v>
      </c>
      <c r="AZ56" s="114">
        <v>609.24070473350127</v>
      </c>
      <c r="BA56" s="114" t="s">
        <v>237</v>
      </c>
      <c r="BB56" s="114">
        <v>5571.5562529592225</v>
      </c>
      <c r="BC56" s="114">
        <v>7588.0429245127461</v>
      </c>
      <c r="BD56" s="114">
        <v>7836.8924661804249</v>
      </c>
      <c r="BE56" s="114">
        <v>6633.3564528148781</v>
      </c>
      <c r="BF56" s="114">
        <v>10064.83039708913</v>
      </c>
      <c r="BG56" s="114">
        <v>3191.7948908353151</v>
      </c>
      <c r="BH56" s="114">
        <v>9489.3289139791941</v>
      </c>
      <c r="BI56" s="114">
        <v>5787.9731517284899</v>
      </c>
      <c r="BJ56" s="114">
        <v>5002.5729648290971</v>
      </c>
      <c r="BK56" s="114">
        <v>841.34354329761254</v>
      </c>
      <c r="BL56" s="114">
        <v>9245.6407348073008</v>
      </c>
      <c r="BM56" s="114">
        <v>5643.5308438690417</v>
      </c>
      <c r="BN56" s="114">
        <v>916.18595711541502</v>
      </c>
      <c r="BO56" s="114">
        <v>1033.9130002005256</v>
      </c>
      <c r="BP56" s="114">
        <v>6139.8754470901567</v>
      </c>
      <c r="BQ56" s="114">
        <v>5299.2784506575299</v>
      </c>
      <c r="BR56" s="114">
        <v>2798.4476522831596</v>
      </c>
      <c r="BS56" s="114">
        <v>350.92040240166739</v>
      </c>
      <c r="BT56" s="114">
        <v>810.59834680145309</v>
      </c>
      <c r="BU56" s="114">
        <v>638.35646976973135</v>
      </c>
      <c r="BV56" s="114">
        <v>5675.2095240790468</v>
      </c>
      <c r="BW56" s="114">
        <v>2151.424275688832</v>
      </c>
      <c r="BX56" s="114">
        <v>7904.3515871249101</v>
      </c>
      <c r="BY56" s="114">
        <v>9464.3584547631908</v>
      </c>
      <c r="BZ56" s="114">
        <v>5606.2769400276429</v>
      </c>
      <c r="CA56" s="114">
        <v>5451.9991819836014</v>
      </c>
      <c r="CB56" s="114">
        <v>8187.2229700819707</v>
      </c>
      <c r="CC56" s="114">
        <v>7992.0154089228108</v>
      </c>
      <c r="CD56" s="114">
        <v>9310.7555195666573</v>
      </c>
      <c r="CE56" s="114">
        <v>1014.9699894535461</v>
      </c>
      <c r="CF56" s="114">
        <v>2096.4936813484705</v>
      </c>
      <c r="CG56" s="114">
        <v>6427.1622795441226</v>
      </c>
      <c r="CH56" s="114">
        <v>5876.4044132055533</v>
      </c>
      <c r="CI56" s="114">
        <v>10820.806756606764</v>
      </c>
      <c r="CJ56" s="114">
        <v>3688.9214542290156</v>
      </c>
      <c r="CK56" s="114">
        <v>3488.4920678361414</v>
      </c>
      <c r="CL56" s="114">
        <v>1220.2927170451508</v>
      </c>
      <c r="CM56" s="114">
        <v>4513.6411548426195</v>
      </c>
      <c r="CN56" s="114">
        <v>1542.277932620731</v>
      </c>
      <c r="CO56" s="114">
        <v>1127.8969214093859</v>
      </c>
      <c r="CP56" s="114">
        <v>8296.6752364907516</v>
      </c>
      <c r="CQ56" s="114">
        <v>8724.7328909023545</v>
      </c>
      <c r="CR56" s="114">
        <v>3211.3316369038239</v>
      </c>
      <c r="CS56" s="114">
        <v>3832.0298011878072</v>
      </c>
      <c r="CT56" s="114">
        <v>6663.331870949014</v>
      </c>
      <c r="CU56" s="114">
        <v>4045.0678090290448</v>
      </c>
      <c r="CV56" s="114">
        <v>4583.3849237716695</v>
      </c>
      <c r="CW56" s="114">
        <v>8404.1287524201161</v>
      </c>
      <c r="CX56" s="114">
        <v>740.13900124102747</v>
      </c>
      <c r="CY56" s="114">
        <v>3010.1554868062904</v>
      </c>
      <c r="CZ56" s="114">
        <v>9513.4071623234759</v>
      </c>
      <c r="DA56" s="114">
        <v>5836.7375520924543</v>
      </c>
      <c r="DB56" s="114">
        <v>2549.2234457576437</v>
      </c>
      <c r="DC56" s="114">
        <v>949.72559213693853</v>
      </c>
      <c r="DD56" s="114">
        <v>828.42399144175408</v>
      </c>
      <c r="DE56" s="114">
        <v>793.62018708945095</v>
      </c>
      <c r="DF56" s="114">
        <v>8860.0710033712858</v>
      </c>
      <c r="DG56" s="114">
        <v>7968.5450330998274</v>
      </c>
      <c r="DH56" s="114">
        <v>9665.4097710125934</v>
      </c>
      <c r="DI56" s="114">
        <v>7848.0690039074725</v>
      </c>
      <c r="DJ56" s="114">
        <v>5090.3054883801606</v>
      </c>
      <c r="DK56" s="114">
        <v>2214.555229530512</v>
      </c>
      <c r="DL56" s="114">
        <v>9405.6993432741183</v>
      </c>
      <c r="DM56" s="114">
        <v>9420.3777197176714</v>
      </c>
      <c r="DN56" s="114">
        <v>9530.7541613711837</v>
      </c>
      <c r="DO56" s="114">
        <v>1475.8879445724792</v>
      </c>
      <c r="DP56" s="114">
        <v>1344.5007427637081</v>
      </c>
      <c r="DQ56" s="114">
        <v>6060.4961870727921</v>
      </c>
      <c r="DR56" s="114">
        <v>1526.3950310368903</v>
      </c>
      <c r="DS56" s="114">
        <v>2799.4878315337064</v>
      </c>
      <c r="DT56" s="114">
        <v>9204.0246585562818</v>
      </c>
      <c r="DU56" s="114">
        <v>8123.9863783100773</v>
      </c>
      <c r="DV56" s="114">
        <v>8658.0252200609721</v>
      </c>
      <c r="DW56" s="114">
        <v>6464.0173068224331</v>
      </c>
      <c r="DX56" s="114">
        <v>621.66588054879981</v>
      </c>
      <c r="DY56" s="114">
        <v>17563.752941543535</v>
      </c>
      <c r="DZ56" s="114">
        <v>17963.304561196383</v>
      </c>
      <c r="EA56" s="114">
        <v>9436.1866366701579</v>
      </c>
      <c r="EB56" s="114">
        <v>4769.373399410596</v>
      </c>
      <c r="EC56" s="114">
        <v>5173.9017048042888</v>
      </c>
      <c r="ED56" s="114">
        <v>7748.4849209219401</v>
      </c>
      <c r="EE56" s="114">
        <v>1624.3260571545129</v>
      </c>
      <c r="EF56" s="114">
        <v>473.95826092511368</v>
      </c>
      <c r="EG56" s="114">
        <v>5169.9438749957644</v>
      </c>
      <c r="EH56" s="114">
        <v>5550.334446724275</v>
      </c>
      <c r="EI56" s="114">
        <v>5202.74524818593</v>
      </c>
      <c r="EJ56" s="114">
        <v>9284.6414144114533</v>
      </c>
      <c r="EK56" s="114">
        <v>11098.191357377402</v>
      </c>
      <c r="EL56" s="114">
        <v>11062.062528689265</v>
      </c>
      <c r="EM56" s="114">
        <v>9824.0318531150988</v>
      </c>
      <c r="EN56" s="114">
        <v>675.23666043545552</v>
      </c>
      <c r="EO56" s="114">
        <v>2473.466334676727</v>
      </c>
      <c r="EP56" s="114">
        <v>4612.522716670419</v>
      </c>
      <c r="EQ56" s="114">
        <v>1577.7684393896589</v>
      </c>
      <c r="ER56" s="114">
        <v>1580.2916292911661</v>
      </c>
      <c r="ES56" s="114">
        <v>6540.1363106901499</v>
      </c>
      <c r="ET56" s="114">
        <v>7486.1474601876107</v>
      </c>
      <c r="EU56" s="114">
        <v>7653.0580215745276</v>
      </c>
      <c r="EV56" s="114">
        <v>7768.9814569189293</v>
      </c>
      <c r="EW56" s="114">
        <v>1318.7749382604343</v>
      </c>
      <c r="EX56" s="114">
        <v>6173.8580467358133</v>
      </c>
      <c r="EY56" s="114">
        <v>4424.5628901240661</v>
      </c>
      <c r="EZ56" s="114">
        <v>5226.2710908646077</v>
      </c>
      <c r="FA56" s="114">
        <v>1340.2112387580974</v>
      </c>
      <c r="FB56" s="114">
        <v>5699.5223624363416</v>
      </c>
      <c r="FC56" s="114">
        <v>9977.1605958355067</v>
      </c>
      <c r="FD56" s="114">
        <v>875.11445017362405</v>
      </c>
      <c r="FE56" s="114">
        <v>1051.1558714257792</v>
      </c>
      <c r="FF56" s="114">
        <v>6632.4889336373481</v>
      </c>
      <c r="FG56" s="114">
        <v>9114.5984407933138</v>
      </c>
      <c r="FH56" s="114">
        <v>7971.4155084188778</v>
      </c>
      <c r="FI56" s="114">
        <v>5878.3457973035029</v>
      </c>
      <c r="FJ56" s="114">
        <v>2046.5231203064031</v>
      </c>
      <c r="FK56" s="114">
        <v>1726.5634119129816</v>
      </c>
      <c r="FL56" s="114">
        <v>7967.5359903368299</v>
      </c>
      <c r="FM56" s="114">
        <v>4776.5828712203274</v>
      </c>
      <c r="FN56" s="114">
        <v>8095.0479816225688</v>
      </c>
      <c r="FO56" s="114">
        <v>542.20249801094235</v>
      </c>
      <c r="FP56" s="114">
        <v>1044.1307325083587</v>
      </c>
      <c r="FQ56" s="114">
        <v>3072.0728497593786</v>
      </c>
      <c r="FR56" s="114">
        <v>8861.1579352273111</v>
      </c>
      <c r="FS56" s="114">
        <v>4520.2347735696767</v>
      </c>
      <c r="FT56" s="114">
        <v>7351.9023997540417</v>
      </c>
      <c r="FU56" s="114">
        <v>8652.1949273245518</v>
      </c>
      <c r="FV56" s="114">
        <v>12203.098210397002</v>
      </c>
      <c r="FW56" s="114">
        <v>5572.9594064942448</v>
      </c>
      <c r="FX56" s="114">
        <v>8016.3867484731818</v>
      </c>
      <c r="FY56" s="114">
        <v>2109.4795807924761</v>
      </c>
      <c r="FZ56" s="114">
        <v>2307.7190087222357</v>
      </c>
      <c r="GA56" s="114">
        <v>3856.9795790172734</v>
      </c>
      <c r="GB56" s="114">
        <v>6399.9779718454183</v>
      </c>
      <c r="GC56" s="114">
        <v>1326.7555791530606</v>
      </c>
      <c r="GD56" s="114">
        <v>4851.5136129289112</v>
      </c>
      <c r="GE56" s="114">
        <v>935.15364626045971</v>
      </c>
      <c r="GF56" s="114">
        <v>9016.198524051395</v>
      </c>
      <c r="GG56" s="114">
        <v>6186.8605006166526</v>
      </c>
      <c r="GH56" s="114">
        <v>5884.6006152461223</v>
      </c>
      <c r="GI56" s="114">
        <v>6508.8040468816716</v>
      </c>
      <c r="GJ56" s="114">
        <v>11911.61367387696</v>
      </c>
      <c r="GK56" s="114">
        <v>4344.1946277469506</v>
      </c>
      <c r="GL56" s="114">
        <v>8365.9458077310683</v>
      </c>
      <c r="GM56" s="114">
        <v>8288.9959724770652</v>
      </c>
      <c r="GN56" s="114">
        <v>5216.0044680779711</v>
      </c>
      <c r="GO56" s="114">
        <v>7999.8746989651827</v>
      </c>
      <c r="GP56" s="114">
        <v>8288.8438991905277</v>
      </c>
      <c r="GQ56" s="114">
        <v>9286.8358767298032</v>
      </c>
      <c r="GR56" s="114">
        <v>16051.652187223475</v>
      </c>
      <c r="GS56" s="114">
        <v>930.9363640030374</v>
      </c>
      <c r="GT56" s="115">
        <v>9196.7431125327494</v>
      </c>
    </row>
    <row r="57" spans="2:202" x14ac:dyDescent="0.6">
      <c r="B57" s="106" t="s">
        <v>48</v>
      </c>
      <c r="C57" s="63" t="s">
        <v>48</v>
      </c>
      <c r="D57" s="113">
        <v>3754.4213626707524</v>
      </c>
      <c r="E57" s="114">
        <v>4824.1705078707</v>
      </c>
      <c r="F57" s="114">
        <v>5260.2580646304614</v>
      </c>
      <c r="G57" s="114">
        <v>3881.5936207976615</v>
      </c>
      <c r="H57" s="114">
        <v>11102.076492125219</v>
      </c>
      <c r="I57" s="114">
        <v>11821.640451677473</v>
      </c>
      <c r="J57" s="114">
        <v>3233.5546517240255</v>
      </c>
      <c r="K57" s="114">
        <v>12420.118584241982</v>
      </c>
      <c r="L57" s="114">
        <v>4775.2250856937781</v>
      </c>
      <c r="M57" s="114">
        <v>3327.6330108570201</v>
      </c>
      <c r="N57" s="114">
        <v>12320.134746191128</v>
      </c>
      <c r="O57" s="114">
        <v>1874.1512836914515</v>
      </c>
      <c r="P57" s="114">
        <v>5258.9181640118295</v>
      </c>
      <c r="Q57" s="114">
        <v>10948.802481217968</v>
      </c>
      <c r="R57" s="114">
        <v>4901.4995628315464</v>
      </c>
      <c r="S57" s="114">
        <v>5581.5024318577471</v>
      </c>
      <c r="T57" s="114">
        <v>13734.125080509162</v>
      </c>
      <c r="U57" s="114">
        <v>4402.6208324932841</v>
      </c>
      <c r="V57" s="114">
        <v>5242.9405815898499</v>
      </c>
      <c r="W57" s="114">
        <v>12494.836548413279</v>
      </c>
      <c r="X57" s="114">
        <v>4279.7183352040311</v>
      </c>
      <c r="Y57" s="114">
        <v>4343.6945776435441</v>
      </c>
      <c r="Z57" s="114">
        <v>10381.00707376818</v>
      </c>
      <c r="AA57" s="114">
        <v>10019.515185224891</v>
      </c>
      <c r="AB57" s="114">
        <v>8036.6812634961098</v>
      </c>
      <c r="AC57" s="114">
        <v>3944.5964215070344</v>
      </c>
      <c r="AD57" s="114">
        <v>4734.4660464973631</v>
      </c>
      <c r="AE57" s="114">
        <v>2140.6203631149847</v>
      </c>
      <c r="AF57" s="114">
        <v>7088.8674995331421</v>
      </c>
      <c r="AG57" s="114">
        <v>6781.1920721700499</v>
      </c>
      <c r="AH57" s="114">
        <v>3663.0951506968677</v>
      </c>
      <c r="AI57" s="114">
        <v>3502.2677497670184</v>
      </c>
      <c r="AJ57" s="114">
        <v>11544.933556419752</v>
      </c>
      <c r="AK57" s="114">
        <v>11184.308781818616</v>
      </c>
      <c r="AL57" s="114">
        <v>2734.585966822011</v>
      </c>
      <c r="AM57" s="114">
        <v>3008.3863935578552</v>
      </c>
      <c r="AN57" s="114">
        <v>12774.422872995765</v>
      </c>
      <c r="AO57" s="114">
        <v>8357.9573428201293</v>
      </c>
      <c r="AP57" s="114">
        <v>7858.5791931964941</v>
      </c>
      <c r="AQ57" s="114">
        <v>12751.417897036141</v>
      </c>
      <c r="AR57" s="114">
        <v>2501.9109044283732</v>
      </c>
      <c r="AS57" s="114">
        <v>3433.2225958719318</v>
      </c>
      <c r="AT57" s="114">
        <v>3438.6765331209522</v>
      </c>
      <c r="AU57" s="114">
        <v>13641.439157096387</v>
      </c>
      <c r="AV57" s="114">
        <v>5121.7653911467542</v>
      </c>
      <c r="AW57" s="114">
        <v>4585.2107424732276</v>
      </c>
      <c r="AX57" s="114">
        <v>12874.599667074719</v>
      </c>
      <c r="AY57" s="114">
        <v>2820.0047584170834</v>
      </c>
      <c r="AZ57" s="114">
        <v>5033.3343892836665</v>
      </c>
      <c r="BA57" s="114">
        <v>5571.5562529592225</v>
      </c>
      <c r="BB57" s="114" t="s">
        <v>237</v>
      </c>
      <c r="BC57" s="114">
        <v>11094.138039055402</v>
      </c>
      <c r="BD57" s="114">
        <v>11852.259433037425</v>
      </c>
      <c r="BE57" s="114">
        <v>3441.8498119803767</v>
      </c>
      <c r="BF57" s="114">
        <v>13338.366844894397</v>
      </c>
      <c r="BG57" s="114">
        <v>2395.6465784569727</v>
      </c>
      <c r="BH57" s="114">
        <v>13992.809892930833</v>
      </c>
      <c r="BI57" s="114">
        <v>3809.084909211555</v>
      </c>
      <c r="BJ57" s="114">
        <v>604.14865192558648</v>
      </c>
      <c r="BK57" s="114">
        <v>5553.9370654437162</v>
      </c>
      <c r="BL57" s="114">
        <v>4314.723665709952</v>
      </c>
      <c r="BM57" s="114">
        <v>473.00459306893828</v>
      </c>
      <c r="BN57" s="114">
        <v>5637.6918596462792</v>
      </c>
      <c r="BO57" s="114">
        <v>5565.723918524478</v>
      </c>
      <c r="BP57" s="114">
        <v>3832.8339449898976</v>
      </c>
      <c r="BQ57" s="114">
        <v>6359.8747040166863</v>
      </c>
      <c r="BR57" s="114">
        <v>3382.2325013888508</v>
      </c>
      <c r="BS57" s="114">
        <v>5267.8828789660174</v>
      </c>
      <c r="BT57" s="114">
        <v>5007.0169502868057</v>
      </c>
      <c r="BU57" s="114">
        <v>5311.3890743239654</v>
      </c>
      <c r="BV57" s="114">
        <v>4690.0043254284374</v>
      </c>
      <c r="BW57" s="114">
        <v>3489.6475549404554</v>
      </c>
      <c r="BX57" s="114">
        <v>11233.207358224879</v>
      </c>
      <c r="BY57" s="114">
        <v>14054.854360904694</v>
      </c>
      <c r="BZ57" s="114">
        <v>6089.5869463428153</v>
      </c>
      <c r="CA57" s="114">
        <v>6275.8030883878637</v>
      </c>
      <c r="CB57" s="114">
        <v>10985.640111987428</v>
      </c>
      <c r="CC57" s="114">
        <v>12109.797853727276</v>
      </c>
      <c r="CD57" s="114">
        <v>13770.096579364919</v>
      </c>
      <c r="CE57" s="114">
        <v>4573.0636091588904</v>
      </c>
      <c r="CF57" s="114">
        <v>7645.3649314256263</v>
      </c>
      <c r="CG57" s="114">
        <v>3406.2918156560086</v>
      </c>
      <c r="CH57" s="114">
        <v>4107.6415585978857</v>
      </c>
      <c r="CI57" s="114">
        <v>7355.7126624557422</v>
      </c>
      <c r="CJ57" s="114">
        <v>2860.1812045045504</v>
      </c>
      <c r="CK57" s="114">
        <v>2468.9461495728001</v>
      </c>
      <c r="CL57" s="114">
        <v>6339.238148673151</v>
      </c>
      <c r="CM57" s="114">
        <v>8169.2438387201246</v>
      </c>
      <c r="CN57" s="114">
        <v>4466.5451649629276</v>
      </c>
      <c r="CO57" s="114">
        <v>4939.8668781861033</v>
      </c>
      <c r="CP57" s="114">
        <v>12551.802708189758</v>
      </c>
      <c r="CQ57" s="114">
        <v>9961.465813978728</v>
      </c>
      <c r="CR57" s="114">
        <v>2379.548236333384</v>
      </c>
      <c r="CS57" s="114">
        <v>5173.4038796424584</v>
      </c>
      <c r="CT57" s="114">
        <v>1501.7902447714903</v>
      </c>
      <c r="CU57" s="114">
        <v>2113.4229785860257</v>
      </c>
      <c r="CV57" s="114">
        <v>4686.8937741628188</v>
      </c>
      <c r="CW57" s="114">
        <v>6490.7319558882546</v>
      </c>
      <c r="CX57" s="114">
        <v>5289.5265616981651</v>
      </c>
      <c r="CY57" s="114">
        <v>2593.1122817469632</v>
      </c>
      <c r="CZ57" s="114">
        <v>4753.6994191995345</v>
      </c>
      <c r="DA57" s="114">
        <v>5809.0144230916076</v>
      </c>
      <c r="DB57" s="114">
        <v>3811.7658813496155</v>
      </c>
      <c r="DC57" s="114">
        <v>5050.5043726394251</v>
      </c>
      <c r="DD57" s="114">
        <v>5042.7311527240017</v>
      </c>
      <c r="DE57" s="114">
        <v>5397.2244598627258</v>
      </c>
      <c r="DF57" s="114">
        <v>3342.0474449570484</v>
      </c>
      <c r="DG57" s="114">
        <v>2949.8638165994635</v>
      </c>
      <c r="DH57" s="114">
        <v>6582.1152749534804</v>
      </c>
      <c r="DI57" s="114">
        <v>3512.367952820608</v>
      </c>
      <c r="DJ57" s="114">
        <v>5410.9500514739939</v>
      </c>
      <c r="DK57" s="114">
        <v>3910.1602260734744</v>
      </c>
      <c r="DL57" s="114">
        <v>3840.7355103591199</v>
      </c>
      <c r="DM57" s="114">
        <v>3856.2782525144312</v>
      </c>
      <c r="DN57" s="114">
        <v>14600.561902967498</v>
      </c>
      <c r="DO57" s="114">
        <v>4187.2437019230938</v>
      </c>
      <c r="DP57" s="114">
        <v>4929.8378367225159</v>
      </c>
      <c r="DQ57" s="114">
        <v>7221.4466000081375</v>
      </c>
      <c r="DR57" s="114">
        <v>4135.2149605226969</v>
      </c>
      <c r="DS57" s="114">
        <v>5577.0430469331559</v>
      </c>
      <c r="DT57" s="114">
        <v>4214.4860694075551</v>
      </c>
      <c r="DU57" s="114">
        <v>5846.7448375524791</v>
      </c>
      <c r="DV57" s="114">
        <v>4619.4834287737567</v>
      </c>
      <c r="DW57" s="114">
        <v>4835.7686154383227</v>
      </c>
      <c r="DX57" s="114">
        <v>5683.7608605808891</v>
      </c>
      <c r="DY57" s="114">
        <v>14485.375554049084</v>
      </c>
      <c r="DZ57" s="114">
        <v>14289.476625589328</v>
      </c>
      <c r="EA57" s="114">
        <v>13763.379763031922</v>
      </c>
      <c r="EB57" s="114">
        <v>4365.3034160798616</v>
      </c>
      <c r="EC57" s="114">
        <v>3823.3705459424191</v>
      </c>
      <c r="ED57" s="114">
        <v>8642.105959994662</v>
      </c>
      <c r="EE57" s="114">
        <v>3996.286903856188</v>
      </c>
      <c r="EF57" s="114">
        <v>5998.2152438934354</v>
      </c>
      <c r="EG57" s="114">
        <v>2190.2006843505869</v>
      </c>
      <c r="EH57" s="114">
        <v>3038.5608237326223</v>
      </c>
      <c r="EI57" s="114">
        <v>4005.4581205641216</v>
      </c>
      <c r="EJ57" s="114">
        <v>13165.747872807942</v>
      </c>
      <c r="EK57" s="114">
        <v>11474.318444324263</v>
      </c>
      <c r="EL57" s="114">
        <v>13404.326051451924</v>
      </c>
      <c r="EM57" s="114">
        <v>8513.1398631722568</v>
      </c>
      <c r="EN57" s="114">
        <v>4947.1179156856806</v>
      </c>
      <c r="EO57" s="114">
        <v>5906.5535851736304</v>
      </c>
      <c r="EP57" s="114">
        <v>1837.4928477062347</v>
      </c>
      <c r="EQ57" s="114">
        <v>3999.9601887501653</v>
      </c>
      <c r="ER57" s="114">
        <v>4983.6995392367417</v>
      </c>
      <c r="ES57" s="114">
        <v>1947.5532963192798</v>
      </c>
      <c r="ET57" s="114">
        <v>11161.180408335116</v>
      </c>
      <c r="EU57" s="114">
        <v>11057.519725614931</v>
      </c>
      <c r="EV57" s="114">
        <v>11136.837406554712</v>
      </c>
      <c r="EW57" s="114">
        <v>4614.1523687750278</v>
      </c>
      <c r="EX57" s="114">
        <v>4140.1431139414426</v>
      </c>
      <c r="EY57" s="114">
        <v>1547.7556635297572</v>
      </c>
      <c r="EZ57" s="114">
        <v>6446.4430291917924</v>
      </c>
      <c r="FA57" s="114">
        <v>4261.9886304378797</v>
      </c>
      <c r="FB57" s="114">
        <v>6068.8842082690053</v>
      </c>
      <c r="FC57" s="114">
        <v>6884.0267266236551</v>
      </c>
      <c r="FD57" s="114">
        <v>4734.1364444854926</v>
      </c>
      <c r="FE57" s="114">
        <v>4694.9511506698918</v>
      </c>
      <c r="FF57" s="114">
        <v>1062.1596954173929</v>
      </c>
      <c r="FG57" s="114">
        <v>4337.8267504860014</v>
      </c>
      <c r="FH57" s="114">
        <v>8763.6276418873949</v>
      </c>
      <c r="FI57" s="114">
        <v>1358.4312922942834</v>
      </c>
      <c r="FJ57" s="114">
        <v>5518.3092912593902</v>
      </c>
      <c r="FK57" s="114">
        <v>5148.4350274326716</v>
      </c>
      <c r="FL57" s="114">
        <v>4158.9658731052914</v>
      </c>
      <c r="FM57" s="114">
        <v>1165.1587827757435</v>
      </c>
      <c r="FN57" s="114">
        <v>10682.234047523318</v>
      </c>
      <c r="FO57" s="114">
        <v>5718.3419878359982</v>
      </c>
      <c r="FP57" s="114">
        <v>5131.873910456352</v>
      </c>
      <c r="FQ57" s="114">
        <v>2545.8732423035494</v>
      </c>
      <c r="FR57" s="114">
        <v>8427.8909123163157</v>
      </c>
      <c r="FS57" s="114">
        <v>3998.3393041382742</v>
      </c>
      <c r="FT57" s="114">
        <v>2015.1917125145455</v>
      </c>
      <c r="FU57" s="114">
        <v>6304.4287572017502</v>
      </c>
      <c r="FV57" s="114">
        <v>9440.0517157246559</v>
      </c>
      <c r="FW57" s="114">
        <v>4538.1648675573306</v>
      </c>
      <c r="FX57" s="114">
        <v>11244.356106666506</v>
      </c>
      <c r="FY57" s="114">
        <v>4280.501641240533</v>
      </c>
      <c r="FZ57" s="114">
        <v>3308.3655073176933</v>
      </c>
      <c r="GA57" s="114">
        <v>3358.6413288090271</v>
      </c>
      <c r="GB57" s="114">
        <v>1630.9489933949003</v>
      </c>
      <c r="GC57" s="114">
        <v>4495.5329332769697</v>
      </c>
      <c r="GD57" s="114">
        <v>1940.6331370230407</v>
      </c>
      <c r="GE57" s="114">
        <v>5878.252974828325</v>
      </c>
      <c r="GF57" s="114">
        <v>14587.754732305792</v>
      </c>
      <c r="GG57" s="114">
        <v>11310.791639717176</v>
      </c>
      <c r="GH57" s="114">
        <v>11011.069965724977</v>
      </c>
      <c r="GI57" s="114">
        <v>11631.13028202665</v>
      </c>
      <c r="GJ57" s="114">
        <v>11458.24594236847</v>
      </c>
      <c r="GK57" s="114">
        <v>4255.6362425103198</v>
      </c>
      <c r="GL57" s="114">
        <v>11789.080696094841</v>
      </c>
      <c r="GM57" s="114">
        <v>6813.9081310969332</v>
      </c>
      <c r="GN57" s="114">
        <v>523.36682041809149</v>
      </c>
      <c r="GO57" s="114">
        <v>3313.9126145409382</v>
      </c>
      <c r="GP57" s="114">
        <v>3399.7659229683945</v>
      </c>
      <c r="GQ57" s="114">
        <v>7018.5374814871939</v>
      </c>
      <c r="GR57" s="114">
        <v>12246.983604139568</v>
      </c>
      <c r="GS57" s="114">
        <v>5115.9015470267605</v>
      </c>
      <c r="GT57" s="115">
        <v>4419.3330274903183</v>
      </c>
    </row>
    <row r="58" spans="2:202" x14ac:dyDescent="0.6">
      <c r="B58" s="106" t="s">
        <v>49</v>
      </c>
      <c r="C58" s="63" t="s">
        <v>448</v>
      </c>
      <c r="D58" s="113">
        <v>12412.600114755804</v>
      </c>
      <c r="E58" s="114">
        <v>6729.1546590782227</v>
      </c>
      <c r="F58" s="114">
        <v>6632.2599643335343</v>
      </c>
      <c r="G58" s="114">
        <v>8606.9788011873407</v>
      </c>
      <c r="H58" s="114">
        <v>222.90282662337557</v>
      </c>
      <c r="I58" s="114">
        <v>5728.021258504943</v>
      </c>
      <c r="J58" s="114">
        <v>10192.351067510805</v>
      </c>
      <c r="K58" s="114">
        <v>16175.747460964405</v>
      </c>
      <c r="L58" s="114">
        <v>7830.6014774588512</v>
      </c>
      <c r="M58" s="114">
        <v>10593.523894240228</v>
      </c>
      <c r="N58" s="114">
        <v>1991.0976835337713</v>
      </c>
      <c r="O58" s="114">
        <v>11308.799891157028</v>
      </c>
      <c r="P58" s="114">
        <v>14718.673847885739</v>
      </c>
      <c r="Q58" s="114">
        <v>317.66438232595306</v>
      </c>
      <c r="R58" s="114">
        <v>8558.8420913421978</v>
      </c>
      <c r="S58" s="114">
        <v>6981.4252030764355</v>
      </c>
      <c r="T58" s="114">
        <v>2895.6771569728849</v>
      </c>
      <c r="U58" s="114">
        <v>7004.5050412325345</v>
      </c>
      <c r="V58" s="114">
        <v>14328.349044444729</v>
      </c>
      <c r="W58" s="114">
        <v>3571.8188389884126</v>
      </c>
      <c r="X58" s="114">
        <v>8012.3923543804649</v>
      </c>
      <c r="Y58" s="114">
        <v>10387.703795286454</v>
      </c>
      <c r="Z58" s="114">
        <v>4592.4593236772207</v>
      </c>
      <c r="AA58" s="114">
        <v>4671.252137746781</v>
      </c>
      <c r="AB58" s="114">
        <v>17783.553358276615</v>
      </c>
      <c r="AC58" s="114">
        <v>8424.33110125854</v>
      </c>
      <c r="AD58" s="114">
        <v>6465.6737569995448</v>
      </c>
      <c r="AE58" s="114">
        <v>10144.633400103214</v>
      </c>
      <c r="AF58" s="114">
        <v>4063.3826106513179</v>
      </c>
      <c r="AG58" s="114">
        <v>16673.134464318755</v>
      </c>
      <c r="AH58" s="114">
        <v>7846.1172802623578</v>
      </c>
      <c r="AI58" s="114">
        <v>8038.2251106999956</v>
      </c>
      <c r="AJ58" s="114">
        <v>3605.7695487614465</v>
      </c>
      <c r="AK58" s="114">
        <v>3598.0401855848809</v>
      </c>
      <c r="AL58" s="114">
        <v>8768.6578378235299</v>
      </c>
      <c r="AM58" s="114">
        <v>8159.9873236798239</v>
      </c>
      <c r="AN58" s="114">
        <v>5473.3932748521293</v>
      </c>
      <c r="AO58" s="114">
        <v>14845.155841251879</v>
      </c>
      <c r="AP58" s="114">
        <v>13921.372980100727</v>
      </c>
      <c r="AQ58" s="114">
        <v>1845.7466417225855</v>
      </c>
      <c r="AR58" s="114">
        <v>11862.624491724224</v>
      </c>
      <c r="AS58" s="114">
        <v>8698.8248736523037</v>
      </c>
      <c r="AT58" s="114">
        <v>8670.7335984644051</v>
      </c>
      <c r="AU58" s="114">
        <v>2550.8333718114104</v>
      </c>
      <c r="AV58" s="114">
        <v>6337.7302782340112</v>
      </c>
      <c r="AW58" s="114">
        <v>7788.9964383140368</v>
      </c>
      <c r="AX58" s="114">
        <v>2368.2499006806247</v>
      </c>
      <c r="AY58" s="114">
        <v>9440.0809587149943</v>
      </c>
      <c r="AZ58" s="114">
        <v>7684.7584809629452</v>
      </c>
      <c r="BA58" s="114">
        <v>7588.0429245127461</v>
      </c>
      <c r="BB58" s="114">
        <v>11094.138039055402</v>
      </c>
      <c r="BC58" s="114" t="s">
        <v>237</v>
      </c>
      <c r="BD58" s="114">
        <v>953.37761966756898</v>
      </c>
      <c r="BE58" s="114">
        <v>8677.3989777066981</v>
      </c>
      <c r="BF58" s="114">
        <v>2539.289531030362</v>
      </c>
      <c r="BG58" s="114">
        <v>9392.2157648131652</v>
      </c>
      <c r="BH58" s="114">
        <v>3006.5811043268786</v>
      </c>
      <c r="BI58" s="114">
        <v>7733.9532066311858</v>
      </c>
      <c r="BJ58" s="114">
        <v>10579.516797797294</v>
      </c>
      <c r="BK58" s="114">
        <v>8317.8869595696397</v>
      </c>
      <c r="BL58" s="114">
        <v>10969.589849921045</v>
      </c>
      <c r="BM58" s="114">
        <v>10766.355012977525</v>
      </c>
      <c r="BN58" s="114">
        <v>8340.7215666939901</v>
      </c>
      <c r="BO58" s="114">
        <v>6801.2761526778604</v>
      </c>
      <c r="BP58" s="114">
        <v>7910.3180510359207</v>
      </c>
      <c r="BQ58" s="114">
        <v>4829.3143380246038</v>
      </c>
      <c r="BR58" s="114">
        <v>10152.709248468222</v>
      </c>
      <c r="BS58" s="114">
        <v>7625.3778056411611</v>
      </c>
      <c r="BT58" s="114">
        <v>7486.4567247783425</v>
      </c>
      <c r="BU58" s="114">
        <v>7290.7070402362942</v>
      </c>
      <c r="BV58" s="114">
        <v>6762.4351450661243</v>
      </c>
      <c r="BW58" s="114">
        <v>8525.4153591670201</v>
      </c>
      <c r="BX58" s="114">
        <v>353.84395484900477</v>
      </c>
      <c r="BY58" s="114">
        <v>3114.5398807582906</v>
      </c>
      <c r="BZ58" s="114">
        <v>5220.3922695682768</v>
      </c>
      <c r="CA58" s="114">
        <v>4963.5874581071739</v>
      </c>
      <c r="CB58" s="114">
        <v>1025.524416953097</v>
      </c>
      <c r="CC58" s="114">
        <v>1219.4089528403306</v>
      </c>
      <c r="CD58" s="114">
        <v>2787.9713407449294</v>
      </c>
      <c r="CE58" s="114">
        <v>8045.9365217931027</v>
      </c>
      <c r="CF58" s="114">
        <v>6218.3021662952015</v>
      </c>
      <c r="CG58" s="114">
        <v>13712.325505326244</v>
      </c>
      <c r="CH58" s="114">
        <v>13417.864960116698</v>
      </c>
      <c r="CI58" s="114">
        <v>18328.054697953863</v>
      </c>
      <c r="CJ58" s="114">
        <v>10962.62862419526</v>
      </c>
      <c r="CK58" s="114">
        <v>10471.575754384612</v>
      </c>
      <c r="CL58" s="114">
        <v>6367.8742386044905</v>
      </c>
      <c r="CM58" s="114">
        <v>3222.2469916218524</v>
      </c>
      <c r="CN58" s="114">
        <v>7533.4277165387275</v>
      </c>
      <c r="CO58" s="114">
        <v>7290.9353364805065</v>
      </c>
      <c r="CP58" s="114">
        <v>1655.0632381840207</v>
      </c>
      <c r="CQ58" s="114">
        <v>13940.464085414336</v>
      </c>
      <c r="CR58" s="114">
        <v>9749.5410247978525</v>
      </c>
      <c r="CS58" s="114">
        <v>11327.278509289574</v>
      </c>
      <c r="CT58" s="114">
        <v>10870.000772762723</v>
      </c>
      <c r="CU58" s="114">
        <v>10960.405309898799</v>
      </c>
      <c r="CV58" s="114">
        <v>12161.011320338012</v>
      </c>
      <c r="CW58" s="114">
        <v>15947.882640751319</v>
      </c>
      <c r="CX58" s="114">
        <v>8317.7404126675992</v>
      </c>
      <c r="CY58" s="114">
        <v>9669.3117003792831</v>
      </c>
      <c r="CZ58" s="114">
        <v>10686.474582230157</v>
      </c>
      <c r="DA58" s="114">
        <v>5624.3342841845988</v>
      </c>
      <c r="DB58" s="114">
        <v>7654.7423849874003</v>
      </c>
      <c r="DC58" s="114">
        <v>7310.3301516032197</v>
      </c>
      <c r="DD58" s="114">
        <v>8410.0220987309131</v>
      </c>
      <c r="DE58" s="114">
        <v>7096.5510745568517</v>
      </c>
      <c r="DF58" s="114">
        <v>12452.849422143016</v>
      </c>
      <c r="DG58" s="114">
        <v>10905.500627578569</v>
      </c>
      <c r="DH58" s="114">
        <v>17224.361193693796</v>
      </c>
      <c r="DI58" s="114">
        <v>14571.877236117487</v>
      </c>
      <c r="DJ58" s="114">
        <v>5793.3853035054972</v>
      </c>
      <c r="DK58" s="114">
        <v>7740.6844639573928</v>
      </c>
      <c r="DL58" s="114">
        <v>13514.534991462275</v>
      </c>
      <c r="DM58" s="114">
        <v>13535.895061734673</v>
      </c>
      <c r="DN58" s="114">
        <v>4038.4139543736942</v>
      </c>
      <c r="DO58" s="114">
        <v>8785.7964471593823</v>
      </c>
      <c r="DP58" s="114">
        <v>7140.7796545827205</v>
      </c>
      <c r="DQ58" s="114">
        <v>12898.407416620767</v>
      </c>
      <c r="DR58" s="114">
        <v>8103.5207951999455</v>
      </c>
      <c r="DS58" s="114">
        <v>5809.1405580944338</v>
      </c>
      <c r="DT58" s="114">
        <v>11078.149311301278</v>
      </c>
      <c r="DU58" s="114">
        <v>15712.015211925931</v>
      </c>
      <c r="DV58" s="114">
        <v>9487.1142240541722</v>
      </c>
      <c r="DW58" s="114">
        <v>14049.791703381623</v>
      </c>
      <c r="DX58" s="114">
        <v>7035.679080691194</v>
      </c>
      <c r="DY58" s="114">
        <v>14019.742962719858</v>
      </c>
      <c r="DZ58" s="114">
        <v>13969.268994878848</v>
      </c>
      <c r="EA58" s="114">
        <v>2718.1761326346718</v>
      </c>
      <c r="EB58" s="114">
        <v>6801.8425993244491</v>
      </c>
      <c r="EC58" s="114">
        <v>7457.9588166441599</v>
      </c>
      <c r="ED58" s="114">
        <v>13940.152971309699</v>
      </c>
      <c r="EE58" s="114">
        <v>8271.9450826718094</v>
      </c>
      <c r="EF58" s="114">
        <v>7526.4435255566859</v>
      </c>
      <c r="EG58" s="114">
        <v>12174.148979985806</v>
      </c>
      <c r="EH58" s="114">
        <v>12855.824589285467</v>
      </c>
      <c r="EI58" s="114">
        <v>12760.215753513043</v>
      </c>
      <c r="EJ58" s="114">
        <v>2074.5808337684061</v>
      </c>
      <c r="EK58" s="114">
        <v>4501.461903067966</v>
      </c>
      <c r="EL58" s="114">
        <v>3486.8556796599087</v>
      </c>
      <c r="EM58" s="114">
        <v>16714.516341760424</v>
      </c>
      <c r="EN58" s="114">
        <v>8153.2434911062137</v>
      </c>
      <c r="EO58" s="114">
        <v>5690.3120647203496</v>
      </c>
      <c r="EP58" s="114">
        <v>11447.680456545973</v>
      </c>
      <c r="EQ58" s="114">
        <v>8626.4275956454767</v>
      </c>
      <c r="ER58" s="114">
        <v>9156.8820449721043</v>
      </c>
      <c r="ES58" s="114">
        <v>10191.203931923872</v>
      </c>
      <c r="ET58" s="114">
        <v>253.24165736912559</v>
      </c>
      <c r="EU58" s="114">
        <v>149.1947412053841</v>
      </c>
      <c r="EV58" s="114">
        <v>233.99667131812254</v>
      </c>
      <c r="EW58" s="114">
        <v>7532.2605665488863</v>
      </c>
      <c r="EX58" s="114">
        <v>7608.442885717287</v>
      </c>
      <c r="EY58" s="114">
        <v>11019.900254191762</v>
      </c>
      <c r="EZ58" s="114">
        <v>4718.4863562391656</v>
      </c>
      <c r="FA58" s="114">
        <v>8171.5954388209229</v>
      </c>
      <c r="FB58" s="114">
        <v>5278.7372978320973</v>
      </c>
      <c r="FC58" s="114">
        <v>17547.868392463581</v>
      </c>
      <c r="FD58" s="114">
        <v>7893.7458597407831</v>
      </c>
      <c r="FE58" s="114">
        <v>7690.9173335342603</v>
      </c>
      <c r="FF58" s="114">
        <v>11713.007144522991</v>
      </c>
      <c r="FG58" s="114">
        <v>10664.24043967664</v>
      </c>
      <c r="FH58" s="114">
        <v>14120.2813373884</v>
      </c>
      <c r="FI58" s="114">
        <v>10167.889882361711</v>
      </c>
      <c r="FJ58" s="114">
        <v>6205.3509173263155</v>
      </c>
      <c r="FK58" s="114">
        <v>6690.9551947687423</v>
      </c>
      <c r="FL58" s="114">
        <v>15073.058481799419</v>
      </c>
      <c r="FM58" s="114">
        <v>9937.7959000118553</v>
      </c>
      <c r="FN58" s="114">
        <v>1270.1345534626321</v>
      </c>
      <c r="FO58" s="114">
        <v>7951.0891913979031</v>
      </c>
      <c r="FP58" s="114">
        <v>7152.1346814139688</v>
      </c>
      <c r="FQ58" s="114">
        <v>9753.9982452526001</v>
      </c>
      <c r="FR58" s="114">
        <v>15531.054895150533</v>
      </c>
      <c r="FS58" s="114">
        <v>12090.49491308032</v>
      </c>
      <c r="FT58" s="114">
        <v>11330.645206722795</v>
      </c>
      <c r="FU58" s="114">
        <v>16237.128722397596</v>
      </c>
      <c r="FV58" s="114">
        <v>18967.907834166213</v>
      </c>
      <c r="FW58" s="114">
        <v>6877.3652796114957</v>
      </c>
      <c r="FX58" s="114">
        <v>506.18799651432556</v>
      </c>
      <c r="FY58" s="114">
        <v>7357.7597288851903</v>
      </c>
      <c r="FZ58" s="114">
        <v>9254.1435804863468</v>
      </c>
      <c r="GA58" s="114">
        <v>11317.902726372748</v>
      </c>
      <c r="GB58" s="114">
        <v>10381.542896935396</v>
      </c>
      <c r="GC58" s="114">
        <v>8819.6347247683771</v>
      </c>
      <c r="GD58" s="114">
        <v>11751.559363559627</v>
      </c>
      <c r="GE58" s="114">
        <v>6707.1016231427911</v>
      </c>
      <c r="GF58" s="114">
        <v>6048.155121426099</v>
      </c>
      <c r="GG58" s="114">
        <v>3093.5866909848664</v>
      </c>
      <c r="GH58" s="114">
        <v>3162.7471291371307</v>
      </c>
      <c r="GI58" s="114">
        <v>3053.7117067522586</v>
      </c>
      <c r="GJ58" s="114">
        <v>5552.9524827747182</v>
      </c>
      <c r="GK58" s="114">
        <v>11930.813702088366</v>
      </c>
      <c r="GL58" s="114">
        <v>792.63297651997561</v>
      </c>
      <c r="GM58" s="114">
        <v>15732.294275337348</v>
      </c>
      <c r="GN58" s="114">
        <v>11148.276014094074</v>
      </c>
      <c r="GO58" s="114">
        <v>10385.872871024907</v>
      </c>
      <c r="GP58" s="114">
        <v>10740.829820954114</v>
      </c>
      <c r="GQ58" s="114">
        <v>16827.854729683811</v>
      </c>
      <c r="GR58" s="114">
        <v>16262.360131723623</v>
      </c>
      <c r="GS58" s="114">
        <v>7254.7142456408183</v>
      </c>
      <c r="GT58" s="115">
        <v>10676.36819506455</v>
      </c>
    </row>
    <row r="59" spans="2:202" x14ac:dyDescent="0.6">
      <c r="B59" s="106" t="s">
        <v>50</v>
      </c>
      <c r="C59" s="63" t="s">
        <v>449</v>
      </c>
      <c r="D59" s="113">
        <v>12716.60082188263</v>
      </c>
      <c r="E59" s="114">
        <v>7288.1864652991326</v>
      </c>
      <c r="F59" s="114">
        <v>7097.9018382286522</v>
      </c>
      <c r="G59" s="114">
        <v>9546.8246549451706</v>
      </c>
      <c r="H59" s="114">
        <v>831.26417357677155</v>
      </c>
      <c r="I59" s="114">
        <v>6154.4363921803279</v>
      </c>
      <c r="J59" s="114">
        <v>10594.36714195696</v>
      </c>
      <c r="K59" s="114">
        <v>15642.995928181295</v>
      </c>
      <c r="L59" s="114">
        <v>8198.8924487478762</v>
      </c>
      <c r="M59" s="114">
        <v>10964.962891032794</v>
      </c>
      <c r="N59" s="114">
        <v>1086.5244288197996</v>
      </c>
      <c r="O59" s="114">
        <v>11860.432659668342</v>
      </c>
      <c r="P59" s="114">
        <v>14885.189274208307</v>
      </c>
      <c r="Q59" s="114">
        <v>1246.2418601676557</v>
      </c>
      <c r="R59" s="114">
        <v>8823.6748491886556</v>
      </c>
      <c r="S59" s="114">
        <v>7310.7182460640452</v>
      </c>
      <c r="T59" s="114">
        <v>1984.5740720753288</v>
      </c>
      <c r="U59" s="114">
        <v>7894.8024956164754</v>
      </c>
      <c r="V59" s="114">
        <v>14463.081876324904</v>
      </c>
      <c r="W59" s="114">
        <v>3839.6911044186586</v>
      </c>
      <c r="X59" s="114">
        <v>8450.0010381565025</v>
      </c>
      <c r="Y59" s="114">
        <v>11340.454896638637</v>
      </c>
      <c r="Z59" s="114">
        <v>5278.7973980683728</v>
      </c>
      <c r="AA59" s="114">
        <v>5406.5940393062065</v>
      </c>
      <c r="AB59" s="114">
        <v>17428.209771973805</v>
      </c>
      <c r="AC59" s="114">
        <v>8868.5397518616919</v>
      </c>
      <c r="AD59" s="114">
        <v>7320.1353558638102</v>
      </c>
      <c r="AE59" s="114">
        <v>11043.219208287506</v>
      </c>
      <c r="AF59" s="114">
        <v>4927.8500807387309</v>
      </c>
      <c r="AG59" s="114">
        <v>16657.169683764831</v>
      </c>
      <c r="AH59" s="114">
        <v>8737.0663993107701</v>
      </c>
      <c r="AI59" s="114">
        <v>8929.5645263100887</v>
      </c>
      <c r="AJ59" s="114">
        <v>2969.8939513300556</v>
      </c>
      <c r="AK59" s="114">
        <v>3047.1188849630707</v>
      </c>
      <c r="AL59" s="114">
        <v>9642.9530423932774</v>
      </c>
      <c r="AM59" s="114">
        <v>8984.0745979723779</v>
      </c>
      <c r="AN59" s="114">
        <v>5731.6321107231879</v>
      </c>
      <c r="AO59" s="114">
        <v>14383.49917158551</v>
      </c>
      <c r="AP59" s="114">
        <v>13554.395179324201</v>
      </c>
      <c r="AQ59" s="114">
        <v>1624.6497474889654</v>
      </c>
      <c r="AR59" s="114">
        <v>12782.878919033801</v>
      </c>
      <c r="AS59" s="114">
        <v>9622.467674535128</v>
      </c>
      <c r="AT59" s="114">
        <v>9593.6721071868906</v>
      </c>
      <c r="AU59" s="114">
        <v>1834.6003385558402</v>
      </c>
      <c r="AV59" s="114">
        <v>7244.1401641982266</v>
      </c>
      <c r="AW59" s="114">
        <v>8199.5786232921819</v>
      </c>
      <c r="AX59" s="114">
        <v>1416.4432574190141</v>
      </c>
      <c r="AY59" s="114">
        <v>9957.0474104686018</v>
      </c>
      <c r="AZ59" s="114">
        <v>8023.2660353415058</v>
      </c>
      <c r="BA59" s="114">
        <v>7836.8924661804249</v>
      </c>
      <c r="BB59" s="114">
        <v>11852.259433037425</v>
      </c>
      <c r="BC59" s="114">
        <v>953.37761966756898</v>
      </c>
      <c r="BD59" s="114" t="s">
        <v>237</v>
      </c>
      <c r="BE59" s="114">
        <v>9600.7399412871673</v>
      </c>
      <c r="BF59" s="114">
        <v>2263.9283075282647</v>
      </c>
      <c r="BG59" s="114">
        <v>9982.2117482154754</v>
      </c>
      <c r="BH59" s="114">
        <v>2155.3827177167718</v>
      </c>
      <c r="BI59" s="114">
        <v>8630.4059928472361</v>
      </c>
      <c r="BJ59" s="114">
        <v>11309.869823004603</v>
      </c>
      <c r="BK59" s="114">
        <v>8494.3957481732741</v>
      </c>
      <c r="BL59" s="114">
        <v>11921.998733653068</v>
      </c>
      <c r="BM59" s="114">
        <v>11556.175898451364</v>
      </c>
      <c r="BN59" s="114">
        <v>8500.9924344561641</v>
      </c>
      <c r="BO59" s="114">
        <v>7163.2313237217741</v>
      </c>
      <c r="BP59" s="114">
        <v>8822.2966149861113</v>
      </c>
      <c r="BQ59" s="114">
        <v>5699.9420727309325</v>
      </c>
      <c r="BR59" s="114">
        <v>10535.568641102496</v>
      </c>
      <c r="BS59" s="114">
        <v>7926.910401463063</v>
      </c>
      <c r="BT59" s="114">
        <v>7857.6753620536483</v>
      </c>
      <c r="BU59" s="114">
        <v>7629.2924284715755</v>
      </c>
      <c r="BV59" s="114">
        <v>7662.2632695301245</v>
      </c>
      <c r="BW59" s="114">
        <v>9038.8657085670129</v>
      </c>
      <c r="BX59" s="114">
        <v>1090.5108073459844</v>
      </c>
      <c r="BY59" s="114">
        <v>2242.0335620080205</v>
      </c>
      <c r="BZ59" s="114">
        <v>6118.0242602591306</v>
      </c>
      <c r="CA59" s="114">
        <v>5848.319472584215</v>
      </c>
      <c r="CB59" s="114">
        <v>1807.4091913873413</v>
      </c>
      <c r="CC59" s="114">
        <v>275.68338786140805</v>
      </c>
      <c r="CD59" s="114">
        <v>1931.8048374788839</v>
      </c>
      <c r="CE59" s="114">
        <v>8423.990814248129</v>
      </c>
      <c r="CF59" s="114">
        <v>6221.923203735555</v>
      </c>
      <c r="CG59" s="114">
        <v>14179.400013096194</v>
      </c>
      <c r="CH59" s="114">
        <v>13711.634236273021</v>
      </c>
      <c r="CI59" s="114">
        <v>18589.4480392189</v>
      </c>
      <c r="CJ59" s="114">
        <v>11388.409855968504</v>
      </c>
      <c r="CK59" s="114">
        <v>10965.559634884126</v>
      </c>
      <c r="CL59" s="114">
        <v>6629.7176631249067</v>
      </c>
      <c r="CM59" s="114">
        <v>3760.925142324837</v>
      </c>
      <c r="CN59" s="114">
        <v>8008.8466023784877</v>
      </c>
      <c r="CO59" s="114">
        <v>7706.4320579190444</v>
      </c>
      <c r="CP59" s="114">
        <v>730.84437382069984</v>
      </c>
      <c r="CQ59" s="114">
        <v>13263.084521333922</v>
      </c>
      <c r="CR59" s="114">
        <v>10303.735038655239</v>
      </c>
      <c r="CS59" s="114">
        <v>11409.322270799983</v>
      </c>
      <c r="CT59" s="114">
        <v>11743.829497397208</v>
      </c>
      <c r="CU59" s="114">
        <v>11484.816336691942</v>
      </c>
      <c r="CV59" s="114">
        <v>12312.910700982387</v>
      </c>
      <c r="CW59" s="114">
        <v>15928.042547673767</v>
      </c>
      <c r="CX59" s="114">
        <v>8539.3932605406917</v>
      </c>
      <c r="CY59" s="114">
        <v>10199.10701915901</v>
      </c>
      <c r="CZ59" s="114">
        <v>11634.026792760462</v>
      </c>
      <c r="DA59" s="114">
        <v>6536.5637204781797</v>
      </c>
      <c r="DB59" s="114">
        <v>8259.3172987993548</v>
      </c>
      <c r="DC59" s="114">
        <v>7699.4327705541236</v>
      </c>
      <c r="DD59" s="114">
        <v>8665.0320405109323</v>
      </c>
      <c r="DE59" s="114">
        <v>7446.7317305741217</v>
      </c>
      <c r="DF59" s="114">
        <v>13395.949567616075</v>
      </c>
      <c r="DG59" s="114">
        <v>11844.073648066043</v>
      </c>
      <c r="DH59" s="114">
        <v>17439.997599824153</v>
      </c>
      <c r="DI59" s="114">
        <v>15250.974235938531</v>
      </c>
      <c r="DJ59" s="114">
        <v>6657.2473311485201</v>
      </c>
      <c r="DK59" s="114">
        <v>8301.3941530973025</v>
      </c>
      <c r="DL59" s="114">
        <v>14458.078583118737</v>
      </c>
      <c r="DM59" s="114">
        <v>14479.556120448913</v>
      </c>
      <c r="DN59" s="114">
        <v>3105.1569235840138</v>
      </c>
      <c r="DO59" s="114">
        <v>9147.9983545408959</v>
      </c>
      <c r="DP59" s="114">
        <v>7584.4954399301259</v>
      </c>
      <c r="DQ59" s="114">
        <v>12643.406010754152</v>
      </c>
      <c r="DR59" s="114">
        <v>8555.740326729172</v>
      </c>
      <c r="DS59" s="114">
        <v>6403.4830536585205</v>
      </c>
      <c r="DT59" s="114">
        <v>12031.092424041357</v>
      </c>
      <c r="DU59" s="114">
        <v>15849.807257109147</v>
      </c>
      <c r="DV59" s="114">
        <v>10439.712043533422</v>
      </c>
      <c r="DW59" s="114">
        <v>14248.164613583205</v>
      </c>
      <c r="DX59" s="114">
        <v>7335.4767818573364</v>
      </c>
      <c r="DY59" s="114">
        <v>13469.926737667141</v>
      </c>
      <c r="DZ59" s="114">
        <v>13492.260587999106</v>
      </c>
      <c r="EA59" s="114">
        <v>1911.3809816040628</v>
      </c>
      <c r="EB59" s="114">
        <v>7640.8641197470488</v>
      </c>
      <c r="EC59" s="114">
        <v>8320.3443816671934</v>
      </c>
      <c r="ED59" s="114">
        <v>13448.1606267471</v>
      </c>
      <c r="EE59" s="114">
        <v>8726.7889560302247</v>
      </c>
      <c r="EF59" s="114">
        <v>7702.878362706153</v>
      </c>
      <c r="EG59" s="114">
        <v>12708.932005622411</v>
      </c>
      <c r="EH59" s="114">
        <v>13300.728165761559</v>
      </c>
      <c r="EI59" s="114">
        <v>13035.514709025998</v>
      </c>
      <c r="EJ59" s="114">
        <v>1468.3166033854832</v>
      </c>
      <c r="EK59" s="114">
        <v>5005.894852632583</v>
      </c>
      <c r="EL59" s="114">
        <v>3465.8908509242806</v>
      </c>
      <c r="EM59" s="114">
        <v>16198.268405877943</v>
      </c>
      <c r="EN59" s="114">
        <v>8451.1820904741162</v>
      </c>
      <c r="EO59" s="114">
        <v>6208.9759247404791</v>
      </c>
      <c r="EP59" s="114">
        <v>12005.039686918772</v>
      </c>
      <c r="EQ59" s="114">
        <v>9036.8297707432139</v>
      </c>
      <c r="ER59" s="114">
        <v>9359.7056352141681</v>
      </c>
      <c r="ES59" s="114">
        <v>11079.584123114104</v>
      </c>
      <c r="ET59" s="114">
        <v>768.59713002723277</v>
      </c>
      <c r="EU59" s="114">
        <v>1073.2153182186034</v>
      </c>
      <c r="EV59" s="114">
        <v>1076.7914454347178</v>
      </c>
      <c r="EW59" s="114">
        <v>7976.567967305009</v>
      </c>
      <c r="EX59" s="114">
        <v>8525.3361499520452</v>
      </c>
      <c r="EY59" s="114">
        <v>11613.232395582969</v>
      </c>
      <c r="EZ59" s="114">
        <v>5580.5905900920061</v>
      </c>
      <c r="FA59" s="114">
        <v>8590.7516519207875</v>
      </c>
      <c r="FB59" s="114">
        <v>6182.5350752933964</v>
      </c>
      <c r="FC59" s="114">
        <v>17714.00677500806</v>
      </c>
      <c r="FD59" s="114">
        <v>8261.4616477582404</v>
      </c>
      <c r="FE59" s="114">
        <v>8094.2172830535301</v>
      </c>
      <c r="FF59" s="114">
        <v>12542.849551177786</v>
      </c>
      <c r="FG59" s="114">
        <v>11616.735914067265</v>
      </c>
      <c r="FH59" s="114">
        <v>13605.848853340554</v>
      </c>
      <c r="FI59" s="114">
        <v>11010.270046728694</v>
      </c>
      <c r="FJ59" s="114">
        <v>6701.1257073698544</v>
      </c>
      <c r="FK59" s="114">
        <v>7172.1096076429103</v>
      </c>
      <c r="FL59" s="114">
        <v>15644.762115375479</v>
      </c>
      <c r="FM59" s="114">
        <v>10687.640213444263</v>
      </c>
      <c r="FN59" s="114">
        <v>2121.105125874737</v>
      </c>
      <c r="FO59" s="114">
        <v>8133.7226482391616</v>
      </c>
      <c r="FP59" s="114">
        <v>7549.6559554872401</v>
      </c>
      <c r="FQ59" s="114">
        <v>10283.338040706823</v>
      </c>
      <c r="FR59" s="114">
        <v>15047.616345361041</v>
      </c>
      <c r="FS59" s="114">
        <v>12349.352104670013</v>
      </c>
      <c r="FT59" s="114">
        <v>12233.144035633808</v>
      </c>
      <c r="FU59" s="114">
        <v>16314.699011484523</v>
      </c>
      <c r="FV59" s="114">
        <v>18058.879553010243</v>
      </c>
      <c r="FW59" s="114">
        <v>7770.6270390505788</v>
      </c>
      <c r="FX59" s="114">
        <v>1216.3561040286718</v>
      </c>
      <c r="FY59" s="114">
        <v>7910.5736309905797</v>
      </c>
      <c r="FZ59" s="114">
        <v>9712.8869067832638</v>
      </c>
      <c r="GA59" s="114">
        <v>11669.256987843122</v>
      </c>
      <c r="GB59" s="114">
        <v>11254.756690929744</v>
      </c>
      <c r="GC59" s="114">
        <v>9127.9109803964329</v>
      </c>
      <c r="GD59" s="114">
        <v>12302.345725190366</v>
      </c>
      <c r="GE59" s="114">
        <v>7016.0355764675633</v>
      </c>
      <c r="GF59" s="114">
        <v>5107.7665248493804</v>
      </c>
      <c r="GG59" s="114">
        <v>2527.6497691112841</v>
      </c>
      <c r="GH59" s="114">
        <v>2678.9614013453211</v>
      </c>
      <c r="GI59" s="114">
        <v>2401.196208545748</v>
      </c>
      <c r="GJ59" s="114">
        <v>6041.786195518931</v>
      </c>
      <c r="GK59" s="114">
        <v>12148.572100857536</v>
      </c>
      <c r="GL59" s="114">
        <v>947.84008229905214</v>
      </c>
      <c r="GM59" s="114">
        <v>15606.996337354398</v>
      </c>
      <c r="GN59" s="114">
        <v>11855.021560731837</v>
      </c>
      <c r="GO59" s="114">
        <v>11331.083269480709</v>
      </c>
      <c r="GP59" s="114">
        <v>11688.785637291605</v>
      </c>
      <c r="GQ59" s="114">
        <v>16750.284751010986</v>
      </c>
      <c r="GR59" s="114">
        <v>15771.901172890226</v>
      </c>
      <c r="GS59" s="114">
        <v>7638.9693604766826</v>
      </c>
      <c r="GT59" s="115">
        <v>11628.227054062538</v>
      </c>
    </row>
    <row r="60" spans="2:202" x14ac:dyDescent="0.6">
      <c r="B60" s="106" t="s">
        <v>51</v>
      </c>
      <c r="C60" s="63" t="s">
        <v>442</v>
      </c>
      <c r="D60" s="113">
        <v>7079.3974557250858</v>
      </c>
      <c r="E60" s="114">
        <v>4687.7010695628896</v>
      </c>
      <c r="F60" s="114">
        <v>5356.9113221959469</v>
      </c>
      <c r="G60" s="114">
        <v>526.73003348339375</v>
      </c>
      <c r="H60" s="114">
        <v>8770.1183643972745</v>
      </c>
      <c r="I60" s="114">
        <v>8401.9668794258851</v>
      </c>
      <c r="J60" s="114">
        <v>5755.0280557316555</v>
      </c>
      <c r="K60" s="114">
        <v>13743.440324251245</v>
      </c>
      <c r="L60" s="114">
        <v>5818.6530571931362</v>
      </c>
      <c r="M60" s="114">
        <v>6063.6216341813815</v>
      </c>
      <c r="N60" s="114">
        <v>10441.468838695051</v>
      </c>
      <c r="O60" s="114">
        <v>5066.7913193762743</v>
      </c>
      <c r="P60" s="114">
        <v>8685.5113835004813</v>
      </c>
      <c r="Q60" s="114">
        <v>8437.7110852321657</v>
      </c>
      <c r="R60" s="114">
        <v>6517.7720163390986</v>
      </c>
      <c r="S60" s="114">
        <v>6172.9986957910451</v>
      </c>
      <c r="T60" s="114">
        <v>11573.024066048867</v>
      </c>
      <c r="U60" s="114">
        <v>1828.2635033739045</v>
      </c>
      <c r="V60" s="114">
        <v>8684.4107498401481</v>
      </c>
      <c r="W60" s="114">
        <v>9157.681484601444</v>
      </c>
      <c r="X60" s="114">
        <v>5315.3874812544227</v>
      </c>
      <c r="Y60" s="114">
        <v>2512.8602103822518</v>
      </c>
      <c r="Z60" s="114">
        <v>6952.0049047029606</v>
      </c>
      <c r="AA60" s="114">
        <v>6591.0131345598793</v>
      </c>
      <c r="AB60" s="114">
        <v>11133.746338433855</v>
      </c>
      <c r="AC60" s="114">
        <v>5250.4784695788858</v>
      </c>
      <c r="AD60" s="114">
        <v>2571.3606409306221</v>
      </c>
      <c r="AE60" s="114">
        <v>1561.0994854132066</v>
      </c>
      <c r="AF60" s="114">
        <v>4747.5471587816173</v>
      </c>
      <c r="AG60" s="114">
        <v>10028.535243760096</v>
      </c>
      <c r="AH60" s="114">
        <v>1098.7416540988145</v>
      </c>
      <c r="AI60" s="114">
        <v>954.64401844717111</v>
      </c>
      <c r="AJ60" s="114">
        <v>10695.547443114607</v>
      </c>
      <c r="AK60" s="114">
        <v>10383.734495264191</v>
      </c>
      <c r="AL60" s="114">
        <v>1002.5221309105531</v>
      </c>
      <c r="AM60" s="114">
        <v>1813.5342813892698</v>
      </c>
      <c r="AN60" s="114">
        <v>9338.2169559166705</v>
      </c>
      <c r="AO60" s="114">
        <v>11798.676360055473</v>
      </c>
      <c r="AP60" s="114">
        <v>11251.567199283994</v>
      </c>
      <c r="AQ60" s="114">
        <v>9948.8643826613588</v>
      </c>
      <c r="AR60" s="114">
        <v>3185.2732208443931</v>
      </c>
      <c r="AS60" s="114">
        <v>23.029340820254728</v>
      </c>
      <c r="AT60" s="114">
        <v>12.675879101996738</v>
      </c>
      <c r="AU60" s="114">
        <v>11088.687959846313</v>
      </c>
      <c r="AV60" s="114">
        <v>2379.3656432242906</v>
      </c>
      <c r="AW60" s="114">
        <v>5526.5522992354281</v>
      </c>
      <c r="AX60" s="114">
        <v>10943.638429908202</v>
      </c>
      <c r="AY60" s="114">
        <v>4761.640974388346</v>
      </c>
      <c r="AZ60" s="114">
        <v>6032.9869746149343</v>
      </c>
      <c r="BA60" s="114">
        <v>6633.3564528148781</v>
      </c>
      <c r="BB60" s="114">
        <v>3441.8498119803767</v>
      </c>
      <c r="BC60" s="114">
        <v>8677.3989777066981</v>
      </c>
      <c r="BD60" s="114">
        <v>9600.7399412871673</v>
      </c>
      <c r="BE60" s="114" t="s">
        <v>237</v>
      </c>
      <c r="BF60" s="114">
        <v>10394.454035756715</v>
      </c>
      <c r="BG60" s="114">
        <v>4167.5511401026815</v>
      </c>
      <c r="BH60" s="114">
        <v>11655.442347184686</v>
      </c>
      <c r="BI60" s="114">
        <v>1126.73642781239</v>
      </c>
      <c r="BJ60" s="114">
        <v>3360.0232833721384</v>
      </c>
      <c r="BK60" s="114">
        <v>7099.9906947043974</v>
      </c>
      <c r="BL60" s="114">
        <v>2973.7396365249947</v>
      </c>
      <c r="BM60" s="114">
        <v>2968.8644984694897</v>
      </c>
      <c r="BN60" s="114">
        <v>7207.322329808102</v>
      </c>
      <c r="BO60" s="114">
        <v>5993.5309365519352</v>
      </c>
      <c r="BP60" s="114">
        <v>820.40362547151176</v>
      </c>
      <c r="BQ60" s="114">
        <v>3988.6026664573551</v>
      </c>
      <c r="BR60" s="114">
        <v>5881.4030675239819</v>
      </c>
      <c r="BS60" s="114">
        <v>6285.0747894609849</v>
      </c>
      <c r="BT60" s="114">
        <v>5829.7744965567981</v>
      </c>
      <c r="BU60" s="114">
        <v>6070.9719406030208</v>
      </c>
      <c r="BV60" s="114">
        <v>1995.2800395632669</v>
      </c>
      <c r="BW60" s="114">
        <v>4724.5318247691621</v>
      </c>
      <c r="BX60" s="114">
        <v>8687.0596484638991</v>
      </c>
      <c r="BY60" s="114">
        <v>11777.458271900885</v>
      </c>
      <c r="BZ60" s="114">
        <v>3510.5809833999524</v>
      </c>
      <c r="CA60" s="114">
        <v>3805.9599382355209</v>
      </c>
      <c r="CB60" s="114">
        <v>8219.7051762552801</v>
      </c>
      <c r="CC60" s="114">
        <v>9876.0643406046293</v>
      </c>
      <c r="CD60" s="114">
        <v>11445.012162716841</v>
      </c>
      <c r="CE60" s="114">
        <v>5738.1709208937664</v>
      </c>
      <c r="CF60" s="114">
        <v>8177.5556582565405</v>
      </c>
      <c r="CG60" s="114">
        <v>6823.1217301478919</v>
      </c>
      <c r="CH60" s="114">
        <v>7541.7199060165676</v>
      </c>
      <c r="CI60" s="114">
        <v>10095.871475924421</v>
      </c>
      <c r="CJ60" s="114">
        <v>5798.5033803283595</v>
      </c>
      <c r="CK60" s="114">
        <v>5167.3456879139212</v>
      </c>
      <c r="CL60" s="114">
        <v>6687.6876893509616</v>
      </c>
      <c r="CM60" s="114">
        <v>6642.0320488729249</v>
      </c>
      <c r="CN60" s="114">
        <v>5094.32198364537</v>
      </c>
      <c r="CO60" s="114">
        <v>5553.9417056016109</v>
      </c>
      <c r="CP60" s="114">
        <v>10325.862556857161</v>
      </c>
      <c r="CQ60" s="114">
        <v>13364.212007163742</v>
      </c>
      <c r="CR60" s="114">
        <v>4524.6729152922544</v>
      </c>
      <c r="CS60" s="114">
        <v>8120.6926604547252</v>
      </c>
      <c r="CT60" s="114">
        <v>2392.7147811290588</v>
      </c>
      <c r="CU60" s="114">
        <v>5113.6162936499913</v>
      </c>
      <c r="CV60" s="114">
        <v>7895.0723451205895</v>
      </c>
      <c r="CW60" s="114">
        <v>9847.2879047301467</v>
      </c>
      <c r="CX60" s="114">
        <v>6801.4562599003411</v>
      </c>
      <c r="CY60" s="114">
        <v>4700.3445624315991</v>
      </c>
      <c r="CZ60" s="114">
        <v>3058.6934799059381</v>
      </c>
      <c r="DA60" s="114">
        <v>3069.7175411311123</v>
      </c>
      <c r="DB60" s="114">
        <v>4085.6482704293098</v>
      </c>
      <c r="DC60" s="114">
        <v>5730.806834044779</v>
      </c>
      <c r="DD60" s="114">
        <v>6579.9963062480201</v>
      </c>
      <c r="DE60" s="114">
        <v>6020.6330861098386</v>
      </c>
      <c r="DF60" s="114">
        <v>3840.7134480578825</v>
      </c>
      <c r="DG60" s="114">
        <v>2286.1081739463102</v>
      </c>
      <c r="DH60" s="114">
        <v>9617.4915280680816</v>
      </c>
      <c r="DI60" s="114">
        <v>6522.1816140838091</v>
      </c>
      <c r="DJ60" s="114">
        <v>3110.6806769266909</v>
      </c>
      <c r="DK60" s="114">
        <v>4419.7554278748312</v>
      </c>
      <c r="DL60" s="114">
        <v>4890.7879245081467</v>
      </c>
      <c r="DM60" s="114">
        <v>4912.636630150565</v>
      </c>
      <c r="DN60" s="114">
        <v>12705.405964667212</v>
      </c>
      <c r="DO60" s="114">
        <v>5851.2684389966862</v>
      </c>
      <c r="DP60" s="114">
        <v>5386.4086550938937</v>
      </c>
      <c r="DQ60" s="114">
        <v>10485.731175561959</v>
      </c>
      <c r="DR60" s="114">
        <v>5202.8367264743065</v>
      </c>
      <c r="DS60" s="114">
        <v>4835.943592831185</v>
      </c>
      <c r="DT60" s="114">
        <v>3001.0570093570859</v>
      </c>
      <c r="DU60" s="114">
        <v>9189.3989686557197</v>
      </c>
      <c r="DV60" s="114">
        <v>2028.4256604966026</v>
      </c>
      <c r="DW60" s="114">
        <v>8277.588173137161</v>
      </c>
      <c r="DX60" s="114">
        <v>6354.2570238447124</v>
      </c>
      <c r="DY60" s="114">
        <v>14983.251490032362</v>
      </c>
      <c r="DZ60" s="114">
        <v>14545.77027681061</v>
      </c>
      <c r="EA60" s="114">
        <v>11337.530737334224</v>
      </c>
      <c r="EB60" s="114">
        <v>2421.2055182123172</v>
      </c>
      <c r="EC60" s="114">
        <v>1709.9701915460137</v>
      </c>
      <c r="ED60" s="114">
        <v>12034.620177450186</v>
      </c>
      <c r="EE60" s="114">
        <v>5175.3658769389385</v>
      </c>
      <c r="EF60" s="114">
        <v>7100.7438183520226</v>
      </c>
      <c r="EG60" s="114">
        <v>5597.7375132708057</v>
      </c>
      <c r="EH60" s="114">
        <v>6471.8858198369162</v>
      </c>
      <c r="EI60" s="114">
        <v>7375.2436852367682</v>
      </c>
      <c r="EJ60" s="114">
        <v>10562.700909502451</v>
      </c>
      <c r="EK60" s="114">
        <v>8043.6420973876984</v>
      </c>
      <c r="EL60" s="114">
        <v>10143.70418847196</v>
      </c>
      <c r="EM60" s="114">
        <v>11829.154505163957</v>
      </c>
      <c r="EN60" s="114">
        <v>6287.9868476787842</v>
      </c>
      <c r="EO60" s="114">
        <v>5356.3336410782158</v>
      </c>
      <c r="EP60" s="114">
        <v>5090.889201165789</v>
      </c>
      <c r="EQ60" s="114">
        <v>5499.438464990465</v>
      </c>
      <c r="ER60" s="114">
        <v>6976.0702647857697</v>
      </c>
      <c r="ES60" s="114">
        <v>1678.7004661737803</v>
      </c>
      <c r="ET60" s="114">
        <v>8832.9781149083174</v>
      </c>
      <c r="EU60" s="114">
        <v>8589.373589434028</v>
      </c>
      <c r="EV60" s="114">
        <v>8631.7021093405147</v>
      </c>
      <c r="EW60" s="114">
        <v>5317.2485068301839</v>
      </c>
      <c r="EX60" s="114">
        <v>1084.3249354896411</v>
      </c>
      <c r="EY60" s="114">
        <v>4643.2165180359625</v>
      </c>
      <c r="EZ60" s="114">
        <v>4128.0817929339055</v>
      </c>
      <c r="FA60" s="114">
        <v>5440.1680927563712</v>
      </c>
      <c r="FB60" s="114">
        <v>3434.5010990687706</v>
      </c>
      <c r="FC60" s="114">
        <v>9871.0831094698206</v>
      </c>
      <c r="FD60" s="114">
        <v>5818.5050024560978</v>
      </c>
      <c r="FE60" s="114">
        <v>5587.0206732845772</v>
      </c>
      <c r="FF60" s="114">
        <v>3415.4550290490088</v>
      </c>
      <c r="FG60" s="114">
        <v>2737.5619465135869</v>
      </c>
      <c r="FH60" s="114">
        <v>12171.600774634957</v>
      </c>
      <c r="FI60" s="114">
        <v>2084.3413478815746</v>
      </c>
      <c r="FJ60" s="114">
        <v>5294.5894606535039</v>
      </c>
      <c r="FK60" s="114">
        <v>5237.1169305925941</v>
      </c>
      <c r="FL60" s="114">
        <v>7287.4832117500173</v>
      </c>
      <c r="FM60" s="114">
        <v>2879.8501611661072</v>
      </c>
      <c r="FN60" s="114">
        <v>7875.4913842345841</v>
      </c>
      <c r="FO60" s="114">
        <v>7054.3532221401274</v>
      </c>
      <c r="FP60" s="114">
        <v>5698.300194574038</v>
      </c>
      <c r="FQ60" s="114">
        <v>4720.5519906922109</v>
      </c>
      <c r="FR60" s="114">
        <v>11857.814765351684</v>
      </c>
      <c r="FS60" s="114">
        <v>7233.4280496795618</v>
      </c>
      <c r="FT60" s="114">
        <v>2687.0500554308423</v>
      </c>
      <c r="FU60" s="114">
        <v>9593.3101179204896</v>
      </c>
      <c r="FV60" s="114">
        <v>12146.114345232168</v>
      </c>
      <c r="FW60" s="114">
        <v>1925.6613271878782</v>
      </c>
      <c r="FX60" s="114">
        <v>8641.7676676937444</v>
      </c>
      <c r="FY60" s="114">
        <v>4555.8342559269622</v>
      </c>
      <c r="FZ60" s="114">
        <v>5182.5940047417243</v>
      </c>
      <c r="GA60" s="114">
        <v>6405.6312479601011</v>
      </c>
      <c r="GB60" s="114">
        <v>1967.1650300120225</v>
      </c>
      <c r="GC60" s="114">
        <v>6231.3157227461434</v>
      </c>
      <c r="GD60" s="114">
        <v>5280.9159568306377</v>
      </c>
      <c r="GE60" s="114">
        <v>6344.8090251628146</v>
      </c>
      <c r="GF60" s="114">
        <v>14176.746272449132</v>
      </c>
      <c r="GG60" s="114">
        <v>10241.001630923456</v>
      </c>
      <c r="GH60" s="114">
        <v>10011.501872391505</v>
      </c>
      <c r="GI60" s="114">
        <v>10488.269539111157</v>
      </c>
      <c r="GJ60" s="114">
        <v>8029.2995018406364</v>
      </c>
      <c r="GK60" s="114">
        <v>7431.8604826724822</v>
      </c>
      <c r="GL60" s="114">
        <v>9186.2573607191116</v>
      </c>
      <c r="GM60" s="114">
        <v>10211.396282421723</v>
      </c>
      <c r="GN60" s="114">
        <v>3867.5538163118695</v>
      </c>
      <c r="GO60" s="114">
        <v>1882.4585070686323</v>
      </c>
      <c r="GP60" s="114">
        <v>2270.0278786224699</v>
      </c>
      <c r="GQ60" s="114">
        <v>10256.303041600508</v>
      </c>
      <c r="GR60" s="114">
        <v>13519.1710375496</v>
      </c>
      <c r="GS60" s="114">
        <v>5771.5066744112419</v>
      </c>
      <c r="GT60" s="115">
        <v>2804.6900666490624</v>
      </c>
    </row>
    <row r="61" spans="2:202" x14ac:dyDescent="0.6">
      <c r="B61" s="106" t="s">
        <v>52</v>
      </c>
      <c r="C61" s="63" t="s">
        <v>450</v>
      </c>
      <c r="D61" s="113">
        <v>14930.246777620503</v>
      </c>
      <c r="E61" s="114">
        <v>9251.7143472332482</v>
      </c>
      <c r="F61" s="114">
        <v>9171.5334546406157</v>
      </c>
      <c r="G61" s="114">
        <v>10170.036580339667</v>
      </c>
      <c r="H61" s="114">
        <v>2637.6812981756698</v>
      </c>
      <c r="I61" s="114">
        <v>4443.329653713452</v>
      </c>
      <c r="J61" s="114">
        <v>12730.303762116078</v>
      </c>
      <c r="K61" s="114">
        <v>13637.578170166111</v>
      </c>
      <c r="L61" s="114">
        <v>10359.013617660046</v>
      </c>
      <c r="M61" s="114">
        <v>13127.42510573644</v>
      </c>
      <c r="N61" s="114">
        <v>2804.8413088562202</v>
      </c>
      <c r="O61" s="114">
        <v>13809.946062656418</v>
      </c>
      <c r="P61" s="114">
        <v>17149.116555617409</v>
      </c>
      <c r="Q61" s="114">
        <v>2562.0001342570854</v>
      </c>
      <c r="R61" s="114">
        <v>11047.36680156138</v>
      </c>
      <c r="S61" s="114">
        <v>9495.2325803115673</v>
      </c>
      <c r="T61" s="114">
        <v>2213.77251750904</v>
      </c>
      <c r="U61" s="114">
        <v>8989.1649131408813</v>
      </c>
      <c r="V61" s="114">
        <v>16725.956710911705</v>
      </c>
      <c r="W61" s="114">
        <v>2109.2440255818451</v>
      </c>
      <c r="X61" s="114">
        <v>10551.478524248341</v>
      </c>
      <c r="Y61" s="114">
        <v>11407.071491020635</v>
      </c>
      <c r="Z61" s="114">
        <v>4298.7716936592597</v>
      </c>
      <c r="AA61" s="114">
        <v>4566.5301830109083</v>
      </c>
      <c r="AB61" s="114">
        <v>18454.647345194404</v>
      </c>
      <c r="AC61" s="114">
        <v>10963.620184120167</v>
      </c>
      <c r="AD61" s="114">
        <v>8603.9686480796045</v>
      </c>
      <c r="AE61" s="114">
        <v>11952.759840355275</v>
      </c>
      <c r="AF61" s="114">
        <v>6273.1496712691733</v>
      </c>
      <c r="AG61" s="114">
        <v>18732.689018642937</v>
      </c>
      <c r="AH61" s="114">
        <v>9792.9081441049184</v>
      </c>
      <c r="AI61" s="114">
        <v>9975.2655104782752</v>
      </c>
      <c r="AJ61" s="114">
        <v>4877.0109554412384</v>
      </c>
      <c r="AK61" s="114">
        <v>5058.6974881906963</v>
      </c>
      <c r="AL61" s="114">
        <v>10751.746877346788</v>
      </c>
      <c r="AM61" s="114">
        <v>10330.686993266025</v>
      </c>
      <c r="AN61" s="114">
        <v>3772.2096431404289</v>
      </c>
      <c r="AO61" s="114">
        <v>15978.647795406016</v>
      </c>
      <c r="AP61" s="114">
        <v>15391.3591140138</v>
      </c>
      <c r="AQ61" s="114">
        <v>694.83563352720182</v>
      </c>
      <c r="AR61" s="114">
        <v>13430.671493405709</v>
      </c>
      <c r="AS61" s="114">
        <v>10412.491558723135</v>
      </c>
      <c r="AT61" s="114">
        <v>10391.212833597579</v>
      </c>
      <c r="AU61" s="114">
        <v>1247.8875556738765</v>
      </c>
      <c r="AV61" s="114">
        <v>8274.0218426780139</v>
      </c>
      <c r="AW61" s="114">
        <v>10325.625408414149</v>
      </c>
      <c r="AX61" s="114">
        <v>2616.7348438101367</v>
      </c>
      <c r="AY61" s="114">
        <v>11966.682539260928</v>
      </c>
      <c r="AZ61" s="114">
        <v>10203.797579902883</v>
      </c>
      <c r="BA61" s="114">
        <v>10064.83039708913</v>
      </c>
      <c r="BB61" s="114">
        <v>13338.366844894397</v>
      </c>
      <c r="BC61" s="114">
        <v>2539.289531030362</v>
      </c>
      <c r="BD61" s="114">
        <v>2263.9283075282647</v>
      </c>
      <c r="BE61" s="114">
        <v>10394.454035756715</v>
      </c>
      <c r="BF61" s="114" t="s">
        <v>237</v>
      </c>
      <c r="BG61" s="114">
        <v>11883.540612833263</v>
      </c>
      <c r="BH61" s="114">
        <v>1916.5195326100984</v>
      </c>
      <c r="BI61" s="114">
        <v>9658.9212252267007</v>
      </c>
      <c r="BJ61" s="114">
        <v>12891.10689451205</v>
      </c>
      <c r="BK61" s="114">
        <v>10747.515663590555</v>
      </c>
      <c r="BL61" s="114">
        <v>11929.229374255163</v>
      </c>
      <c r="BM61" s="114">
        <v>12947.457073225622</v>
      </c>
      <c r="BN61" s="114">
        <v>10757.544470262752</v>
      </c>
      <c r="BO61" s="114">
        <v>9325.6130240864113</v>
      </c>
      <c r="BP61" s="114">
        <v>9741.8638057908593</v>
      </c>
      <c r="BQ61" s="114">
        <v>6983.2824821463901</v>
      </c>
      <c r="BR61" s="114">
        <v>12688.067008398742</v>
      </c>
      <c r="BS61" s="114">
        <v>10129.531257378836</v>
      </c>
      <c r="BT61" s="114">
        <v>10014.91857203455</v>
      </c>
      <c r="BU61" s="114">
        <v>9808.7641544766502</v>
      </c>
      <c r="BV61" s="114">
        <v>8712.7952661537911</v>
      </c>
      <c r="BW61" s="114">
        <v>11055.805479565975</v>
      </c>
      <c r="BX61" s="114">
        <v>2280.3182364369604</v>
      </c>
      <c r="BY61" s="114">
        <v>2079.2024795317434</v>
      </c>
      <c r="BZ61" s="114">
        <v>7254.2370377889274</v>
      </c>
      <c r="CA61" s="114">
        <v>7062.5880759922948</v>
      </c>
      <c r="CB61" s="114">
        <v>2363.3656722837086</v>
      </c>
      <c r="CC61" s="114">
        <v>2169.3699893824705</v>
      </c>
      <c r="CD61" s="114">
        <v>1851.864293705521</v>
      </c>
      <c r="CE61" s="114">
        <v>10577.129521615208</v>
      </c>
      <c r="CF61" s="114">
        <v>8483.4504843743834</v>
      </c>
      <c r="CG61" s="114">
        <v>16237.594352003529</v>
      </c>
      <c r="CH61" s="114">
        <v>15934.348171778078</v>
      </c>
      <c r="CI61" s="114">
        <v>19143.662818477678</v>
      </c>
      <c r="CJ61" s="114">
        <v>13501.888540684544</v>
      </c>
      <c r="CK61" s="114">
        <v>13001.805127902988</v>
      </c>
      <c r="CL61" s="114">
        <v>8848.1388648075226</v>
      </c>
      <c r="CM61" s="114">
        <v>5761.091158273628</v>
      </c>
      <c r="CN61" s="114">
        <v>10071.870220049497</v>
      </c>
      <c r="CO61" s="114">
        <v>9827.6199801627081</v>
      </c>
      <c r="CP61" s="114">
        <v>2028.30200484801</v>
      </c>
      <c r="CQ61" s="114">
        <v>14437.471721748434</v>
      </c>
      <c r="CR61" s="114">
        <v>12259.414438925687</v>
      </c>
      <c r="CS61" s="114">
        <v>13671.662591824212</v>
      </c>
      <c r="CT61" s="114">
        <v>12767.51350612112</v>
      </c>
      <c r="CU61" s="114">
        <v>13477.883223895265</v>
      </c>
      <c r="CV61" s="114">
        <v>14575.779889727251</v>
      </c>
      <c r="CW61" s="114">
        <v>18075.65490570051</v>
      </c>
      <c r="CX61" s="114">
        <v>10779.635245688653</v>
      </c>
      <c r="CY61" s="114">
        <v>12190.499781030321</v>
      </c>
      <c r="CZ61" s="114">
        <v>11513.936743850256</v>
      </c>
      <c r="DA61" s="114">
        <v>7564.8985863327616</v>
      </c>
      <c r="DB61" s="114">
        <v>10149.683994478955</v>
      </c>
      <c r="DC61" s="114">
        <v>9842.6016555271653</v>
      </c>
      <c r="DD61" s="114">
        <v>10892.664333436329</v>
      </c>
      <c r="DE61" s="114">
        <v>9618.0091831436603</v>
      </c>
      <c r="DF61" s="114">
        <v>13731.922318925321</v>
      </c>
      <c r="DG61" s="114">
        <v>12354.964374158004</v>
      </c>
      <c r="DH61" s="114">
        <v>19686.995121732394</v>
      </c>
      <c r="DI61" s="114">
        <v>16834.256356417874</v>
      </c>
      <c r="DJ61" s="114">
        <v>7927.5584445869899</v>
      </c>
      <c r="DK61" s="114">
        <v>10257.893599887459</v>
      </c>
      <c r="DL61" s="114">
        <v>14690.581901307827</v>
      </c>
      <c r="DM61" s="114">
        <v>14707.826598560136</v>
      </c>
      <c r="DN61" s="114">
        <v>3122.8357288014286</v>
      </c>
      <c r="DO61" s="114">
        <v>11314.488616864768</v>
      </c>
      <c r="DP61" s="114">
        <v>9679.7756154793915</v>
      </c>
      <c r="DQ61" s="114">
        <v>14678.853463430329</v>
      </c>
      <c r="DR61" s="114">
        <v>10642.774855669193</v>
      </c>
      <c r="DS61" s="114">
        <v>8322.5118449143392</v>
      </c>
      <c r="DT61" s="114">
        <v>12064.316676912104</v>
      </c>
      <c r="DU61" s="114">
        <v>18106.663010957705</v>
      </c>
      <c r="DV61" s="114">
        <v>10555.373747676185</v>
      </c>
      <c r="DW61" s="114">
        <v>16508.216509623042</v>
      </c>
      <c r="DX61" s="114">
        <v>9537.3099120655625</v>
      </c>
      <c r="DY61" s="114">
        <v>11491.207474972718</v>
      </c>
      <c r="DZ61" s="114">
        <v>11430.074252667831</v>
      </c>
      <c r="EA61" s="114">
        <v>1610.614607011116</v>
      </c>
      <c r="EB61" s="114">
        <v>8973.7980492245733</v>
      </c>
      <c r="EC61" s="114">
        <v>9534.7067375922015</v>
      </c>
      <c r="ED61" s="114">
        <v>15061.16407524233</v>
      </c>
      <c r="EE61" s="114">
        <v>10811.102044393161</v>
      </c>
      <c r="EF61" s="114">
        <v>9954.3041652259399</v>
      </c>
      <c r="EG61" s="114">
        <v>14678.4462349641</v>
      </c>
      <c r="EH61" s="114">
        <v>15391.071047841633</v>
      </c>
      <c r="EI61" s="114">
        <v>15265.698789034399</v>
      </c>
      <c r="EJ61" s="114">
        <v>1022.3037772750598</v>
      </c>
      <c r="EK61" s="114">
        <v>3579.8516739003071</v>
      </c>
      <c r="EL61" s="114">
        <v>1326.056912793561</v>
      </c>
      <c r="EM61" s="114">
        <v>17361.682213211781</v>
      </c>
      <c r="EN61" s="114">
        <v>10657.23021707959</v>
      </c>
      <c r="EO61" s="114">
        <v>8226.3463357220044</v>
      </c>
      <c r="EP61" s="114">
        <v>13944.164170778688</v>
      </c>
      <c r="EQ61" s="114">
        <v>11163.901645383641</v>
      </c>
      <c r="ER61" s="114">
        <v>11607.865576955688</v>
      </c>
      <c r="ES61" s="114">
        <v>12051.107648796928</v>
      </c>
      <c r="ET61" s="114">
        <v>2597.8290677542218</v>
      </c>
      <c r="EU61" s="114">
        <v>2511.7754724753413</v>
      </c>
      <c r="EV61" s="114">
        <v>2405.3829259288755</v>
      </c>
      <c r="EW61" s="114">
        <v>10071.419166791984</v>
      </c>
      <c r="EX61" s="114">
        <v>9422.6902210317821</v>
      </c>
      <c r="EY61" s="114">
        <v>13494.41708840383</v>
      </c>
      <c r="EZ61" s="114">
        <v>6903.4964419276384</v>
      </c>
      <c r="FA61" s="114">
        <v>10709.56645883674</v>
      </c>
      <c r="FB61" s="114">
        <v>7281.1699658853431</v>
      </c>
      <c r="FC61" s="114">
        <v>19739.285388990003</v>
      </c>
      <c r="FD61" s="114">
        <v>10422.136088278561</v>
      </c>
      <c r="FE61" s="114">
        <v>10226.376565373768</v>
      </c>
      <c r="FF61" s="114">
        <v>13741.754098238414</v>
      </c>
      <c r="FG61" s="114">
        <v>11649.613162003441</v>
      </c>
      <c r="FH61" s="114">
        <v>15159.029479081282</v>
      </c>
      <c r="FI61" s="114">
        <v>12217.096753233192</v>
      </c>
      <c r="FJ61" s="114">
        <v>8743.3270910804331</v>
      </c>
      <c r="FK61" s="114">
        <v>9229.6306478694514</v>
      </c>
      <c r="FL61" s="114">
        <v>17483.622230187728</v>
      </c>
      <c r="FM61" s="114">
        <v>12228.733205310518</v>
      </c>
      <c r="FN61" s="114">
        <v>2656.7210111069453</v>
      </c>
      <c r="FO61" s="114">
        <v>10384.594095474806</v>
      </c>
      <c r="FP61" s="114">
        <v>9685.788631289819</v>
      </c>
      <c r="FQ61" s="114">
        <v>12275.008690902763</v>
      </c>
      <c r="FR61" s="114">
        <v>16516.633644650468</v>
      </c>
      <c r="FS61" s="114">
        <v>14585.032609594387</v>
      </c>
      <c r="FT61" s="114">
        <v>13055.105795137977</v>
      </c>
      <c r="FU61" s="114">
        <v>18528.736569500954</v>
      </c>
      <c r="FV61" s="114">
        <v>17231.495389730393</v>
      </c>
      <c r="FW61" s="114">
        <v>8853.9901402304604</v>
      </c>
      <c r="FX61" s="114">
        <v>2216.5229144184709</v>
      </c>
      <c r="FY61" s="114">
        <v>9879.8204688627047</v>
      </c>
      <c r="FZ61" s="114">
        <v>11792.588908322112</v>
      </c>
      <c r="GA61" s="114">
        <v>13848.532371870826</v>
      </c>
      <c r="GB61" s="114">
        <v>12303.757995810965</v>
      </c>
      <c r="GC61" s="114">
        <v>11329.899031221827</v>
      </c>
      <c r="GD61" s="114">
        <v>14249.668582795033</v>
      </c>
      <c r="GE61" s="114">
        <v>9211.7756584716881</v>
      </c>
      <c r="GF61" s="114">
        <v>5630.770516581787</v>
      </c>
      <c r="GG61" s="114">
        <v>4564.899633142013</v>
      </c>
      <c r="GH61" s="114">
        <v>4782.972227324738</v>
      </c>
      <c r="GI61" s="114">
        <v>4345.0817781605529</v>
      </c>
      <c r="GJ61" s="114">
        <v>4465.0903909135586</v>
      </c>
      <c r="GK61" s="114">
        <v>14398.680542989965</v>
      </c>
      <c r="GL61" s="114">
        <v>1747.4117012747481</v>
      </c>
      <c r="GM61" s="114">
        <v>17653.78531543315</v>
      </c>
      <c r="GN61" s="114">
        <v>13486.744227270719</v>
      </c>
      <c r="GO61" s="114">
        <v>11772.141889939978</v>
      </c>
      <c r="GP61" s="114">
        <v>12053.556522264638</v>
      </c>
      <c r="GQ61" s="114">
        <v>18706.933637730759</v>
      </c>
      <c r="GR61" s="114">
        <v>13723.462097701944</v>
      </c>
      <c r="GS61" s="114">
        <v>9785.8383851660365</v>
      </c>
      <c r="GT61" s="115">
        <v>11630.112237871639</v>
      </c>
    </row>
    <row r="62" spans="2:202" x14ac:dyDescent="0.6">
      <c r="B62" s="106" t="s">
        <v>53</v>
      </c>
      <c r="C62" s="63" t="s">
        <v>304</v>
      </c>
      <c r="D62" s="113">
        <v>3585.5062176434626</v>
      </c>
      <c r="E62" s="114">
        <v>2695.230358041857</v>
      </c>
      <c r="F62" s="114">
        <v>2984.6950062486626</v>
      </c>
      <c r="G62" s="114">
        <v>4694.0894658025691</v>
      </c>
      <c r="H62" s="114">
        <v>9342.4244928690987</v>
      </c>
      <c r="I62" s="114">
        <v>12015.509398445862</v>
      </c>
      <c r="J62" s="114">
        <v>1638.4658599186318</v>
      </c>
      <c r="K62" s="114">
        <v>14404.935065686483</v>
      </c>
      <c r="L62" s="114">
        <v>2381.0280217225936</v>
      </c>
      <c r="M62" s="114">
        <v>2021.011738775577</v>
      </c>
      <c r="N62" s="114">
        <v>10231.047977466626</v>
      </c>
      <c r="O62" s="114">
        <v>1927.2040905933627</v>
      </c>
      <c r="P62" s="114">
        <v>5854.55518511837</v>
      </c>
      <c r="Q62" s="114">
        <v>9328.020472889928</v>
      </c>
      <c r="R62" s="114">
        <v>2632.5915136046128</v>
      </c>
      <c r="S62" s="114">
        <v>3193.8177690954726</v>
      </c>
      <c r="T62" s="114">
        <v>11675.97790151136</v>
      </c>
      <c r="U62" s="114">
        <v>4001.0270161274493</v>
      </c>
      <c r="V62" s="114">
        <v>5635.2443580634736</v>
      </c>
      <c r="W62" s="114">
        <v>11769.59161553931</v>
      </c>
      <c r="X62" s="114">
        <v>1885.3976540046485</v>
      </c>
      <c r="Y62" s="114">
        <v>6084.7699483156421</v>
      </c>
      <c r="Z62" s="114">
        <v>10210.567368692804</v>
      </c>
      <c r="AA62" s="114">
        <v>9873.7682655331755</v>
      </c>
      <c r="AB62" s="114">
        <v>9165.7385058982636</v>
      </c>
      <c r="AC62" s="114">
        <v>1554.0672267134357</v>
      </c>
      <c r="AD62" s="114">
        <v>3885.6306527050897</v>
      </c>
      <c r="AE62" s="114">
        <v>3694.2219139552485</v>
      </c>
      <c r="AF62" s="114">
        <v>5783.215338963968</v>
      </c>
      <c r="AG62" s="114">
        <v>7787.8841369572829</v>
      </c>
      <c r="AH62" s="114">
        <v>3661.6228765349956</v>
      </c>
      <c r="AI62" s="114">
        <v>3608.8756326066059</v>
      </c>
      <c r="AJ62" s="114">
        <v>9203.2700583328024</v>
      </c>
      <c r="AK62" s="114">
        <v>8843.9399734701274</v>
      </c>
      <c r="AL62" s="114">
        <v>3166.0311449264486</v>
      </c>
      <c r="AM62" s="114">
        <v>2622.6000018342133</v>
      </c>
      <c r="AN62" s="114">
        <v>12762.321756810679</v>
      </c>
      <c r="AO62" s="114">
        <v>8363.8332054680195</v>
      </c>
      <c r="AP62" s="114">
        <v>7551.890213426881</v>
      </c>
      <c r="AQ62" s="114">
        <v>11210.301611242856</v>
      </c>
      <c r="AR62" s="114">
        <v>4781.0943086696188</v>
      </c>
      <c r="AS62" s="114">
        <v>4173.5430034435194</v>
      </c>
      <c r="AT62" s="114">
        <v>4157.609568470888</v>
      </c>
      <c r="AU62" s="114">
        <v>11816.060846653882</v>
      </c>
      <c r="AV62" s="114">
        <v>4590.8314164737876</v>
      </c>
      <c r="AW62" s="114">
        <v>2191.2566063182544</v>
      </c>
      <c r="AX62" s="114">
        <v>10772.633237105094</v>
      </c>
      <c r="AY62" s="114">
        <v>599.48726445041439</v>
      </c>
      <c r="AZ62" s="114">
        <v>2639.7321786762536</v>
      </c>
      <c r="BA62" s="114">
        <v>3191.7948908353151</v>
      </c>
      <c r="BB62" s="114">
        <v>2395.6465784569727</v>
      </c>
      <c r="BC62" s="114">
        <v>9392.2157648131652</v>
      </c>
      <c r="BD62" s="114">
        <v>9982.2117482154754</v>
      </c>
      <c r="BE62" s="114">
        <v>4167.5511401026815</v>
      </c>
      <c r="BF62" s="114">
        <v>11883.540612833263</v>
      </c>
      <c r="BG62" s="114" t="s">
        <v>237</v>
      </c>
      <c r="BH62" s="114">
        <v>12004.416609076601</v>
      </c>
      <c r="BI62" s="114">
        <v>3794.0249178919926</v>
      </c>
      <c r="BJ62" s="114">
        <v>1813.6165984733934</v>
      </c>
      <c r="BK62" s="114">
        <v>3286.8315516030957</v>
      </c>
      <c r="BL62" s="114">
        <v>6248.0487364559076</v>
      </c>
      <c r="BM62" s="114">
        <v>2453.6780654484655</v>
      </c>
      <c r="BN62" s="114">
        <v>3382.3515989109414</v>
      </c>
      <c r="BO62" s="114">
        <v>3196.8330205031534</v>
      </c>
      <c r="BP62" s="114">
        <v>4038.4430942907152</v>
      </c>
      <c r="BQ62" s="114">
        <v>5210.1767011754118</v>
      </c>
      <c r="BR62" s="114">
        <v>1747.1723137109668</v>
      </c>
      <c r="BS62" s="114">
        <v>2878.290782388045</v>
      </c>
      <c r="BT62" s="114">
        <v>2613.4635905971745</v>
      </c>
      <c r="BU62" s="114">
        <v>2917.4231417477677</v>
      </c>
      <c r="BV62" s="114">
        <v>4265.7168362056782</v>
      </c>
      <c r="BW62" s="114">
        <v>1100.1058613363959</v>
      </c>
      <c r="BX62" s="114">
        <v>9613.5993988513219</v>
      </c>
      <c r="BY62" s="114">
        <v>12029.753096815213</v>
      </c>
      <c r="BZ62" s="114">
        <v>5165.6890530670344</v>
      </c>
      <c r="CA62" s="114">
        <v>5221.5441217928692</v>
      </c>
      <c r="CB62" s="114">
        <v>9575.7018786970802</v>
      </c>
      <c r="CC62" s="114">
        <v>10209.60462499258</v>
      </c>
      <c r="CD62" s="114">
        <v>11792.847972462507</v>
      </c>
      <c r="CE62" s="114">
        <v>2183.6057121093104</v>
      </c>
      <c r="CF62" s="114">
        <v>5251.5943341416369</v>
      </c>
      <c r="CG62" s="114">
        <v>4367.557806247165</v>
      </c>
      <c r="CH62" s="114">
        <v>4437.9699878595848</v>
      </c>
      <c r="CI62" s="114">
        <v>8944.9183482515909</v>
      </c>
      <c r="CJ62" s="114">
        <v>1975.9343868397434</v>
      </c>
      <c r="CK62" s="114">
        <v>1294.724423791879</v>
      </c>
      <c r="CL62" s="114">
        <v>3958.2907688593054</v>
      </c>
      <c r="CM62" s="114">
        <v>6223.0278592747936</v>
      </c>
      <c r="CN62" s="114">
        <v>2121.6890863363442</v>
      </c>
      <c r="CO62" s="114">
        <v>2568.6486851436466</v>
      </c>
      <c r="CP62" s="114">
        <v>10613.775085020719</v>
      </c>
      <c r="CQ62" s="114">
        <v>9579.3131747664847</v>
      </c>
      <c r="CR62" s="114">
        <v>452.87079283286448</v>
      </c>
      <c r="CS62" s="114">
        <v>4048.2987041838683</v>
      </c>
      <c r="CT62" s="114">
        <v>3513.0217673910756</v>
      </c>
      <c r="CU62" s="114">
        <v>1629.6376987363308</v>
      </c>
      <c r="CV62" s="114">
        <v>4074.8210720623724</v>
      </c>
      <c r="CW62" s="114">
        <v>7262.6308561382029</v>
      </c>
      <c r="CX62" s="114">
        <v>3000.1415373821851</v>
      </c>
      <c r="CY62" s="114">
        <v>555.40523575539532</v>
      </c>
      <c r="CZ62" s="114">
        <v>6594.2110543445888</v>
      </c>
      <c r="DA62" s="114">
        <v>5089.5162083325713</v>
      </c>
      <c r="DB62" s="114">
        <v>1737.5777060779449</v>
      </c>
      <c r="DC62" s="114">
        <v>2666.8619735241987</v>
      </c>
      <c r="DD62" s="114">
        <v>2751.4700302519441</v>
      </c>
      <c r="DE62" s="114">
        <v>3010.5461050171111</v>
      </c>
      <c r="DF62" s="114">
        <v>5670.6303405665403</v>
      </c>
      <c r="DG62" s="114">
        <v>4900.1099556302406</v>
      </c>
      <c r="DH62" s="114">
        <v>7938.9910826525902</v>
      </c>
      <c r="DI62" s="114">
        <v>5283.1919144654385</v>
      </c>
      <c r="DJ62" s="114">
        <v>4436.6105936081567</v>
      </c>
      <c r="DK62" s="114">
        <v>1686.5381262974156</v>
      </c>
      <c r="DL62" s="114">
        <v>6235.9484747650731</v>
      </c>
      <c r="DM62" s="114">
        <v>6251.6345947620375</v>
      </c>
      <c r="DN62" s="114">
        <v>12379.67858457926</v>
      </c>
      <c r="DO62" s="114">
        <v>1900.4946071674842</v>
      </c>
      <c r="DP62" s="114">
        <v>2588.3852972157961</v>
      </c>
      <c r="DQ62" s="114">
        <v>6569.783489694395</v>
      </c>
      <c r="DR62" s="114">
        <v>1741.4031659523973</v>
      </c>
      <c r="DS62" s="114">
        <v>3588.2302683344305</v>
      </c>
      <c r="DT62" s="114">
        <v>6182.6049844880863</v>
      </c>
      <c r="DU62" s="114">
        <v>6731.6728762509092</v>
      </c>
      <c r="DV62" s="114">
        <v>6014.0986585719684</v>
      </c>
      <c r="DW62" s="114">
        <v>5229.7501374020339</v>
      </c>
      <c r="DX62" s="114">
        <v>3290.0139759120748</v>
      </c>
      <c r="DY62" s="114">
        <v>16576.784815643125</v>
      </c>
      <c r="DZ62" s="114">
        <v>16499.530275585101</v>
      </c>
      <c r="EA62" s="114">
        <v>11844.963476108442</v>
      </c>
      <c r="EB62" s="114">
        <v>3518.0026614092694</v>
      </c>
      <c r="EC62" s="114">
        <v>3399.4985077382662</v>
      </c>
      <c r="ED62" s="114">
        <v>8288.1774682016021</v>
      </c>
      <c r="EE62" s="114">
        <v>1600.6403462459728</v>
      </c>
      <c r="EF62" s="114">
        <v>3633.7396944722436</v>
      </c>
      <c r="EG62" s="114">
        <v>2795.5874588297165</v>
      </c>
      <c r="EH62" s="114">
        <v>3576.7874924851531</v>
      </c>
      <c r="EI62" s="114">
        <v>3960.7327323672766</v>
      </c>
      <c r="EJ62" s="114">
        <v>11419.057105426298</v>
      </c>
      <c r="EK62" s="114">
        <v>11230.732106625121</v>
      </c>
      <c r="EL62" s="114">
        <v>12406.424143441094</v>
      </c>
      <c r="EM62" s="114">
        <v>9199.8839335259399</v>
      </c>
      <c r="EN62" s="114">
        <v>2596.5066219695527</v>
      </c>
      <c r="EO62" s="114">
        <v>3784.5830724365533</v>
      </c>
      <c r="EP62" s="114">
        <v>2060.6811149494042</v>
      </c>
      <c r="EQ62" s="114">
        <v>1646.5042255909107</v>
      </c>
      <c r="ER62" s="114">
        <v>2908.0903805886455</v>
      </c>
      <c r="ES62" s="114">
        <v>3515.6987675319347</v>
      </c>
      <c r="ET62" s="114">
        <v>9394.1429885080288</v>
      </c>
      <c r="EU62" s="114">
        <v>9395.304793039073</v>
      </c>
      <c r="EV62" s="114">
        <v>9494.792496111535</v>
      </c>
      <c r="EW62" s="114">
        <v>2244.4959620436593</v>
      </c>
      <c r="EX62" s="114">
        <v>4233.0923575735424</v>
      </c>
      <c r="EY62" s="114">
        <v>1632.4406107406003</v>
      </c>
      <c r="EZ62" s="114">
        <v>5238.7417855832518</v>
      </c>
      <c r="FA62" s="114">
        <v>1868.2422145410817</v>
      </c>
      <c r="FB62" s="114">
        <v>5196.9041425789765</v>
      </c>
      <c r="FC62" s="114">
        <v>8268.86806880109</v>
      </c>
      <c r="FD62" s="114">
        <v>2341.4826525276558</v>
      </c>
      <c r="FE62" s="114">
        <v>2301.9549926846007</v>
      </c>
      <c r="FF62" s="114">
        <v>3450.1012149194553</v>
      </c>
      <c r="FG62" s="114">
        <v>6174.1553611407053</v>
      </c>
      <c r="FH62" s="114">
        <v>8471.1876133557744</v>
      </c>
      <c r="FI62" s="114">
        <v>2797.8600587867609</v>
      </c>
      <c r="FJ62" s="114">
        <v>3320.2629524271983</v>
      </c>
      <c r="FK62" s="114">
        <v>2886.8935888146452</v>
      </c>
      <c r="FL62" s="114">
        <v>5686.4138002930413</v>
      </c>
      <c r="FM62" s="114">
        <v>1639.2347597992659</v>
      </c>
      <c r="FN62" s="114">
        <v>9340.8008556425902</v>
      </c>
      <c r="FO62" s="114">
        <v>3393.685069497561</v>
      </c>
      <c r="FP62" s="114">
        <v>2759.6454340379155</v>
      </c>
      <c r="FQ62" s="114">
        <v>601.02408775227423</v>
      </c>
      <c r="FR62" s="114">
        <v>8686.898185712078</v>
      </c>
      <c r="FS62" s="114">
        <v>3531.6075275326953</v>
      </c>
      <c r="FT62" s="114">
        <v>4185.6183566879936</v>
      </c>
      <c r="FU62" s="114">
        <v>7274.4658559446216</v>
      </c>
      <c r="FV62" s="114">
        <v>10865.594595917401</v>
      </c>
      <c r="FW62" s="114">
        <v>4108.1910341160865</v>
      </c>
      <c r="FX62" s="114">
        <v>9668.1364490842843</v>
      </c>
      <c r="FY62" s="114">
        <v>2079.0153318668627</v>
      </c>
      <c r="FZ62" s="114">
        <v>1070.6401655049142</v>
      </c>
      <c r="GA62" s="114">
        <v>2576.3942941597302</v>
      </c>
      <c r="GB62" s="114">
        <v>3316.9943761383256</v>
      </c>
      <c r="GC62" s="114">
        <v>2257.2895240032876</v>
      </c>
      <c r="GD62" s="114">
        <v>2366.1373970223035</v>
      </c>
      <c r="GE62" s="114">
        <v>3495.609255996289</v>
      </c>
      <c r="GF62" s="114">
        <v>12200.010958636374</v>
      </c>
      <c r="GG62" s="114">
        <v>9017.7429083937513</v>
      </c>
      <c r="GH62" s="114">
        <v>8713.0578606189774</v>
      </c>
      <c r="GI62" s="114">
        <v>9343.0680145760271</v>
      </c>
      <c r="GJ62" s="114">
        <v>11611.115895123983</v>
      </c>
      <c r="GK62" s="114">
        <v>3616.7150920126533</v>
      </c>
      <c r="GL62" s="114">
        <v>10164.149018209464</v>
      </c>
      <c r="GM62" s="114">
        <v>7403.0200184084842</v>
      </c>
      <c r="GN62" s="114">
        <v>2103.9976401663589</v>
      </c>
      <c r="GO62" s="114">
        <v>5046.1365894833143</v>
      </c>
      <c r="GP62" s="114">
        <v>5275.1029930773575</v>
      </c>
      <c r="GQ62" s="114">
        <v>8019.3329591988313</v>
      </c>
      <c r="GR62" s="114">
        <v>14271.366214563383</v>
      </c>
      <c r="GS62" s="114">
        <v>2733.0322227642869</v>
      </c>
      <c r="GT62" s="115">
        <v>6259.012441306304</v>
      </c>
    </row>
    <row r="63" spans="2:202" x14ac:dyDescent="0.6">
      <c r="B63" s="106" t="s">
        <v>54</v>
      </c>
      <c r="C63" s="63" t="s">
        <v>451</v>
      </c>
      <c r="D63" s="113">
        <v>14234.391363880053</v>
      </c>
      <c r="E63" s="114">
        <v>9319.3321085074913</v>
      </c>
      <c r="F63" s="114">
        <v>9043.5952845933971</v>
      </c>
      <c r="G63" s="114">
        <v>11541.083754259895</v>
      </c>
      <c r="H63" s="114">
        <v>2950.8513275165401</v>
      </c>
      <c r="I63" s="114">
        <v>6313.8498026228144</v>
      </c>
      <c r="J63" s="114">
        <v>12367.987391888248</v>
      </c>
      <c r="K63" s="114">
        <v>13579.820234837005</v>
      </c>
      <c r="L63" s="114">
        <v>10001.36848671963</v>
      </c>
      <c r="M63" s="114">
        <v>12679.774404136324</v>
      </c>
      <c r="N63" s="114">
        <v>1797.5581874327706</v>
      </c>
      <c r="O63" s="114">
        <v>13804.600078971062</v>
      </c>
      <c r="P63" s="114">
        <v>15919.18587624286</v>
      </c>
      <c r="Q63" s="114">
        <v>3224.005563606278</v>
      </c>
      <c r="R63" s="114">
        <v>10459.098332697407</v>
      </c>
      <c r="S63" s="114">
        <v>9092.5231663207505</v>
      </c>
      <c r="T63" s="114">
        <v>428.98231947096701</v>
      </c>
      <c r="U63" s="114">
        <v>10010.742309494386</v>
      </c>
      <c r="V63" s="114">
        <v>15485.638461576393</v>
      </c>
      <c r="W63" s="114">
        <v>4019.9812372412216</v>
      </c>
      <c r="X63" s="114">
        <v>10331.89017656059</v>
      </c>
      <c r="Y63" s="114">
        <v>13092.644318751041</v>
      </c>
      <c r="Z63" s="114">
        <v>6180.3291926196107</v>
      </c>
      <c r="AA63" s="114">
        <v>6425.5885581137291</v>
      </c>
      <c r="AB63" s="114">
        <v>16691.140938406988</v>
      </c>
      <c r="AC63" s="114">
        <v>10747.914387136343</v>
      </c>
      <c r="AD63" s="114">
        <v>9463.5468816414013</v>
      </c>
      <c r="AE63" s="114">
        <v>13146.175714726174</v>
      </c>
      <c r="AF63" s="114">
        <v>7063.7326376100527</v>
      </c>
      <c r="AG63" s="114">
        <v>16882.649975821849</v>
      </c>
      <c r="AH63" s="114">
        <v>10852.008949890609</v>
      </c>
      <c r="AI63" s="114">
        <v>11043.972494043877</v>
      </c>
      <c r="AJ63" s="114">
        <v>3494.1194820131172</v>
      </c>
      <c r="AK63" s="114">
        <v>3771.6223992622326</v>
      </c>
      <c r="AL63" s="114">
        <v>11774.62837030304</v>
      </c>
      <c r="AM63" s="114">
        <v>11138.153472071257</v>
      </c>
      <c r="AN63" s="114">
        <v>5552.7392853108777</v>
      </c>
      <c r="AO63" s="114">
        <v>14077.239868085624</v>
      </c>
      <c r="AP63" s="114">
        <v>13570.642428238267</v>
      </c>
      <c r="AQ63" s="114">
        <v>1939.206068826833</v>
      </c>
      <c r="AR63" s="114">
        <v>14833.409194125834</v>
      </c>
      <c r="AS63" s="114">
        <v>11676.266406785831</v>
      </c>
      <c r="AT63" s="114">
        <v>11649.492243147941</v>
      </c>
      <c r="AU63" s="114">
        <v>699.70178615386044</v>
      </c>
      <c r="AV63" s="114">
        <v>9339.0810644036137</v>
      </c>
      <c r="AW63" s="114">
        <v>10055.292308235114</v>
      </c>
      <c r="AX63" s="114">
        <v>1297.9820580509602</v>
      </c>
      <c r="AY63" s="114">
        <v>11899.438194018579</v>
      </c>
      <c r="AZ63" s="114">
        <v>9792.4864650311065</v>
      </c>
      <c r="BA63" s="114">
        <v>9489.3289139791941</v>
      </c>
      <c r="BB63" s="114">
        <v>13992.809892930833</v>
      </c>
      <c r="BC63" s="114">
        <v>3006.5811043268786</v>
      </c>
      <c r="BD63" s="114">
        <v>2155.3827177167718</v>
      </c>
      <c r="BE63" s="114">
        <v>11655.442347184686</v>
      </c>
      <c r="BF63" s="114">
        <v>1916.5195326100984</v>
      </c>
      <c r="BG63" s="114">
        <v>12004.416609076601</v>
      </c>
      <c r="BH63" s="114" t="s">
        <v>237</v>
      </c>
      <c r="BI63" s="114">
        <v>10738.476620395859</v>
      </c>
      <c r="BJ63" s="114">
        <v>13437.399177143205</v>
      </c>
      <c r="BK63" s="114">
        <v>10007.769175831443</v>
      </c>
      <c r="BL63" s="114">
        <v>13648.200770148271</v>
      </c>
      <c r="BM63" s="114">
        <v>13708.620981574424</v>
      </c>
      <c r="BN63" s="114">
        <v>9988.0156079364897</v>
      </c>
      <c r="BO63" s="114">
        <v>8990.591150961689</v>
      </c>
      <c r="BP63" s="114">
        <v>10905.136123770404</v>
      </c>
      <c r="BQ63" s="114">
        <v>7832.6752083513229</v>
      </c>
      <c r="BR63" s="114">
        <v>12283.095365362438</v>
      </c>
      <c r="BS63" s="114">
        <v>9649.7512567845442</v>
      </c>
      <c r="BT63" s="114">
        <v>9674.4965616704576</v>
      </c>
      <c r="BU63" s="114">
        <v>9411.9763596813991</v>
      </c>
      <c r="BV63" s="114">
        <v>9766.4370957702322</v>
      </c>
      <c r="BW63" s="114">
        <v>10995.377114567493</v>
      </c>
      <c r="BX63" s="114">
        <v>2968.8958196109365</v>
      </c>
      <c r="BY63" s="114">
        <v>164.25156234987125</v>
      </c>
      <c r="BZ63" s="114">
        <v>8226.0499578317085</v>
      </c>
      <c r="CA63" s="114">
        <v>7969.9714535899684</v>
      </c>
      <c r="CB63" s="114">
        <v>3475.2327898131875</v>
      </c>
      <c r="CC63" s="114">
        <v>1889.7254627948669</v>
      </c>
      <c r="CD63" s="114">
        <v>223.71407863077422</v>
      </c>
      <c r="CE63" s="114">
        <v>10232.173627442235</v>
      </c>
      <c r="CF63" s="114">
        <v>7586.9016048072144</v>
      </c>
      <c r="CG63" s="114">
        <v>15900.103915412654</v>
      </c>
      <c r="CH63" s="114">
        <v>15139.817644673298</v>
      </c>
      <c r="CI63" s="114">
        <v>18133.240627361924</v>
      </c>
      <c r="CJ63" s="114">
        <v>13170.272538541605</v>
      </c>
      <c r="CK63" s="114">
        <v>12856.224485620085</v>
      </c>
      <c r="CL63" s="114">
        <v>8350.9866025531355</v>
      </c>
      <c r="CM63" s="114">
        <v>5841.9318357098909</v>
      </c>
      <c r="CN63" s="114">
        <v>9944.5391023759657</v>
      </c>
      <c r="CO63" s="114">
        <v>9581.5030198032855</v>
      </c>
      <c r="CP63" s="114">
        <v>1441.9086855145654</v>
      </c>
      <c r="CQ63" s="114">
        <v>12523.099962507275</v>
      </c>
      <c r="CR63" s="114">
        <v>12282.509183603503</v>
      </c>
      <c r="CS63" s="114">
        <v>12595.405379403972</v>
      </c>
      <c r="CT63" s="114">
        <v>13876.347316610889</v>
      </c>
      <c r="CU63" s="114">
        <v>13402.574649196335</v>
      </c>
      <c r="CV63" s="114">
        <v>13572.082122842943</v>
      </c>
      <c r="CW63" s="114">
        <v>16350.114183971848</v>
      </c>
      <c r="CX63" s="114">
        <v>10121.297355436714</v>
      </c>
      <c r="CY63" s="114">
        <v>12151.744377020152</v>
      </c>
      <c r="CZ63" s="114">
        <v>13274.663603978903</v>
      </c>
      <c r="DA63" s="114">
        <v>8623.0156720045743</v>
      </c>
      <c r="DB63" s="114">
        <v>10316.612050328196</v>
      </c>
      <c r="DC63" s="114">
        <v>9543.1645825967316</v>
      </c>
      <c r="DD63" s="114">
        <v>10292.208725356428</v>
      </c>
      <c r="DE63" s="114">
        <v>9250.2886226905957</v>
      </c>
      <c r="DF63" s="114">
        <v>15331.114862854049</v>
      </c>
      <c r="DG63" s="114">
        <v>13827.6730723562</v>
      </c>
      <c r="DH63" s="114">
        <v>17846.065543917557</v>
      </c>
      <c r="DI63" s="114">
        <v>17271.708505522591</v>
      </c>
      <c r="DJ63" s="114">
        <v>8795.0306130009594</v>
      </c>
      <c r="DK63" s="114">
        <v>10319.004042047012</v>
      </c>
      <c r="DL63" s="114">
        <v>16367.574279165927</v>
      </c>
      <c r="DM63" s="114">
        <v>16387.420081557135</v>
      </c>
      <c r="DN63" s="114">
        <v>1246.4014122830331</v>
      </c>
      <c r="DO63" s="114">
        <v>10912.154806585335</v>
      </c>
      <c r="DP63" s="114">
        <v>9495.0179991776167</v>
      </c>
      <c r="DQ63" s="114">
        <v>13014.070507339522</v>
      </c>
      <c r="DR63" s="114">
        <v>10452.443769469268</v>
      </c>
      <c r="DS63" s="114">
        <v>8474.7758778098996</v>
      </c>
      <c r="DT63" s="114">
        <v>13774.952492340324</v>
      </c>
      <c r="DU63" s="114">
        <v>16645.213915177555</v>
      </c>
      <c r="DV63" s="114">
        <v>12205.753441609604</v>
      </c>
      <c r="DW63" s="114">
        <v>15431.3545640312</v>
      </c>
      <c r="DX63" s="114">
        <v>9078.1349459685425</v>
      </c>
      <c r="DY63" s="114">
        <v>11435.027544859298</v>
      </c>
      <c r="DZ63" s="114">
        <v>11522.068755232887</v>
      </c>
      <c r="EA63" s="114">
        <v>348.03710897772947</v>
      </c>
      <c r="EB63" s="114">
        <v>9790.7093014302536</v>
      </c>
      <c r="EC63" s="114">
        <v>10460.039100811084</v>
      </c>
      <c r="ED63" s="114">
        <v>13174.403996945697</v>
      </c>
      <c r="EE63" s="114">
        <v>10622.503603401823</v>
      </c>
      <c r="EF63" s="114">
        <v>9254.05909874586</v>
      </c>
      <c r="EG63" s="114">
        <v>14607.199898116965</v>
      </c>
      <c r="EH63" s="114">
        <v>15033.564741364675</v>
      </c>
      <c r="EI63" s="114">
        <v>14479.354231664234</v>
      </c>
      <c r="EJ63" s="114">
        <v>1180.2497806816214</v>
      </c>
      <c r="EK63" s="114">
        <v>5496.3674774059991</v>
      </c>
      <c r="EL63" s="114">
        <v>3123.6471415655901</v>
      </c>
      <c r="EM63" s="114">
        <v>15483.500473160211</v>
      </c>
      <c r="EN63" s="114">
        <v>10149.47978801454</v>
      </c>
      <c r="EO63" s="114">
        <v>8223.6442055060743</v>
      </c>
      <c r="EP63" s="114">
        <v>13953.206543170918</v>
      </c>
      <c r="EQ63" s="114">
        <v>10869.061664280231</v>
      </c>
      <c r="ER63" s="114">
        <v>10874.762775040901</v>
      </c>
      <c r="ES63" s="114">
        <v>13196.75399659399</v>
      </c>
      <c r="ET63" s="114">
        <v>2888.7778391382062</v>
      </c>
      <c r="EU63" s="114">
        <v>3079.8472382972059</v>
      </c>
      <c r="EV63" s="114">
        <v>3029.1343866931256</v>
      </c>
      <c r="EW63" s="114">
        <v>9878.1100096727878</v>
      </c>
      <c r="EX63" s="114">
        <v>10598.746322731968</v>
      </c>
      <c r="EY63" s="114">
        <v>13613.497862015845</v>
      </c>
      <c r="EZ63" s="114">
        <v>7718.5221563840887</v>
      </c>
      <c r="FA63" s="114">
        <v>10446.402626869354</v>
      </c>
      <c r="FB63" s="114">
        <v>8282.5171300201109</v>
      </c>
      <c r="FC63" s="114">
        <v>17842.498623796186</v>
      </c>
      <c r="FD63" s="114">
        <v>10061.236574441493</v>
      </c>
      <c r="FE63" s="114">
        <v>9943.9327161394503</v>
      </c>
      <c r="FF63" s="114">
        <v>14697.363540244824</v>
      </c>
      <c r="FG63" s="114">
        <v>13353.414719298664</v>
      </c>
      <c r="FH63" s="114">
        <v>13260.125757621076</v>
      </c>
      <c r="FI63" s="114">
        <v>13160.973272093761</v>
      </c>
      <c r="FJ63" s="114">
        <v>8685.3132428673543</v>
      </c>
      <c r="FK63" s="114">
        <v>9132.0098834219643</v>
      </c>
      <c r="FL63" s="114">
        <v>17447.069809670538</v>
      </c>
      <c r="FM63" s="114">
        <v>12827.745035309787</v>
      </c>
      <c r="FN63" s="114">
        <v>3826.7573330090477</v>
      </c>
      <c r="FO63" s="114">
        <v>9673.8655388395164</v>
      </c>
      <c r="FP63" s="114">
        <v>9407.8756873010225</v>
      </c>
      <c r="FQ63" s="114">
        <v>12233.763022828767</v>
      </c>
      <c r="FR63" s="114">
        <v>14600.569459331366</v>
      </c>
      <c r="FS63" s="114">
        <v>13807.363940539788</v>
      </c>
      <c r="FT63" s="114">
        <v>14327.67570244787</v>
      </c>
      <c r="FU63" s="114">
        <v>16855.000565366568</v>
      </c>
      <c r="FV63" s="114">
        <v>16218.995047452265</v>
      </c>
      <c r="FW63" s="114">
        <v>9883.1634964593923</v>
      </c>
      <c r="FX63" s="114">
        <v>3015.2763377279616</v>
      </c>
      <c r="FY63" s="114">
        <v>9926.6836222702186</v>
      </c>
      <c r="FZ63" s="114">
        <v>11589.317506697214</v>
      </c>
      <c r="GA63" s="114">
        <v>13323.406154618509</v>
      </c>
      <c r="GB63" s="114">
        <v>13387.719954418402</v>
      </c>
      <c r="GC63" s="114">
        <v>10815.903532396862</v>
      </c>
      <c r="GD63" s="114">
        <v>14234.476929781147</v>
      </c>
      <c r="GE63" s="114">
        <v>8782.6027178387667</v>
      </c>
      <c r="GF63" s="114">
        <v>3727.1352144904381</v>
      </c>
      <c r="GG63" s="114">
        <v>3373.2393065403658</v>
      </c>
      <c r="GH63" s="114">
        <v>3658.3511152173587</v>
      </c>
      <c r="GI63" s="114">
        <v>3074.9522463647172</v>
      </c>
      <c r="GJ63" s="114">
        <v>6364.453959636031</v>
      </c>
      <c r="GK63" s="114">
        <v>13543.406619063726</v>
      </c>
      <c r="GL63" s="114">
        <v>2477.0916088778099</v>
      </c>
      <c r="GM63" s="114">
        <v>15865.740912628156</v>
      </c>
      <c r="GN63" s="114">
        <v>13963.226980733256</v>
      </c>
      <c r="GO63" s="114">
        <v>13276.521424574912</v>
      </c>
      <c r="GP63" s="114">
        <v>13605.191238530693</v>
      </c>
      <c r="GQ63" s="114">
        <v>16810.965123081151</v>
      </c>
      <c r="GR63" s="114">
        <v>13733.803311148549</v>
      </c>
      <c r="GS63" s="114">
        <v>9478.5969836441654</v>
      </c>
      <c r="GT63" s="115">
        <v>13346.282152781174</v>
      </c>
    </row>
    <row r="64" spans="2:202" x14ac:dyDescent="0.6">
      <c r="B64" s="106" t="s">
        <v>55</v>
      </c>
      <c r="C64" s="63" t="s">
        <v>452</v>
      </c>
      <c r="D64" s="113">
        <v>7114.3924333567029</v>
      </c>
      <c r="E64" s="114">
        <v>3707.9277346663084</v>
      </c>
      <c r="F64" s="114">
        <v>4379.4807310106926</v>
      </c>
      <c r="G64" s="114">
        <v>1425.3101603491607</v>
      </c>
      <c r="H64" s="114">
        <v>7806.3950855596795</v>
      </c>
      <c r="I64" s="114">
        <v>8337.0239949467741</v>
      </c>
      <c r="J64" s="114">
        <v>5432.4907339053734</v>
      </c>
      <c r="K64" s="114">
        <v>14868.520786763522</v>
      </c>
      <c r="L64" s="114">
        <v>5021.5755182817638</v>
      </c>
      <c r="M64" s="114">
        <v>5803.4182241683438</v>
      </c>
      <c r="N64" s="114">
        <v>9412.373958684002</v>
      </c>
      <c r="O64" s="114">
        <v>5114.4281017045541</v>
      </c>
      <c r="P64" s="114">
        <v>9014.7986538224177</v>
      </c>
      <c r="Q64" s="114">
        <v>7517.2377942374405</v>
      </c>
      <c r="R64" s="114">
        <v>5826.258019076924</v>
      </c>
      <c r="S64" s="114">
        <v>5248.2941206243495</v>
      </c>
      <c r="T64" s="114">
        <v>10614.60526425189</v>
      </c>
      <c r="U64" s="114">
        <v>741.12930647961298</v>
      </c>
      <c r="V64" s="114">
        <v>8937.8021272787664</v>
      </c>
      <c r="W64" s="114">
        <v>8689.8604186321427</v>
      </c>
      <c r="X64" s="114">
        <v>4558.2853571935611</v>
      </c>
      <c r="Y64" s="114">
        <v>3609.7509147504393</v>
      </c>
      <c r="Z64" s="114">
        <v>6679.4175588480284</v>
      </c>
      <c r="AA64" s="114">
        <v>6321.785609767905</v>
      </c>
      <c r="AB64" s="114">
        <v>11801.507619925029</v>
      </c>
      <c r="AC64" s="114">
        <v>4575.2039403275312</v>
      </c>
      <c r="AD64" s="114">
        <v>1448.8033422469946</v>
      </c>
      <c r="AE64" s="114">
        <v>2412.8947059743664</v>
      </c>
      <c r="AF64" s="114">
        <v>3716.6704301282061</v>
      </c>
      <c r="AG64" s="114">
        <v>10584.801501282367</v>
      </c>
      <c r="AH64" s="114">
        <v>149.26662715850847</v>
      </c>
      <c r="AI64" s="114">
        <v>316.3715854653874</v>
      </c>
      <c r="AJ64" s="114">
        <v>9573.7454103997479</v>
      </c>
      <c r="AK64" s="114">
        <v>9259.4134637641437</v>
      </c>
      <c r="AL64" s="114">
        <v>1096.2329190687371</v>
      </c>
      <c r="AM64" s="114">
        <v>1172.3454199846722</v>
      </c>
      <c r="AN64" s="114">
        <v>9191.4568879889866</v>
      </c>
      <c r="AO64" s="114">
        <v>11960.529721401144</v>
      </c>
      <c r="AP64" s="114">
        <v>11262.366235019277</v>
      </c>
      <c r="AQ64" s="114">
        <v>9148.232173311053</v>
      </c>
      <c r="AR64" s="114">
        <v>4173.9486628943368</v>
      </c>
      <c r="AS64" s="114">
        <v>1149.3588419025309</v>
      </c>
      <c r="AT64" s="114">
        <v>1115.3430346113996</v>
      </c>
      <c r="AU64" s="114">
        <v>10219.713045715236</v>
      </c>
      <c r="AV64" s="114">
        <v>1404.3718405440361</v>
      </c>
      <c r="AW64" s="114">
        <v>4726.2695733056498</v>
      </c>
      <c r="AX64" s="114">
        <v>9930.7630097813835</v>
      </c>
      <c r="AY64" s="114">
        <v>4345.6351555546689</v>
      </c>
      <c r="AZ64" s="114">
        <v>5209.6098736178719</v>
      </c>
      <c r="BA64" s="114">
        <v>5787.9731517284899</v>
      </c>
      <c r="BB64" s="114">
        <v>3809.084909211555</v>
      </c>
      <c r="BC64" s="114">
        <v>7733.9532066311858</v>
      </c>
      <c r="BD64" s="114">
        <v>8630.4059928472361</v>
      </c>
      <c r="BE64" s="114">
        <v>1126.73642781239</v>
      </c>
      <c r="BF64" s="114">
        <v>9658.9212252267007</v>
      </c>
      <c r="BG64" s="114">
        <v>3794.0249178919926</v>
      </c>
      <c r="BH64" s="114">
        <v>10738.476620395859</v>
      </c>
      <c r="BI64" s="114" t="s">
        <v>527</v>
      </c>
      <c r="BJ64" s="114">
        <v>3539.5254897682394</v>
      </c>
      <c r="BK64" s="114">
        <v>6352.2430359479913</v>
      </c>
      <c r="BL64" s="114">
        <v>4092.422911384378</v>
      </c>
      <c r="BM64" s="114">
        <v>3362.9857318602035</v>
      </c>
      <c r="BN64" s="114">
        <v>6460.0426233880689</v>
      </c>
      <c r="BO64" s="114">
        <v>5045.1883627327943</v>
      </c>
      <c r="BP64" s="114">
        <v>365.70872966706662</v>
      </c>
      <c r="BQ64" s="114">
        <v>2945.5519337904025</v>
      </c>
      <c r="BR64" s="114">
        <v>5538.8825584959623</v>
      </c>
      <c r="BS64" s="114">
        <v>5449.5888726763833</v>
      </c>
      <c r="BT64" s="114">
        <v>4977.4799147907606</v>
      </c>
      <c r="BU64" s="114">
        <v>5188.4836737994165</v>
      </c>
      <c r="BV64" s="114">
        <v>972.20700889186003</v>
      </c>
      <c r="BW64" s="114">
        <v>4089.5996795984511</v>
      </c>
      <c r="BX64" s="114">
        <v>7780.6773676762778</v>
      </c>
      <c r="BY64" s="114">
        <v>10848.478268794621</v>
      </c>
      <c r="BZ64" s="114">
        <v>2514.111823404332</v>
      </c>
      <c r="CA64" s="114">
        <v>2783.9887589024374</v>
      </c>
      <c r="CB64" s="114">
        <v>7383.166907371964</v>
      </c>
      <c r="CC64" s="114">
        <v>8905.8731906978082</v>
      </c>
      <c r="CD64" s="114">
        <v>10521.320099639208</v>
      </c>
      <c r="CE64" s="114">
        <v>4979.1744827872371</v>
      </c>
      <c r="CF64" s="114">
        <v>7165.3563551967027</v>
      </c>
      <c r="CG64" s="114">
        <v>7192.9686280159221</v>
      </c>
      <c r="CH64" s="114">
        <v>7738.7169106235951</v>
      </c>
      <c r="CI64" s="114">
        <v>10920.478005281328</v>
      </c>
      <c r="CJ64" s="114">
        <v>5652.2532689800519</v>
      </c>
      <c r="CK64" s="114">
        <v>4974.1184306703344</v>
      </c>
      <c r="CL64" s="114">
        <v>5693.5740887492702</v>
      </c>
      <c r="CM64" s="114">
        <v>5528.1314319346729</v>
      </c>
      <c r="CN64" s="114">
        <v>4252.2611581116253</v>
      </c>
      <c r="CO64" s="114">
        <v>4672.2490866311155</v>
      </c>
      <c r="CP64" s="114">
        <v>9360.8236991513404</v>
      </c>
      <c r="CQ64" s="114">
        <v>13340.36402760184</v>
      </c>
      <c r="CR64" s="114">
        <v>4213.7772243600502</v>
      </c>
      <c r="CS64" s="114">
        <v>7842.3087573855164</v>
      </c>
      <c r="CT64" s="114">
        <v>3151.9051590232452</v>
      </c>
      <c r="CU64" s="114">
        <v>5057.3044997470533</v>
      </c>
      <c r="CV64" s="114">
        <v>7795.3172550406789</v>
      </c>
      <c r="CW64" s="114">
        <v>10293.623021065499</v>
      </c>
      <c r="CX64" s="114">
        <v>6061.9311839395568</v>
      </c>
      <c r="CY64" s="114">
        <v>4349.3710458842061</v>
      </c>
      <c r="CZ64" s="114">
        <v>4145.4571389877065</v>
      </c>
      <c r="DA64" s="114">
        <v>2123.4618242237848</v>
      </c>
      <c r="DB64" s="114">
        <v>3264.0603766814588</v>
      </c>
      <c r="DC64" s="114">
        <v>4852.0617957953336</v>
      </c>
      <c r="DD64" s="114">
        <v>5861.65287547147</v>
      </c>
      <c r="DE64" s="114">
        <v>5111.1677926483762</v>
      </c>
      <c r="DF64" s="114">
        <v>4902.4571518347748</v>
      </c>
      <c r="DG64" s="114">
        <v>3369.435078206925</v>
      </c>
      <c r="DH64" s="114">
        <v>10308.264233781983</v>
      </c>
      <c r="DI64" s="114">
        <v>7186.3693971450857</v>
      </c>
      <c r="DJ64" s="114">
        <v>2023.6425273291884</v>
      </c>
      <c r="DK64" s="114">
        <v>3617.9735974504151</v>
      </c>
      <c r="DL64" s="114">
        <v>5933.4830160265801</v>
      </c>
      <c r="DM64" s="114">
        <v>5955.3428892511129</v>
      </c>
      <c r="DN64" s="114">
        <v>11717.876910776475</v>
      </c>
      <c r="DO64" s="114">
        <v>5225.1958026985285</v>
      </c>
      <c r="DP64" s="114">
        <v>4481.1171004563739</v>
      </c>
      <c r="DQ64" s="114">
        <v>10347.087797210785</v>
      </c>
      <c r="DR64" s="114">
        <v>4465.212265805696</v>
      </c>
      <c r="DS64" s="114">
        <v>3752.2626663105484</v>
      </c>
      <c r="DT64" s="114">
        <v>4124.3917909164174</v>
      </c>
      <c r="DU64" s="114">
        <v>9654.0244303896088</v>
      </c>
      <c r="DV64" s="114">
        <v>3015.2014970012406</v>
      </c>
      <c r="DW64" s="114">
        <v>8519.0270568384822</v>
      </c>
      <c r="DX64" s="114">
        <v>5436.4414605960937</v>
      </c>
      <c r="DY64" s="114">
        <v>16042.961062241015</v>
      </c>
      <c r="DZ64" s="114">
        <v>15588.35211533558</v>
      </c>
      <c r="EA64" s="114">
        <v>10437.348753749022</v>
      </c>
      <c r="EB64" s="114">
        <v>1301.1349859026295</v>
      </c>
      <c r="EC64" s="114">
        <v>636.1939942675624</v>
      </c>
      <c r="ED64" s="114">
        <v>12024.840823873737</v>
      </c>
      <c r="EE64" s="114">
        <v>4471.5847046115314</v>
      </c>
      <c r="EF64" s="114">
        <v>6240.2837180119623</v>
      </c>
      <c r="EG64" s="114">
        <v>5790.9612970408043</v>
      </c>
      <c r="EH64" s="114">
        <v>6691.6451305891005</v>
      </c>
      <c r="EI64" s="114">
        <v>7451.15348791826</v>
      </c>
      <c r="EJ64" s="114">
        <v>9700.8523186153197</v>
      </c>
      <c r="EK64" s="114">
        <v>7763.3384317821892</v>
      </c>
      <c r="EL64" s="114">
        <v>9598.9211264761234</v>
      </c>
      <c r="EM64" s="114">
        <v>12319.828710579824</v>
      </c>
      <c r="EN64" s="114">
        <v>5535.1602963413443</v>
      </c>
      <c r="EO64" s="114">
        <v>4278.5831973679051</v>
      </c>
      <c r="EP64" s="114">
        <v>5173.6238349306668</v>
      </c>
      <c r="EQ64" s="114">
        <v>4856.0608493136951</v>
      </c>
      <c r="ER64" s="114">
        <v>6369.7899734952007</v>
      </c>
      <c r="ES64" s="114">
        <v>2458.7645632004819</v>
      </c>
      <c r="ET64" s="114">
        <v>7869.2643719722855</v>
      </c>
      <c r="EU64" s="114">
        <v>7658.7246019854128</v>
      </c>
      <c r="EV64" s="114">
        <v>7712.2774623217219</v>
      </c>
      <c r="EW64" s="114">
        <v>4474.625633996161</v>
      </c>
      <c r="EX64" s="114">
        <v>440.15577625119482</v>
      </c>
      <c r="EY64" s="114">
        <v>4681.8270921451522</v>
      </c>
      <c r="EZ64" s="114">
        <v>3076.38202209062</v>
      </c>
      <c r="FA64" s="114">
        <v>4710.3405980460884</v>
      </c>
      <c r="FB64" s="114">
        <v>2455.9873212263192</v>
      </c>
      <c r="FC64" s="114">
        <v>10588.753152290461</v>
      </c>
      <c r="FD64" s="114">
        <v>5031.9726391908916</v>
      </c>
      <c r="FE64" s="114">
        <v>4769.4348490675129</v>
      </c>
      <c r="FF64" s="114">
        <v>4084.5814209952382</v>
      </c>
      <c r="FG64" s="114">
        <v>3846.4744445010988</v>
      </c>
      <c r="FH64" s="114">
        <v>12192.368438416415</v>
      </c>
      <c r="FI64" s="114">
        <v>2564.4525847732575</v>
      </c>
      <c r="FJ64" s="114">
        <v>4264.4705414566861</v>
      </c>
      <c r="FK64" s="114">
        <v>4265.2351981582979</v>
      </c>
      <c r="FL64" s="114">
        <v>7905.7338341054283</v>
      </c>
      <c r="FM64" s="114">
        <v>2925.0997854659072</v>
      </c>
      <c r="FN64" s="114">
        <v>7051.2208524511825</v>
      </c>
      <c r="FO64" s="114">
        <v>6253.3290004388255</v>
      </c>
      <c r="FP64" s="114">
        <v>4796.1749789985142</v>
      </c>
      <c r="FQ64" s="114">
        <v>4389.9262324769152</v>
      </c>
      <c r="FR64" s="114">
        <v>12142.52502194672</v>
      </c>
      <c r="FS64" s="114">
        <v>7182.2185580499672</v>
      </c>
      <c r="FT64" s="114">
        <v>3602.8596932862251</v>
      </c>
      <c r="FU64" s="114">
        <v>10112.649377542488</v>
      </c>
      <c r="FV64" s="114">
        <v>13010.119724577828</v>
      </c>
      <c r="FW64" s="114">
        <v>860.45796893958277</v>
      </c>
      <c r="FX64" s="114">
        <v>7752.4988856275095</v>
      </c>
      <c r="FY64" s="114">
        <v>3678.691126517977</v>
      </c>
      <c r="FZ64" s="114">
        <v>4690.1636523601092</v>
      </c>
      <c r="GA64" s="114">
        <v>6273.6726277393072</v>
      </c>
      <c r="GB64" s="114">
        <v>2669.2966204803338</v>
      </c>
      <c r="GC64" s="114">
        <v>5596.1900213080962</v>
      </c>
      <c r="GD64" s="114">
        <v>5415.1911328124452</v>
      </c>
      <c r="GE64" s="114">
        <v>5386.5704686681729</v>
      </c>
      <c r="GF64" s="114">
        <v>13060.466135353769</v>
      </c>
      <c r="GG64" s="114">
        <v>9125.9722908153235</v>
      </c>
      <c r="GH64" s="114">
        <v>8891.923478073275</v>
      </c>
      <c r="GI64" s="114">
        <v>9379.1840997135714</v>
      </c>
      <c r="GJ64" s="114">
        <v>7941.4544638120242</v>
      </c>
      <c r="GK64" s="114">
        <v>7327.7336995546502</v>
      </c>
      <c r="GL64" s="114">
        <v>8304.6389960917568</v>
      </c>
      <c r="GM64" s="114">
        <v>10593.967020023521</v>
      </c>
      <c r="GN64" s="114">
        <v>4124.5317106809307</v>
      </c>
      <c r="GO64" s="114">
        <v>3003.6092088947212</v>
      </c>
      <c r="GP64" s="114">
        <v>3390.4554816644459</v>
      </c>
      <c r="GQ64" s="114">
        <v>10821.006150457621</v>
      </c>
      <c r="GR64" s="114">
        <v>14644.618077829879</v>
      </c>
      <c r="GS64" s="114">
        <v>4884.4611867754684</v>
      </c>
      <c r="GT64" s="115">
        <v>3909.9816081087056</v>
      </c>
    </row>
    <row r="65" spans="2:202" x14ac:dyDescent="0.6">
      <c r="B65" s="106" t="s">
        <v>56</v>
      </c>
      <c r="C65" s="63" t="s">
        <v>453</v>
      </c>
      <c r="D65" s="113">
        <v>3720.9248598617664</v>
      </c>
      <c r="E65" s="114">
        <v>4225.3368246125092</v>
      </c>
      <c r="F65" s="114">
        <v>4656.1634037269278</v>
      </c>
      <c r="G65" s="114">
        <v>3843.6001383130138</v>
      </c>
      <c r="H65" s="114">
        <v>10576.60899958056</v>
      </c>
      <c r="I65" s="114">
        <v>11754.312273294159</v>
      </c>
      <c r="J65" s="114">
        <v>2825.7161209149549</v>
      </c>
      <c r="K65" s="114">
        <v>12995.744118539224</v>
      </c>
      <c r="L65" s="114">
        <v>4194.1303838323956</v>
      </c>
      <c r="M65" s="114">
        <v>2988.0167829177367</v>
      </c>
      <c r="N65" s="114">
        <v>11741.973584976085</v>
      </c>
      <c r="O65" s="114">
        <v>1720.3012636197159</v>
      </c>
      <c r="P65" s="114">
        <v>5475.3940221079401</v>
      </c>
      <c r="Q65" s="114">
        <v>10449.021668618278</v>
      </c>
      <c r="R65" s="114">
        <v>4374.1161841034555</v>
      </c>
      <c r="S65" s="114">
        <v>4986.994355112708</v>
      </c>
      <c r="T65" s="114">
        <v>13164.950013486105</v>
      </c>
      <c r="U65" s="114">
        <v>4064.6410574229717</v>
      </c>
      <c r="V65" s="114">
        <v>5406.5786984683236</v>
      </c>
      <c r="W65" s="114">
        <v>12208.513719250732</v>
      </c>
      <c r="X65" s="114">
        <v>3691.1856540911513</v>
      </c>
      <c r="Y65" s="114">
        <v>4627.4117202765892</v>
      </c>
      <c r="Z65" s="114">
        <v>10202.081922740395</v>
      </c>
      <c r="AA65" s="114">
        <v>9841.9575817912028</v>
      </c>
      <c r="AB65" s="114">
        <v>8423.6684002853635</v>
      </c>
      <c r="AC65" s="114">
        <v>3367.4478602145932</v>
      </c>
      <c r="AD65" s="114">
        <v>4313.1855972634348</v>
      </c>
      <c r="AE65" s="114">
        <v>2286.3591774133929</v>
      </c>
      <c r="AF65" s="114">
        <v>6619.5320763193831</v>
      </c>
      <c r="AG65" s="114">
        <v>7125.430836236701</v>
      </c>
      <c r="AH65" s="114">
        <v>3390.456242536889</v>
      </c>
      <c r="AI65" s="114">
        <v>3249.3058808228807</v>
      </c>
      <c r="AJ65" s="114">
        <v>10940.893618892162</v>
      </c>
      <c r="AK65" s="114">
        <v>10580.266467378869</v>
      </c>
      <c r="AL65" s="114">
        <v>2523.700595774274</v>
      </c>
      <c r="AM65" s="114">
        <v>2610.3092904882137</v>
      </c>
      <c r="AN65" s="114">
        <v>12669.31194497992</v>
      </c>
      <c r="AO65" s="114">
        <v>8478.4399216456841</v>
      </c>
      <c r="AP65" s="114">
        <v>7891.9383232478858</v>
      </c>
      <c r="AQ65" s="114">
        <v>12280.200054448458</v>
      </c>
      <c r="AR65" s="114">
        <v>2999.9419536959922</v>
      </c>
      <c r="AS65" s="114">
        <v>3355.4733313882743</v>
      </c>
      <c r="AT65" s="114">
        <v>3354.64767219755</v>
      </c>
      <c r="AU65" s="114">
        <v>13116.518852222142</v>
      </c>
      <c r="AV65" s="114">
        <v>4775.4336518169666</v>
      </c>
      <c r="AW65" s="114">
        <v>3995.8950404289999</v>
      </c>
      <c r="AX65" s="114">
        <v>12295.729790942174</v>
      </c>
      <c r="AY65" s="114">
        <v>2276.2030346699848</v>
      </c>
      <c r="AZ65" s="114">
        <v>4453.0373452353324</v>
      </c>
      <c r="BA65" s="114">
        <v>5002.5729648290971</v>
      </c>
      <c r="BB65" s="114">
        <v>604.14865192558648</v>
      </c>
      <c r="BC65" s="114">
        <v>10579.516797797294</v>
      </c>
      <c r="BD65" s="114">
        <v>11309.869823004603</v>
      </c>
      <c r="BE65" s="114">
        <v>3360.0232833721384</v>
      </c>
      <c r="BF65" s="114">
        <v>12891.10689451205</v>
      </c>
      <c r="BG65" s="114">
        <v>1813.6165984733934</v>
      </c>
      <c r="BH65" s="114">
        <v>13437.399177143205</v>
      </c>
      <c r="BI65" s="114">
        <v>3539.5254897682394</v>
      </c>
      <c r="BJ65" s="114" t="s">
        <v>237</v>
      </c>
      <c r="BK65" s="114">
        <v>5030.268958059175</v>
      </c>
      <c r="BL65" s="114">
        <v>4670.9212832015601</v>
      </c>
      <c r="BM65" s="114">
        <v>686.21810978410633</v>
      </c>
      <c r="BN65" s="114">
        <v>5118.235282405607</v>
      </c>
      <c r="BO65" s="114">
        <v>4966.0774783629859</v>
      </c>
      <c r="BP65" s="114">
        <v>3620.6194729399899</v>
      </c>
      <c r="BQ65" s="114">
        <v>5911.0233280625826</v>
      </c>
      <c r="BR65" s="114">
        <v>2973.4320026390956</v>
      </c>
      <c r="BS65" s="114">
        <v>4691.7881299683941</v>
      </c>
      <c r="BT65" s="114">
        <v>4416.8577930792471</v>
      </c>
      <c r="BU65" s="114">
        <v>4721.4334195835399</v>
      </c>
      <c r="BV65" s="114">
        <v>4355.6964575547154</v>
      </c>
      <c r="BW65" s="114">
        <v>2899.1059934229415</v>
      </c>
      <c r="BX65" s="114">
        <v>10735.390160696557</v>
      </c>
      <c r="BY65" s="114">
        <v>13492.79981167502</v>
      </c>
      <c r="BZ65" s="114">
        <v>5680.6692237551342</v>
      </c>
      <c r="CA65" s="114">
        <v>5844.0499924890564</v>
      </c>
      <c r="CB65" s="114">
        <v>10528.702116018787</v>
      </c>
      <c r="CC65" s="114">
        <v>11562.988476102064</v>
      </c>
      <c r="CD65" s="114">
        <v>13215.845179906753</v>
      </c>
      <c r="CE65" s="114">
        <v>3996.9585487078366</v>
      </c>
      <c r="CF65" s="114">
        <v>7064.3628623961677</v>
      </c>
      <c r="CG65" s="114">
        <v>3667.9291858483166</v>
      </c>
      <c r="CH65" s="114">
        <v>4222.2032328854584</v>
      </c>
      <c r="CI65" s="114">
        <v>7837.8786402297555</v>
      </c>
      <c r="CJ65" s="114">
        <v>2585.0752287251698</v>
      </c>
      <c r="CK65" s="114">
        <v>2084.7191905406789</v>
      </c>
      <c r="CL65" s="114">
        <v>5741.7086547056815</v>
      </c>
      <c r="CM65" s="114">
        <v>7600.8468529164984</v>
      </c>
      <c r="CN65" s="114">
        <v>3865.1016193153509</v>
      </c>
      <c r="CO65" s="114">
        <v>4341.2624880242429</v>
      </c>
      <c r="CP65" s="114">
        <v>11999.884078026562</v>
      </c>
      <c r="CQ65" s="114">
        <v>10004.663260854213</v>
      </c>
      <c r="CR65" s="114">
        <v>1847.16421098458</v>
      </c>
      <c r="CS65" s="114">
        <v>4944.9488230188635</v>
      </c>
      <c r="CT65" s="114">
        <v>1833.3364270504717</v>
      </c>
      <c r="CU65" s="114">
        <v>1843.9224423378175</v>
      </c>
      <c r="CV65" s="114">
        <v>4574.876910259406</v>
      </c>
      <c r="CW65" s="114">
        <v>6773.915621097256</v>
      </c>
      <c r="CX65" s="114">
        <v>4757.3593650779039</v>
      </c>
      <c r="CY65" s="114">
        <v>2065.1930072045247</v>
      </c>
      <c r="CZ65" s="114">
        <v>5079.5288865369912</v>
      </c>
      <c r="DA65" s="114">
        <v>5437.1150516517828</v>
      </c>
      <c r="DB65" s="114">
        <v>3211.932035754759</v>
      </c>
      <c r="DC65" s="114">
        <v>4454.9105924650685</v>
      </c>
      <c r="DD65" s="114">
        <v>4508.904226400985</v>
      </c>
      <c r="DE65" s="114">
        <v>4802.4335268549712</v>
      </c>
      <c r="DF65" s="114">
        <v>3872.4322826379544</v>
      </c>
      <c r="DG65" s="114">
        <v>3293.3219844776695</v>
      </c>
      <c r="DH65" s="114">
        <v>7006.1950585830737</v>
      </c>
      <c r="DI65" s="114">
        <v>3998.0176687100911</v>
      </c>
      <c r="DJ65" s="114">
        <v>4980.2482406850922</v>
      </c>
      <c r="DK65" s="114">
        <v>3306.1005836029785</v>
      </c>
      <c r="DL65" s="114">
        <v>4426.9661078769768</v>
      </c>
      <c r="DM65" s="114">
        <v>4443.0774542719773</v>
      </c>
      <c r="DN65" s="114">
        <v>14007.378165678807</v>
      </c>
      <c r="DO65" s="114">
        <v>3650.0567497736693</v>
      </c>
      <c r="DP65" s="114">
        <v>4327.5979816116214</v>
      </c>
      <c r="DQ65" s="114">
        <v>7155.2856118524123</v>
      </c>
      <c r="DR65" s="114">
        <v>3546.2868760630645</v>
      </c>
      <c r="DS65" s="114">
        <v>4992.8474630570763</v>
      </c>
      <c r="DT65" s="114">
        <v>4583.3447304509255</v>
      </c>
      <c r="DU65" s="114">
        <v>6147.7109898410381</v>
      </c>
      <c r="DV65" s="114">
        <v>4786.8862496614165</v>
      </c>
      <c r="DW65" s="114">
        <v>4989.6743828993403</v>
      </c>
      <c r="DX65" s="114">
        <v>5093.2831552395819</v>
      </c>
      <c r="DY65" s="114">
        <v>15079.3196949925</v>
      </c>
      <c r="DZ65" s="114">
        <v>14891.15436394029</v>
      </c>
      <c r="EA65" s="114">
        <v>13220.449134357152</v>
      </c>
      <c r="EB65" s="114">
        <v>3934.4066201103979</v>
      </c>
      <c r="EC65" s="114">
        <v>3459.4826783297262</v>
      </c>
      <c r="ED65" s="114">
        <v>8674.7147500017418</v>
      </c>
      <c r="EE65" s="114">
        <v>3411.5158361992117</v>
      </c>
      <c r="EF65" s="114">
        <v>5437.9705167885977</v>
      </c>
      <c r="EG65" s="114">
        <v>2266.2116109161602</v>
      </c>
      <c r="EH65" s="114">
        <v>3161.9187158904842</v>
      </c>
      <c r="EI65" s="114">
        <v>4015.9626491368326</v>
      </c>
      <c r="EJ65" s="114">
        <v>12654.096730778378</v>
      </c>
      <c r="EK65" s="114">
        <v>11291.850727029087</v>
      </c>
      <c r="EL65" s="114">
        <v>13064.419338995214</v>
      </c>
      <c r="EM65" s="114">
        <v>8802.7611146406998</v>
      </c>
      <c r="EN65" s="114">
        <v>4391.5403781637078</v>
      </c>
      <c r="EO65" s="114">
        <v>5311.1624750550809</v>
      </c>
      <c r="EP65" s="114">
        <v>1733.2821135954537</v>
      </c>
      <c r="EQ65" s="114">
        <v>3440.5495320849873</v>
      </c>
      <c r="ER65" s="114">
        <v>4511.4160099456158</v>
      </c>
      <c r="ES65" s="114">
        <v>2087.4996571776069</v>
      </c>
      <c r="ET65" s="114">
        <v>10634.629529077525</v>
      </c>
      <c r="EU65" s="114">
        <v>10550.323516723181</v>
      </c>
      <c r="EV65" s="114">
        <v>10634.026879359184</v>
      </c>
      <c r="EW65" s="114">
        <v>4015.6718962727405</v>
      </c>
      <c r="EX65" s="114">
        <v>3910.7548102215223</v>
      </c>
      <c r="EY65" s="114">
        <v>1314.0963481119231</v>
      </c>
      <c r="EZ65" s="114">
        <v>5987.8517806316595</v>
      </c>
      <c r="FA65" s="114">
        <v>3681.6678834305244</v>
      </c>
      <c r="FB65" s="114">
        <v>5670.0989256673838</v>
      </c>
      <c r="FC65" s="114">
        <v>7317.4844765606631</v>
      </c>
      <c r="FD65" s="114">
        <v>4155.0493982858679</v>
      </c>
      <c r="FE65" s="114">
        <v>4104.5662928481788</v>
      </c>
      <c r="FF65" s="114">
        <v>1638.4792719138543</v>
      </c>
      <c r="FG65" s="114">
        <v>4656.9759519235058</v>
      </c>
      <c r="FH65" s="114">
        <v>8813.8098470339919</v>
      </c>
      <c r="FI65" s="114">
        <v>1379.093972751072</v>
      </c>
      <c r="FJ65" s="114">
        <v>4916.9801459302007</v>
      </c>
      <c r="FK65" s="114">
        <v>4544.4893315457357</v>
      </c>
      <c r="FL65" s="114">
        <v>4592.9493972591763</v>
      </c>
      <c r="FM65" s="114">
        <v>665.24383426947713</v>
      </c>
      <c r="FN65" s="114">
        <v>10237.209261350712</v>
      </c>
      <c r="FO65" s="114">
        <v>5174.8673339234811</v>
      </c>
      <c r="FP65" s="114">
        <v>4533.2538260923375</v>
      </c>
      <c r="FQ65" s="114">
        <v>2027.8337400848627</v>
      </c>
      <c r="FR65" s="114">
        <v>8612.6325571320904</v>
      </c>
      <c r="FS65" s="114">
        <v>3898.1212407837502</v>
      </c>
      <c r="FT65" s="114">
        <v>2447.6435940588149</v>
      </c>
      <c r="FU65" s="114">
        <v>6633.3742062630745</v>
      </c>
      <c r="FV65" s="114">
        <v>9903.3008178312139</v>
      </c>
      <c r="FW65" s="114">
        <v>4198.1331810668698</v>
      </c>
      <c r="FX65" s="114">
        <v>10755.252616411686</v>
      </c>
      <c r="FY65" s="114">
        <v>3677.213208157556</v>
      </c>
      <c r="FZ65" s="114">
        <v>2773.3658114287746</v>
      </c>
      <c r="GA65" s="114">
        <v>3145.4463047859645</v>
      </c>
      <c r="GB65" s="114">
        <v>1802.6971125817849</v>
      </c>
      <c r="GC65" s="114">
        <v>3974.5093208336971</v>
      </c>
      <c r="GD65" s="114">
        <v>1923.9920572233234</v>
      </c>
      <c r="GE65" s="114">
        <v>5281.5732549986287</v>
      </c>
      <c r="GF65" s="114">
        <v>14013.594342885975</v>
      </c>
      <c r="GG65" s="114">
        <v>10707.774779788546</v>
      </c>
      <c r="GH65" s="114">
        <v>10407.722059793916</v>
      </c>
      <c r="GI65" s="114">
        <v>11028.5076776968</v>
      </c>
      <c r="GJ65" s="114">
        <v>11375.207144443191</v>
      </c>
      <c r="GK65" s="114">
        <v>4121.7720335769482</v>
      </c>
      <c r="GL65" s="114">
        <v>11293.657928704371</v>
      </c>
      <c r="GM65" s="114">
        <v>7056.9252643501804</v>
      </c>
      <c r="GN65" s="114">
        <v>605.38926748953111</v>
      </c>
      <c r="GO65" s="114">
        <v>3575.2502714222055</v>
      </c>
      <c r="GP65" s="114">
        <v>3719.9681720041372</v>
      </c>
      <c r="GQ65" s="114">
        <v>7364.3650333802052</v>
      </c>
      <c r="GR65" s="114">
        <v>12827.086100491768</v>
      </c>
      <c r="GS65" s="114">
        <v>4519.9806759131006</v>
      </c>
      <c r="GT65" s="115">
        <v>4740.8035604511069</v>
      </c>
    </row>
    <row r="66" spans="2:202" x14ac:dyDescent="0.6">
      <c r="B66" s="106" t="s">
        <v>57</v>
      </c>
      <c r="C66" s="63" t="s">
        <v>454</v>
      </c>
      <c r="D66" s="113">
        <v>4258.2721732315085</v>
      </c>
      <c r="E66" s="114">
        <v>2967.4714246003241</v>
      </c>
      <c r="F66" s="114">
        <v>2461.8796784106116</v>
      </c>
      <c r="G66" s="114">
        <v>7597.8833742395063</v>
      </c>
      <c r="H66" s="114">
        <v>8170.946734704753</v>
      </c>
      <c r="I66" s="114">
        <v>13117.228272946577</v>
      </c>
      <c r="J66" s="114">
        <v>2539.1841372220301</v>
      </c>
      <c r="K66" s="114">
        <v>15236.461780425447</v>
      </c>
      <c r="L66" s="114">
        <v>1346.50633651667</v>
      </c>
      <c r="M66" s="114">
        <v>2737.2882001046551</v>
      </c>
      <c r="N66" s="114">
        <v>8266.3405099820302</v>
      </c>
      <c r="O66" s="114">
        <v>4187.6166636708131</v>
      </c>
      <c r="P66" s="114">
        <v>6416.7494724684684</v>
      </c>
      <c r="Q66" s="114">
        <v>8410.8205485779708</v>
      </c>
      <c r="R66" s="114">
        <v>657.02178908690144</v>
      </c>
      <c r="S66" s="114">
        <v>1608.1097448796077</v>
      </c>
      <c r="T66" s="114">
        <v>9596.5527642598117</v>
      </c>
      <c r="U66" s="114">
        <v>6184.4106083281422</v>
      </c>
      <c r="V66" s="114">
        <v>6014.183969266609</v>
      </c>
      <c r="W66" s="114">
        <v>11695.223563140995</v>
      </c>
      <c r="X66" s="114">
        <v>1796.4741941806906</v>
      </c>
      <c r="Y66" s="114">
        <v>9304.2198601369946</v>
      </c>
      <c r="Z66" s="114">
        <v>11235.516515690451</v>
      </c>
      <c r="AA66" s="114">
        <v>11000.183089581042</v>
      </c>
      <c r="AB66" s="114">
        <v>9605.4174681697732</v>
      </c>
      <c r="AC66" s="114">
        <v>1866.8183155245301</v>
      </c>
      <c r="AD66" s="114">
        <v>5654.5988566462756</v>
      </c>
      <c r="AE66" s="114">
        <v>6948.6876621958763</v>
      </c>
      <c r="AF66" s="114">
        <v>6262.7006376488471</v>
      </c>
      <c r="AG66" s="114">
        <v>8359.8867501646419</v>
      </c>
      <c r="AH66" s="114">
        <v>6264.9146412490336</v>
      </c>
      <c r="AI66" s="114">
        <v>6298.1842497889384</v>
      </c>
      <c r="AJ66" s="114">
        <v>6636.1820548705782</v>
      </c>
      <c r="AK66" s="114">
        <v>6309.2024590364435</v>
      </c>
      <c r="AL66" s="114">
        <v>6137.2791896143826</v>
      </c>
      <c r="AM66" s="114">
        <v>5303.8540321709906</v>
      </c>
      <c r="AN66" s="114">
        <v>13397.559855328378</v>
      </c>
      <c r="AO66" s="114">
        <v>7440.0782229058177</v>
      </c>
      <c r="AP66" s="114">
        <v>6409.4507097077121</v>
      </c>
      <c r="AQ66" s="114">
        <v>10072.733648127909</v>
      </c>
      <c r="AR66" s="114">
        <v>8030.2082592723646</v>
      </c>
      <c r="AS66" s="114">
        <v>7112.4560416981994</v>
      </c>
      <c r="AT66" s="114">
        <v>7088.1199543704852</v>
      </c>
      <c r="AU66" s="114">
        <v>10119.614406555553</v>
      </c>
      <c r="AV66" s="114">
        <v>6465.2924613498426</v>
      </c>
      <c r="AW66" s="114">
        <v>1637.5751166102984</v>
      </c>
      <c r="AX66" s="114">
        <v>8714.8599479521217</v>
      </c>
      <c r="AY66" s="114">
        <v>2757.3452661001015</v>
      </c>
      <c r="AZ66" s="114">
        <v>1211.7990684664474</v>
      </c>
      <c r="BA66" s="114">
        <v>841.34354329761254</v>
      </c>
      <c r="BB66" s="114">
        <v>5553.9370654437162</v>
      </c>
      <c r="BC66" s="114">
        <v>8317.8869595696397</v>
      </c>
      <c r="BD66" s="114">
        <v>8494.3957481732741</v>
      </c>
      <c r="BE66" s="114">
        <v>7099.9906947043974</v>
      </c>
      <c r="BF66" s="114">
        <v>10747.515663590555</v>
      </c>
      <c r="BG66" s="114">
        <v>3286.8315516030957</v>
      </c>
      <c r="BH66" s="114">
        <v>10007.769175831443</v>
      </c>
      <c r="BI66" s="114">
        <v>6352.2430359479913</v>
      </c>
      <c r="BJ66" s="114">
        <v>5030.268958059175</v>
      </c>
      <c r="BK66" s="114" t="s">
        <v>237</v>
      </c>
      <c r="BL66" s="114">
        <v>9515.3797499392203</v>
      </c>
      <c r="BM66" s="114">
        <v>5704.4479691263987</v>
      </c>
      <c r="BN66" s="114">
        <v>107.91940706300429</v>
      </c>
      <c r="BO66" s="114">
        <v>1870.0003158734019</v>
      </c>
      <c r="BP66" s="114">
        <v>6689.7959765519818</v>
      </c>
      <c r="BQ66" s="114">
        <v>6113.0031870577659</v>
      </c>
      <c r="BR66" s="114">
        <v>2415.2518296309081</v>
      </c>
      <c r="BS66" s="114">
        <v>1039.3125365880981</v>
      </c>
      <c r="BT66" s="114">
        <v>1491.3732555209235</v>
      </c>
      <c r="BU66" s="114">
        <v>1427.7972269809509</v>
      </c>
      <c r="BV66" s="114">
        <v>6346.0329809464847</v>
      </c>
      <c r="BW66" s="114">
        <v>2407.368201595817</v>
      </c>
      <c r="BX66" s="114">
        <v>8644.1463009879408</v>
      </c>
      <c r="BY66" s="114">
        <v>9965.8976522974499</v>
      </c>
      <c r="BZ66" s="114">
        <v>6397.2954853855308</v>
      </c>
      <c r="CA66" s="114">
        <v>6257.8606011800484</v>
      </c>
      <c r="CB66" s="114">
        <v>8966.0702576210315</v>
      </c>
      <c r="CC66" s="114">
        <v>8628.9465880511725</v>
      </c>
      <c r="CD66" s="114">
        <v>9844.0376992478414</v>
      </c>
      <c r="CE66" s="114">
        <v>1373.7353267509252</v>
      </c>
      <c r="CF66" s="114">
        <v>2432.6853762936612</v>
      </c>
      <c r="CG66" s="114">
        <v>5893.1967118965358</v>
      </c>
      <c r="CH66" s="114">
        <v>5231.2926897917996</v>
      </c>
      <c r="CI66" s="114">
        <v>10132.576104915506</v>
      </c>
      <c r="CJ66" s="114">
        <v>3281.6077526399104</v>
      </c>
      <c r="CK66" s="114">
        <v>3242.2804129796773</v>
      </c>
      <c r="CL66" s="114">
        <v>1987.309181221719</v>
      </c>
      <c r="CM66" s="114">
        <v>5312.6002085862747</v>
      </c>
      <c r="CN66" s="114">
        <v>2139.6881350059152</v>
      </c>
      <c r="CO66" s="114">
        <v>1839.3321514984516</v>
      </c>
      <c r="CP66" s="114">
        <v>8901.1511757717471</v>
      </c>
      <c r="CQ66" s="114">
        <v>7907.9019803588872</v>
      </c>
      <c r="CR66" s="114">
        <v>3183.5387913138529</v>
      </c>
      <c r="CS66" s="114">
        <v>3036.9712556934533</v>
      </c>
      <c r="CT66" s="114">
        <v>6796.6968376667082</v>
      </c>
      <c r="CU66" s="114">
        <v>3773.6841996858188</v>
      </c>
      <c r="CV66" s="114">
        <v>3845.11740485786</v>
      </c>
      <c r="CW66" s="114">
        <v>7644.7843482080552</v>
      </c>
      <c r="CX66" s="114">
        <v>300.04653833602976</v>
      </c>
      <c r="CY66" s="114">
        <v>2966.3035466064875</v>
      </c>
      <c r="CZ66" s="114">
        <v>9833.0799425873902</v>
      </c>
      <c r="DA66" s="114">
        <v>6601.5691188055698</v>
      </c>
      <c r="DB66" s="114">
        <v>3090.8879634078121</v>
      </c>
      <c r="DC66" s="114">
        <v>1678.5396435619712</v>
      </c>
      <c r="DD66" s="114">
        <v>539.90857510423575</v>
      </c>
      <c r="DE66" s="114">
        <v>1609.9449809801961</v>
      </c>
      <c r="DF66" s="114">
        <v>8894.4212723158398</v>
      </c>
      <c r="DG66" s="114">
        <v>8182.3334030035885</v>
      </c>
      <c r="DH66" s="114">
        <v>8971.1548727175905</v>
      </c>
      <c r="DI66" s="114">
        <v>7412.2365571912669</v>
      </c>
      <c r="DJ66" s="114">
        <v>5848.4505224936756</v>
      </c>
      <c r="DK66" s="114">
        <v>2735.025164808229</v>
      </c>
      <c r="DL66" s="114">
        <v>9314.2020636149318</v>
      </c>
      <c r="DM66" s="114">
        <v>9326.6191212981939</v>
      </c>
      <c r="DN66" s="114">
        <v>9910.4418302147642</v>
      </c>
      <c r="DO66" s="114">
        <v>1388.0520623295961</v>
      </c>
      <c r="DP66" s="114">
        <v>2074.4604264195482</v>
      </c>
      <c r="DQ66" s="114">
        <v>5219.1670583616051</v>
      </c>
      <c r="DR66" s="114">
        <v>1899.9533624322764</v>
      </c>
      <c r="DS66" s="114">
        <v>3618.244343232413</v>
      </c>
      <c r="DT66" s="114">
        <v>9456.9256426994343</v>
      </c>
      <c r="DU66" s="114">
        <v>7404.9903166560507</v>
      </c>
      <c r="DV66" s="114">
        <v>9095.8264486726002</v>
      </c>
      <c r="DW66" s="114">
        <v>5762.0346854259451</v>
      </c>
      <c r="DX66" s="114">
        <v>1462.2410369175802</v>
      </c>
      <c r="DY66" s="114">
        <v>16743.4981701947</v>
      </c>
      <c r="DZ66" s="114">
        <v>17127.472174163609</v>
      </c>
      <c r="EA66" s="114">
        <v>9989.8807072083655</v>
      </c>
      <c r="EB66" s="114">
        <v>5435.214123798075</v>
      </c>
      <c r="EC66" s="114">
        <v>5763.0857824464201</v>
      </c>
      <c r="ED66" s="114">
        <v>6910.7612801062314</v>
      </c>
      <c r="EE66" s="114">
        <v>1926.5490749037449</v>
      </c>
      <c r="EF66" s="114">
        <v>793.85553338562806</v>
      </c>
      <c r="EG66" s="114">
        <v>4786.6370471096434</v>
      </c>
      <c r="EH66" s="114">
        <v>5036.5940845706536</v>
      </c>
      <c r="EI66" s="114">
        <v>4552.6915099217322</v>
      </c>
      <c r="EJ66" s="114">
        <v>9915.5831396186531</v>
      </c>
      <c r="EK66" s="114">
        <v>11936.649572086202</v>
      </c>
      <c r="EL66" s="114">
        <v>11803.980825643039</v>
      </c>
      <c r="EM66" s="114">
        <v>9000.7138384967311</v>
      </c>
      <c r="EN66" s="114">
        <v>817.72843824492509</v>
      </c>
      <c r="EO66" s="114">
        <v>3311.6941139548335</v>
      </c>
      <c r="EP66" s="114">
        <v>4324.4903909675395</v>
      </c>
      <c r="EQ66" s="114">
        <v>1665.9773655235861</v>
      </c>
      <c r="ER66" s="114">
        <v>872.55061067175302</v>
      </c>
      <c r="ES66" s="114">
        <v>6779.3133808646526</v>
      </c>
      <c r="ET66" s="114">
        <v>8199.6217930558469</v>
      </c>
      <c r="EU66" s="114">
        <v>8391.8596390483635</v>
      </c>
      <c r="EV66" s="114">
        <v>8508.4318160575585</v>
      </c>
      <c r="EW66" s="114">
        <v>1929.5883524963517</v>
      </c>
      <c r="EX66" s="114">
        <v>6760.0195327503034</v>
      </c>
      <c r="EY66" s="114">
        <v>4232.7578589382092</v>
      </c>
      <c r="EZ66" s="114">
        <v>6045.5279656048233</v>
      </c>
      <c r="FA66" s="114">
        <v>1660.1618596637798</v>
      </c>
      <c r="FB66" s="114">
        <v>6486.5387824713089</v>
      </c>
      <c r="FC66" s="114">
        <v>9273.8278276254387</v>
      </c>
      <c r="FD66" s="114">
        <v>1327.4680876823163</v>
      </c>
      <c r="FE66" s="114">
        <v>1613.5603470445631</v>
      </c>
      <c r="FF66" s="114">
        <v>6609.1965060076409</v>
      </c>
      <c r="FG66" s="114">
        <v>9419.7275638255469</v>
      </c>
      <c r="FH66" s="114">
        <v>7133.3903547497703</v>
      </c>
      <c r="FI66" s="114">
        <v>6076.0926138013392</v>
      </c>
      <c r="FJ66" s="114">
        <v>2870.6479478402548</v>
      </c>
      <c r="FK66" s="114">
        <v>2513.0032793547221</v>
      </c>
      <c r="FL66" s="114">
        <v>7439.7263964351241</v>
      </c>
      <c r="FM66" s="114">
        <v>4925.1284222353061</v>
      </c>
      <c r="FN66" s="114">
        <v>8890.2526862083978</v>
      </c>
      <c r="FO66" s="114">
        <v>366.99696999498707</v>
      </c>
      <c r="FP66" s="114">
        <v>1808.2196040840251</v>
      </c>
      <c r="FQ66" s="114">
        <v>3009.1049510755593</v>
      </c>
      <c r="FR66" s="114">
        <v>8023.940895680993</v>
      </c>
      <c r="FS66" s="114">
        <v>3864.5579162126069</v>
      </c>
      <c r="FT66" s="114">
        <v>7459.4103784892222</v>
      </c>
      <c r="FU66" s="114">
        <v>7920.5105738395005</v>
      </c>
      <c r="FV66" s="114">
        <v>11413.777456898082</v>
      </c>
      <c r="FW66" s="114">
        <v>6231.680876618595</v>
      </c>
      <c r="FX66" s="114">
        <v>8763.102932802818</v>
      </c>
      <c r="FY66" s="114">
        <v>2730.8485999354871</v>
      </c>
      <c r="FZ66" s="114">
        <v>2257.647965884551</v>
      </c>
      <c r="GA66" s="114">
        <v>3322.599259210202</v>
      </c>
      <c r="GB66" s="114">
        <v>6598.0302471361747</v>
      </c>
      <c r="GC66" s="114">
        <v>1058.4041472446313</v>
      </c>
      <c r="GD66" s="114">
        <v>4523.913893800388</v>
      </c>
      <c r="GE66" s="114">
        <v>1767.4642884630339</v>
      </c>
      <c r="GF66" s="114">
        <v>9088.9065834627017</v>
      </c>
      <c r="GG66" s="114">
        <v>6648.5159552112291</v>
      </c>
      <c r="GH66" s="114">
        <v>6355.2670950684178</v>
      </c>
      <c r="GI66" s="114">
        <v>6960.8081188501319</v>
      </c>
      <c r="GJ66" s="114">
        <v>12752.659392804349</v>
      </c>
      <c r="GK66" s="114">
        <v>3654.1827684728319</v>
      </c>
      <c r="GL66" s="114">
        <v>9083.2806895759368</v>
      </c>
      <c r="GM66" s="114">
        <v>7502.5439275380768</v>
      </c>
      <c r="GN66" s="114">
        <v>5136.3872423078101</v>
      </c>
      <c r="GO66" s="114">
        <v>8290.7506563464667</v>
      </c>
      <c r="GP66" s="114">
        <v>8543.8873420687996</v>
      </c>
      <c r="GQ66" s="114">
        <v>8529.0772612194851</v>
      </c>
      <c r="GR66" s="114">
        <v>15249.064018819328</v>
      </c>
      <c r="GS66" s="114">
        <v>1681.0135998651338</v>
      </c>
      <c r="GT66" s="115">
        <v>9503.9144262060126</v>
      </c>
    </row>
    <row r="67" spans="2:202" x14ac:dyDescent="0.6">
      <c r="B67" s="106" t="s">
        <v>58</v>
      </c>
      <c r="C67" s="63" t="s">
        <v>455</v>
      </c>
      <c r="D67" s="113">
        <v>7828.2239602962227</v>
      </c>
      <c r="E67" s="114">
        <v>7553.1188576096929</v>
      </c>
      <c r="F67" s="114">
        <v>8204.4586864723187</v>
      </c>
      <c r="G67" s="114">
        <v>2727.407790761647</v>
      </c>
      <c r="H67" s="114">
        <v>11117.02398435296</v>
      </c>
      <c r="I67" s="114">
        <v>8412.1093597972358</v>
      </c>
      <c r="J67" s="114">
        <v>7496.6202756245575</v>
      </c>
      <c r="K67" s="114">
        <v>10812.601828127943</v>
      </c>
      <c r="L67" s="114">
        <v>8393.6523628066116</v>
      </c>
      <c r="M67" s="114">
        <v>7634.9608512598888</v>
      </c>
      <c r="N67" s="114">
        <v>12921.107454284636</v>
      </c>
      <c r="O67" s="114">
        <v>6168.3447881277061</v>
      </c>
      <c r="P67" s="114">
        <v>8422.7451927105558</v>
      </c>
      <c r="Q67" s="114">
        <v>10678.46919995493</v>
      </c>
      <c r="R67" s="114">
        <v>8869.6716057176673</v>
      </c>
      <c r="S67" s="114">
        <v>8927.6353683529087</v>
      </c>
      <c r="T67" s="114">
        <v>13722.992071528926</v>
      </c>
      <c r="U67" s="114">
        <v>4746.4396882650753</v>
      </c>
      <c r="V67" s="114">
        <v>8623.6370495429856</v>
      </c>
      <c r="W67" s="114">
        <v>10097.374801628102</v>
      </c>
      <c r="X67" s="114">
        <v>7859.7947065352264</v>
      </c>
      <c r="Y67" s="114">
        <v>584.33644071316826</v>
      </c>
      <c r="Z67" s="114">
        <v>7718.7663718987296</v>
      </c>
      <c r="AA67" s="114">
        <v>7411.1317321406677</v>
      </c>
      <c r="AB67" s="114">
        <v>9627.12185689941</v>
      </c>
      <c r="AC67" s="114">
        <v>7673.8126314611709</v>
      </c>
      <c r="AD67" s="114">
        <v>5514.5394153261832</v>
      </c>
      <c r="AE67" s="114">
        <v>2567.5537200419335</v>
      </c>
      <c r="AF67" s="114">
        <v>7453.6051837764671</v>
      </c>
      <c r="AG67" s="114">
        <v>8957.1917222321499</v>
      </c>
      <c r="AH67" s="114">
        <v>4072.4667393851742</v>
      </c>
      <c r="AI67" s="114">
        <v>3923.1185549847405</v>
      </c>
      <c r="AJ67" s="114">
        <v>13578.324634300661</v>
      </c>
      <c r="AK67" s="114">
        <v>13289.091669991114</v>
      </c>
      <c r="AL67" s="114">
        <v>3648.0334475445716</v>
      </c>
      <c r="AM67" s="114">
        <v>4614.2752958703304</v>
      </c>
      <c r="AN67" s="114">
        <v>9416.03490620101</v>
      </c>
      <c r="AO67" s="114">
        <v>11512.476018730893</v>
      </c>
      <c r="AP67" s="114">
        <v>11435.785518443385</v>
      </c>
      <c r="AQ67" s="114">
        <v>11722.175713652687</v>
      </c>
      <c r="AR67" s="114">
        <v>2076.2038631443597</v>
      </c>
      <c r="AS67" s="114">
        <v>2951.951370819721</v>
      </c>
      <c r="AT67" s="114">
        <v>2985.8028290855323</v>
      </c>
      <c r="AU67" s="114">
        <v>12969.352498691585</v>
      </c>
      <c r="AV67" s="114">
        <v>5155.5315914224393</v>
      </c>
      <c r="AW67" s="114">
        <v>8122.9971104339065</v>
      </c>
      <c r="AX67" s="114">
        <v>13337.839532550581</v>
      </c>
      <c r="AY67" s="114">
        <v>6817.9203151219144</v>
      </c>
      <c r="AZ67" s="114">
        <v>8637.9958383459798</v>
      </c>
      <c r="BA67" s="114">
        <v>9245.6407348073008</v>
      </c>
      <c r="BB67" s="114">
        <v>4314.723665709952</v>
      </c>
      <c r="BC67" s="114">
        <v>10969.589849921045</v>
      </c>
      <c r="BD67" s="114">
        <v>11921.998733653068</v>
      </c>
      <c r="BE67" s="114">
        <v>2973.7396365249947</v>
      </c>
      <c r="BF67" s="114">
        <v>11929.229374255163</v>
      </c>
      <c r="BG67" s="114">
        <v>6248.0487364559076</v>
      </c>
      <c r="BH67" s="114">
        <v>13648.200770148271</v>
      </c>
      <c r="BI67" s="114">
        <v>4092.422911384378</v>
      </c>
      <c r="BJ67" s="114">
        <v>4670.9212832015601</v>
      </c>
      <c r="BK67" s="114">
        <v>9515.3797499392203</v>
      </c>
      <c r="BL67" s="114" t="s">
        <v>237</v>
      </c>
      <c r="BM67" s="114">
        <v>3994.0620546341211</v>
      </c>
      <c r="BN67" s="114">
        <v>9615.2345065534992</v>
      </c>
      <c r="BO67" s="114">
        <v>8787.3389604121003</v>
      </c>
      <c r="BP67" s="114">
        <v>3754.753527735787</v>
      </c>
      <c r="BQ67" s="114">
        <v>6751.0580558881293</v>
      </c>
      <c r="BR67" s="114">
        <v>7644.3487333435214</v>
      </c>
      <c r="BS67" s="114">
        <v>8897.1369580243681</v>
      </c>
      <c r="BT67" s="114">
        <v>8489.2046609030585</v>
      </c>
      <c r="BU67" s="114">
        <v>8765.9409126986247</v>
      </c>
      <c r="BV67" s="114">
        <v>4851.7223198613756</v>
      </c>
      <c r="BW67" s="114">
        <v>7134.0888649921662</v>
      </c>
      <c r="BX67" s="114">
        <v>10871.261324872117</v>
      </c>
      <c r="BY67" s="114">
        <v>13802.349404645785</v>
      </c>
      <c r="BZ67" s="114">
        <v>6221.3258781722252</v>
      </c>
      <c r="CA67" s="114">
        <v>6540.3231068438954</v>
      </c>
      <c r="CB67" s="114">
        <v>10244.496783893494</v>
      </c>
      <c r="CC67" s="114">
        <v>12181.059902940771</v>
      </c>
      <c r="CD67" s="114">
        <v>13480.305142218418</v>
      </c>
      <c r="CE67" s="114">
        <v>8257.8572606610323</v>
      </c>
      <c r="CF67" s="114">
        <v>11024.561230075849</v>
      </c>
      <c r="CG67" s="114">
        <v>6760.4818654286209</v>
      </c>
      <c r="CH67" s="114">
        <v>7809.5887412061338</v>
      </c>
      <c r="CI67" s="114">
        <v>8248.2544580716531</v>
      </c>
      <c r="CJ67" s="114">
        <v>7174.4779096587408</v>
      </c>
      <c r="CK67" s="114">
        <v>6749.5371782418406</v>
      </c>
      <c r="CL67" s="114">
        <v>9531.1090367305787</v>
      </c>
      <c r="CM67" s="114">
        <v>9518.5800834544916</v>
      </c>
      <c r="CN67" s="114">
        <v>7774.2167297584947</v>
      </c>
      <c r="CO67" s="114">
        <v>8268.2732658955338</v>
      </c>
      <c r="CP67" s="114">
        <v>12586.543093332872</v>
      </c>
      <c r="CQ67" s="114">
        <v>13277.708953334872</v>
      </c>
      <c r="CR67" s="114">
        <v>6438.9335211442321</v>
      </c>
      <c r="CS67" s="114">
        <v>9453.7041027834748</v>
      </c>
      <c r="CT67" s="114">
        <v>2840.8336480614876</v>
      </c>
      <c r="CU67" s="114">
        <v>6428.1158754017351</v>
      </c>
      <c r="CV67" s="114">
        <v>8840.666659160328</v>
      </c>
      <c r="CW67" s="114">
        <v>9100.5897534702344</v>
      </c>
      <c r="CX67" s="114">
        <v>9220.4865075670896</v>
      </c>
      <c r="CY67" s="114">
        <v>6654.6162067380819</v>
      </c>
      <c r="CZ67" s="114">
        <v>498.28916014587645</v>
      </c>
      <c r="DA67" s="114">
        <v>5743.644345350247</v>
      </c>
      <c r="DB67" s="114">
        <v>6796.3611104247502</v>
      </c>
      <c r="DC67" s="114">
        <v>8433.7267336130517</v>
      </c>
      <c r="DD67" s="114">
        <v>8975.5590361203667</v>
      </c>
      <c r="DE67" s="114">
        <v>8757.7496964371167</v>
      </c>
      <c r="DF67" s="114">
        <v>1871.6527294702908</v>
      </c>
      <c r="DG67" s="114">
        <v>1377.6078186834484</v>
      </c>
      <c r="DH67" s="114">
        <v>8214.7343685912692</v>
      </c>
      <c r="DI67" s="114">
        <v>5647.2837936862379</v>
      </c>
      <c r="DJ67" s="114">
        <v>5981.0772590182341</v>
      </c>
      <c r="DK67" s="114">
        <v>7085.057959255626</v>
      </c>
      <c r="DL67" s="114">
        <v>2761.4055211139334</v>
      </c>
      <c r="DM67" s="114">
        <v>2778.7885538364485</v>
      </c>
      <c r="DN67" s="114">
        <v>14873.650364005231</v>
      </c>
      <c r="DO67" s="114">
        <v>8141.4034895942696</v>
      </c>
      <c r="DP67" s="114">
        <v>8139.8896596049781</v>
      </c>
      <c r="DQ67" s="114">
        <v>11164.050824028674</v>
      </c>
      <c r="DR67" s="114">
        <v>7725.7262797271396</v>
      </c>
      <c r="DS67" s="114">
        <v>7796.8809324620061</v>
      </c>
      <c r="DT67" s="114">
        <v>142.6201432291042</v>
      </c>
      <c r="DU67" s="114">
        <v>8483.7984589491152</v>
      </c>
      <c r="DV67" s="114">
        <v>1482.6775913569641</v>
      </c>
      <c r="DW67" s="114">
        <v>8311.0771749652558</v>
      </c>
      <c r="DX67" s="114">
        <v>9092.8992180011828</v>
      </c>
      <c r="DY67" s="114">
        <v>12042.318377037789</v>
      </c>
      <c r="DZ67" s="114">
        <v>11625.223758047807</v>
      </c>
      <c r="EA67" s="114">
        <v>13300.438441813656</v>
      </c>
      <c r="EB67" s="114">
        <v>5392.5642659534669</v>
      </c>
      <c r="EC67" s="114">
        <v>4682.4943893453592</v>
      </c>
      <c r="ED67" s="114">
        <v>12148.024423808434</v>
      </c>
      <c r="EE67" s="114">
        <v>7649.0132761463328</v>
      </c>
      <c r="EF67" s="114">
        <v>9718.5272567629981</v>
      </c>
      <c r="EG67" s="114">
        <v>6243.5373181911518</v>
      </c>
      <c r="EH67" s="114">
        <v>6872.0458461825756</v>
      </c>
      <c r="EI67" s="114">
        <v>7975.6580762472367</v>
      </c>
      <c r="EJ67" s="114">
        <v>12468.044192796049</v>
      </c>
      <c r="EK67" s="114">
        <v>8656.9156568062062</v>
      </c>
      <c r="EL67" s="114">
        <v>11163.203209231371</v>
      </c>
      <c r="EM67" s="114">
        <v>10702.146536112601</v>
      </c>
      <c r="EN67" s="114">
        <v>8762.7304038798575</v>
      </c>
      <c r="EO67" s="114">
        <v>8310.8617899596811</v>
      </c>
      <c r="EP67" s="114">
        <v>6109.0950842305647</v>
      </c>
      <c r="EQ67" s="114">
        <v>7849.943927908862</v>
      </c>
      <c r="ER67" s="114">
        <v>9132.0976638628235</v>
      </c>
      <c r="ES67" s="114">
        <v>2736.4587672034049</v>
      </c>
      <c r="ET67" s="114">
        <v>11176.403596150558</v>
      </c>
      <c r="EU67" s="114">
        <v>10849.704273639201</v>
      </c>
      <c r="EV67" s="114">
        <v>10857.020820665572</v>
      </c>
      <c r="EW67" s="114">
        <v>7986.7774261646973</v>
      </c>
      <c r="EX67" s="114">
        <v>3940.6568114501374</v>
      </c>
      <c r="EY67" s="114">
        <v>5862.4770440099774</v>
      </c>
      <c r="EZ67" s="114">
        <v>6900.7590338373448</v>
      </c>
      <c r="FA67" s="114">
        <v>7934.1003785843905</v>
      </c>
      <c r="FB67" s="114">
        <v>6123.2140086484096</v>
      </c>
      <c r="FC67" s="114">
        <v>8361.5743002337549</v>
      </c>
      <c r="FD67" s="114">
        <v>8376.9202459060634</v>
      </c>
      <c r="FE67" s="114">
        <v>8206.1605079667079</v>
      </c>
      <c r="FF67" s="114">
        <v>3486.7738005284141</v>
      </c>
      <c r="FG67" s="114">
        <v>305.57848613415058</v>
      </c>
      <c r="FH67" s="114">
        <v>12184.497930986035</v>
      </c>
      <c r="FI67" s="114">
        <v>3451.0262099291822</v>
      </c>
      <c r="FJ67" s="114">
        <v>8203.8744299562713</v>
      </c>
      <c r="FK67" s="114">
        <v>8080.6460042118015</v>
      </c>
      <c r="FL67" s="114">
        <v>6421.793264330051</v>
      </c>
      <c r="FM67" s="114">
        <v>4615.5867789716112</v>
      </c>
      <c r="FN67" s="114">
        <v>9895.8093544481817</v>
      </c>
      <c r="FO67" s="114">
        <v>9569.4125090260695</v>
      </c>
      <c r="FP67" s="114">
        <v>8436.0918627596639</v>
      </c>
      <c r="FQ67" s="114">
        <v>6635.9851811328735</v>
      </c>
      <c r="FR67" s="114">
        <v>11250.486428479686</v>
      </c>
      <c r="FS67" s="114">
        <v>8163.1131194370837</v>
      </c>
      <c r="FT67" s="114">
        <v>2323.664524988767</v>
      </c>
      <c r="FU67" s="114">
        <v>8680.78625933482</v>
      </c>
      <c r="FV67" s="114">
        <v>10020.563807224122</v>
      </c>
      <c r="FW67" s="114">
        <v>4821.1959154884844</v>
      </c>
      <c r="FX67" s="114">
        <v>10780.296096333588</v>
      </c>
      <c r="FY67" s="114">
        <v>7307.2107480967761</v>
      </c>
      <c r="FZ67" s="114">
        <v>7312.6788743415136</v>
      </c>
      <c r="GA67" s="114">
        <v>7650.5422252751077</v>
      </c>
      <c r="GB67" s="114">
        <v>2936.3340817785829</v>
      </c>
      <c r="GC67" s="114">
        <v>8504.5360480847339</v>
      </c>
      <c r="GD67" s="114">
        <v>6138.1307349859844</v>
      </c>
      <c r="GE67" s="114">
        <v>9143.7677992320096</v>
      </c>
      <c r="GF67" s="114">
        <v>16948.758759554374</v>
      </c>
      <c r="GG67" s="114">
        <v>13085.818892456095</v>
      </c>
      <c r="GH67" s="114">
        <v>12885.258992131643</v>
      </c>
      <c r="GI67" s="114">
        <v>13298.020982678183</v>
      </c>
      <c r="GJ67" s="114">
        <v>8156.9136260356818</v>
      </c>
      <c r="GK67" s="114">
        <v>8455.6429031934276</v>
      </c>
      <c r="GL67" s="114">
        <v>11263.192966587452</v>
      </c>
      <c r="GM67" s="114">
        <v>9585.5041111135888</v>
      </c>
      <c r="GN67" s="114">
        <v>4833.4199769296129</v>
      </c>
      <c r="GO67" s="114">
        <v>1248.8251783637686</v>
      </c>
      <c r="GP67" s="114">
        <v>972.96434655980931</v>
      </c>
      <c r="GQ67" s="114">
        <v>9133.093498437689</v>
      </c>
      <c r="GR67" s="114">
        <v>10586.542732648344</v>
      </c>
      <c r="GS67" s="114">
        <v>8484.8921344034625</v>
      </c>
      <c r="GT67" s="115">
        <v>301.93304498119056</v>
      </c>
    </row>
    <row r="68" spans="2:202" x14ac:dyDescent="0.6">
      <c r="B68" s="106" t="s">
        <v>59</v>
      </c>
      <c r="C68" s="63" t="s">
        <v>456</v>
      </c>
      <c r="D68" s="113">
        <v>4203.9261766612972</v>
      </c>
      <c r="E68" s="114">
        <v>4687.0359737350364</v>
      </c>
      <c r="F68" s="114">
        <v>5173.1083892317183</v>
      </c>
      <c r="G68" s="114">
        <v>3410.0968553574489</v>
      </c>
      <c r="H68" s="114">
        <v>10786.53027847042</v>
      </c>
      <c r="I68" s="114">
        <v>11351.361294381191</v>
      </c>
      <c r="J68" s="114">
        <v>3504.8478610619673</v>
      </c>
      <c r="K68" s="114">
        <v>12644.961924323577</v>
      </c>
      <c r="L68" s="114">
        <v>4820.3222378186574</v>
      </c>
      <c r="M68" s="114">
        <v>3647.5516649907991</v>
      </c>
      <c r="N68" s="114">
        <v>12086.144461603655</v>
      </c>
      <c r="O68" s="114">
        <v>2275.374950734461</v>
      </c>
      <c r="P68" s="114">
        <v>5728.7402053126361</v>
      </c>
      <c r="Q68" s="114">
        <v>10606.301465238657</v>
      </c>
      <c r="R68" s="114">
        <v>5047.5951797223006</v>
      </c>
      <c r="S68" s="114">
        <v>5579.5557930088371</v>
      </c>
      <c r="T68" s="114">
        <v>13475.54247963387</v>
      </c>
      <c r="U68" s="114">
        <v>3978.1252741277181</v>
      </c>
      <c r="V68" s="114">
        <v>5715.7950177933781</v>
      </c>
      <c r="W68" s="114">
        <v>12038.588286042796</v>
      </c>
      <c r="X68" s="114">
        <v>4305.0876124409078</v>
      </c>
      <c r="Y68" s="114">
        <v>3974.3003140480623</v>
      </c>
      <c r="Z68" s="114">
        <v>9909.9944992825422</v>
      </c>
      <c r="AA68" s="114">
        <v>9548.5197859978998</v>
      </c>
      <c r="AB68" s="114">
        <v>8457.7872110579046</v>
      </c>
      <c r="AC68" s="114">
        <v>4003.214211055767</v>
      </c>
      <c r="AD68" s="114">
        <v>4351.7678128124617</v>
      </c>
      <c r="AE68" s="114">
        <v>1697.982730605803</v>
      </c>
      <c r="AF68" s="114">
        <v>6730.5446166219672</v>
      </c>
      <c r="AG68" s="114">
        <v>7221.8680072910875</v>
      </c>
      <c r="AH68" s="114">
        <v>3218.6528714273154</v>
      </c>
      <c r="AI68" s="114">
        <v>3052.8955361477883</v>
      </c>
      <c r="AJ68" s="114">
        <v>11452.756505251802</v>
      </c>
      <c r="AK68" s="114">
        <v>11093.008101608841</v>
      </c>
      <c r="AL68" s="114">
        <v>2279.0656878227082</v>
      </c>
      <c r="AM68" s="114">
        <v>2626.334253839485</v>
      </c>
      <c r="AN68" s="114">
        <v>12302.061914198741</v>
      </c>
      <c r="AO68" s="114">
        <v>8830.8887449070862</v>
      </c>
      <c r="AP68" s="114">
        <v>8325.0968375557131</v>
      </c>
      <c r="AQ68" s="114">
        <v>12379.285257711583</v>
      </c>
      <c r="AR68" s="114">
        <v>2330.3118083268287</v>
      </c>
      <c r="AS68" s="114">
        <v>2960.2189995227045</v>
      </c>
      <c r="AT68" s="114">
        <v>2965.7121342929227</v>
      </c>
      <c r="AU68" s="114">
        <v>13317.155588276202</v>
      </c>
      <c r="AV68" s="114">
        <v>4697.7503781090263</v>
      </c>
      <c r="AW68" s="114">
        <v>4606.5869539720043</v>
      </c>
      <c r="AX68" s="114">
        <v>12640.385918188993</v>
      </c>
      <c r="AY68" s="114">
        <v>2947.2448695451449</v>
      </c>
      <c r="AZ68" s="114">
        <v>5079.6568177592781</v>
      </c>
      <c r="BA68" s="114">
        <v>5643.5308438690417</v>
      </c>
      <c r="BB68" s="114">
        <v>473.00459306893828</v>
      </c>
      <c r="BC68" s="114">
        <v>10766.355012977525</v>
      </c>
      <c r="BD68" s="114">
        <v>11556.175898451364</v>
      </c>
      <c r="BE68" s="114">
        <v>2968.8644984694897</v>
      </c>
      <c r="BF68" s="114">
        <v>12947.457073225622</v>
      </c>
      <c r="BG68" s="114">
        <v>2453.6780654484655</v>
      </c>
      <c r="BH68" s="114">
        <v>13708.620981574424</v>
      </c>
      <c r="BI68" s="114">
        <v>3362.9857318602035</v>
      </c>
      <c r="BJ68" s="114">
        <v>686.21810978410633</v>
      </c>
      <c r="BK68" s="114">
        <v>5704.4479691263987</v>
      </c>
      <c r="BL68" s="114">
        <v>3994.0620546341211</v>
      </c>
      <c r="BM68" s="114" t="s">
        <v>237</v>
      </c>
      <c r="BN68" s="114">
        <v>5794.0029902310735</v>
      </c>
      <c r="BO68" s="114">
        <v>5538.1431989250232</v>
      </c>
      <c r="BP68" s="114">
        <v>3372.441053755022</v>
      </c>
      <c r="BQ68" s="114">
        <v>5988.4891342321698</v>
      </c>
      <c r="BR68" s="114">
        <v>3653.0405002809293</v>
      </c>
      <c r="BS68" s="114">
        <v>5324.1848402245841</v>
      </c>
      <c r="BT68" s="114">
        <v>5023.7699145763581</v>
      </c>
      <c r="BU68" s="114">
        <v>5327.7119421849984</v>
      </c>
      <c r="BV68" s="114">
        <v>4262.6874724641866</v>
      </c>
      <c r="BW68" s="114">
        <v>3513.0139466937503</v>
      </c>
      <c r="BX68" s="114">
        <v>10888.059290713338</v>
      </c>
      <c r="BY68" s="114">
        <v>13781.610574246932</v>
      </c>
      <c r="BZ68" s="114">
        <v>5693.3125193583855</v>
      </c>
      <c r="CA68" s="114">
        <v>5892.9621328954281</v>
      </c>
      <c r="CB68" s="114">
        <v>10607.413839662167</v>
      </c>
      <c r="CC68" s="114">
        <v>11819.209706076643</v>
      </c>
      <c r="CD68" s="114">
        <v>13484.968370753695</v>
      </c>
      <c r="CE68" s="114">
        <v>4631.6172681053395</v>
      </c>
      <c r="CF68" s="114">
        <v>7683.1653486681762</v>
      </c>
      <c r="CG68" s="114">
        <v>3873.159858620405</v>
      </c>
      <c r="CH68" s="114">
        <v>4579.3654882002647</v>
      </c>
      <c r="CI68" s="114">
        <v>7718.7688190846984</v>
      </c>
      <c r="CJ68" s="114">
        <v>3215.5593381259473</v>
      </c>
      <c r="CK68" s="114">
        <v>2755.5435248129429</v>
      </c>
      <c r="CL68" s="114">
        <v>6320.7721296119635</v>
      </c>
      <c r="CM68" s="114">
        <v>7927.2462040157061</v>
      </c>
      <c r="CN68" s="114">
        <v>4431.8429494363472</v>
      </c>
      <c r="CO68" s="114">
        <v>4920.9938897283209</v>
      </c>
      <c r="CP68" s="114">
        <v>12267.458668872072</v>
      </c>
      <c r="CQ68" s="114">
        <v>10430.149377221227</v>
      </c>
      <c r="CR68" s="114">
        <v>2525.2881354489555</v>
      </c>
      <c r="CS68" s="114">
        <v>5559.144041649527</v>
      </c>
      <c r="CT68" s="114">
        <v>1153.27979934973</v>
      </c>
      <c r="CU68" s="114">
        <v>2466.3668469158465</v>
      </c>
      <c r="CV68" s="114">
        <v>5117.1024275034142</v>
      </c>
      <c r="CW68" s="114">
        <v>6948.9242439539858</v>
      </c>
      <c r="CX68" s="114">
        <v>5427.9931192097747</v>
      </c>
      <c r="CY68" s="114">
        <v>2743.949463667479</v>
      </c>
      <c r="CZ68" s="114">
        <v>4411.7640257677695</v>
      </c>
      <c r="DA68" s="114">
        <v>5394.1478730557983</v>
      </c>
      <c r="DB68" s="114">
        <v>3688.3076399363572</v>
      </c>
      <c r="DC68" s="114">
        <v>5045.9202910508875</v>
      </c>
      <c r="DD68" s="114">
        <v>5179.0869474119609</v>
      </c>
      <c r="DE68" s="114">
        <v>5394.7529920940715</v>
      </c>
      <c r="DF68" s="114">
        <v>3217.0470553232572</v>
      </c>
      <c r="DG68" s="114">
        <v>2617.0935937709232</v>
      </c>
      <c r="DH68" s="114">
        <v>6987.4510007227627</v>
      </c>
      <c r="DI68" s="114">
        <v>3889.4434007251116</v>
      </c>
      <c r="DJ68" s="114">
        <v>5030.9267161150792</v>
      </c>
      <c r="DK68" s="114">
        <v>3830.0960584793747</v>
      </c>
      <c r="DL68" s="114">
        <v>3840.9890743274532</v>
      </c>
      <c r="DM68" s="114">
        <v>3858.40640369729</v>
      </c>
      <c r="DN68" s="114">
        <v>14401.718739503131</v>
      </c>
      <c r="DO68" s="114">
        <v>4320.1573996189236</v>
      </c>
      <c r="DP68" s="114">
        <v>4885.8792380687319</v>
      </c>
      <c r="DQ68" s="114">
        <v>7668.446288385845</v>
      </c>
      <c r="DR68" s="114">
        <v>4160.0271665559721</v>
      </c>
      <c r="DS68" s="114">
        <v>5382.1033207440732</v>
      </c>
      <c r="DT68" s="114">
        <v>3903.5764582265942</v>
      </c>
      <c r="DU68" s="114">
        <v>6301.7209494117851</v>
      </c>
      <c r="DV68" s="114">
        <v>4194.7587957655705</v>
      </c>
      <c r="DW68" s="114">
        <v>5308.7707301145219</v>
      </c>
      <c r="DX68" s="114">
        <v>5696.9865461757809</v>
      </c>
      <c r="DY68" s="114">
        <v>14648.808420993992</v>
      </c>
      <c r="DZ68" s="114">
        <v>14413.132322145655</v>
      </c>
      <c r="EA68" s="114">
        <v>13461.474678161365</v>
      </c>
      <c r="EB68" s="114">
        <v>3991.2653932962244</v>
      </c>
      <c r="EC68" s="114">
        <v>3414.1925566970367</v>
      </c>
      <c r="ED68" s="114">
        <v>9108.9485389103229</v>
      </c>
      <c r="EE68" s="114">
        <v>4034.5443824336871</v>
      </c>
      <c r="EF68" s="114">
        <v>6087.4157344647938</v>
      </c>
      <c r="EG68" s="114">
        <v>2654.4938424620163</v>
      </c>
      <c r="EH68" s="114">
        <v>3509.8972107954814</v>
      </c>
      <c r="EI68" s="114">
        <v>4464.6134213222294</v>
      </c>
      <c r="EJ68" s="114">
        <v>12828.568602887668</v>
      </c>
      <c r="EK68" s="114">
        <v>11003.205229121764</v>
      </c>
      <c r="EL68" s="114">
        <v>12961.87443467099</v>
      </c>
      <c r="EM68" s="114">
        <v>8967.4696084883362</v>
      </c>
      <c r="EN68" s="114">
        <v>5047.5030719911674</v>
      </c>
      <c r="EO68" s="114">
        <v>5747.0625705573548</v>
      </c>
      <c r="EP68" s="114">
        <v>2255.8487834795574</v>
      </c>
      <c r="EQ68" s="114">
        <v>4095.9694834077441</v>
      </c>
      <c r="ER68" s="114">
        <v>5197.26100200166</v>
      </c>
      <c r="ES68" s="114">
        <v>1501.3316644976196</v>
      </c>
      <c r="ET68" s="114">
        <v>10846.752563587908</v>
      </c>
      <c r="EU68" s="114">
        <v>10722.058127820155</v>
      </c>
      <c r="EV68" s="114">
        <v>10796.770279780361</v>
      </c>
      <c r="EW68" s="114">
        <v>4597.5368972774459</v>
      </c>
      <c r="EX68" s="114">
        <v>3682.4142052154994</v>
      </c>
      <c r="EY68" s="114">
        <v>1910.1607253929246</v>
      </c>
      <c r="EZ68" s="114">
        <v>6081.9608491525023</v>
      </c>
      <c r="FA68" s="114">
        <v>4311.1825446017538</v>
      </c>
      <c r="FB68" s="114">
        <v>5666.9542908117592</v>
      </c>
      <c r="FC68" s="114">
        <v>7283.0732478040036</v>
      </c>
      <c r="FD68" s="114">
        <v>4784.66169465247</v>
      </c>
      <c r="FE68" s="114">
        <v>4712.2034437556631</v>
      </c>
      <c r="FF68" s="114">
        <v>1084.6927744269206</v>
      </c>
      <c r="FG68" s="114">
        <v>3990.73136868452</v>
      </c>
      <c r="FH68" s="114">
        <v>9232.5338434591213</v>
      </c>
      <c r="FI68" s="114">
        <v>885.58285795124027</v>
      </c>
      <c r="FJ68" s="114">
        <v>5392.9546361281191</v>
      </c>
      <c r="FK68" s="114">
        <v>5056.2830654340814</v>
      </c>
      <c r="FL68" s="114">
        <v>4567.1457741090771</v>
      </c>
      <c r="FM68" s="114">
        <v>961.24836269028015</v>
      </c>
      <c r="FN68" s="114">
        <v>10296.452000159385</v>
      </c>
      <c r="FO68" s="114">
        <v>5838.2957779400294</v>
      </c>
      <c r="FP68" s="114">
        <v>5112.0554777980951</v>
      </c>
      <c r="FQ68" s="114">
        <v>2709.569220920539</v>
      </c>
      <c r="FR68" s="114">
        <v>8898.8736347783597</v>
      </c>
      <c r="FS68" s="114">
        <v>4430.5586070521595</v>
      </c>
      <c r="FT68" s="114">
        <v>1762.8480733512831</v>
      </c>
      <c r="FU68" s="114">
        <v>6750.9327597240053</v>
      </c>
      <c r="FV68" s="114">
        <v>9812.6391329499093</v>
      </c>
      <c r="FW68" s="114">
        <v>4113.8936591688207</v>
      </c>
      <c r="FX68" s="114">
        <v>10891.186153325089</v>
      </c>
      <c r="FY68" s="114">
        <v>4181.7054216878041</v>
      </c>
      <c r="FZ68" s="114">
        <v>3446.8810414601885</v>
      </c>
      <c r="GA68" s="114">
        <v>3746.3592424627486</v>
      </c>
      <c r="GB68" s="114">
        <v>1192.0680006242965</v>
      </c>
      <c r="GC68" s="114">
        <v>4651.172972886483</v>
      </c>
      <c r="GD68" s="114">
        <v>2385.3022066871504</v>
      </c>
      <c r="GE68" s="114">
        <v>5865.5181674141431</v>
      </c>
      <c r="GF68" s="114">
        <v>14630.087467350244</v>
      </c>
      <c r="GG68" s="114">
        <v>11182.163424214024</v>
      </c>
      <c r="GH68" s="114">
        <v>10887.745946251873</v>
      </c>
      <c r="GI68" s="114">
        <v>11497.0584795738</v>
      </c>
      <c r="GJ68" s="114">
        <v>10986.705594084031</v>
      </c>
      <c r="GK68" s="114">
        <v>4677.5947594597319</v>
      </c>
      <c r="GL68" s="114">
        <v>11440.160927663303</v>
      </c>
      <c r="GM68" s="114">
        <v>7279.1976435582592</v>
      </c>
      <c r="GN68" s="114">
        <v>944.14205891488916</v>
      </c>
      <c r="GO68" s="114">
        <v>2928.9887702548276</v>
      </c>
      <c r="GP68" s="114">
        <v>3051.4462967259342</v>
      </c>
      <c r="GQ68" s="114">
        <v>7458.2396625022939</v>
      </c>
      <c r="GR68" s="114">
        <v>12461.9367266597</v>
      </c>
      <c r="GS68" s="114">
        <v>5109.57807736022</v>
      </c>
      <c r="GT68" s="115">
        <v>4073.9332199870551</v>
      </c>
    </row>
    <row r="69" spans="2:202" x14ac:dyDescent="0.6">
      <c r="B69" s="106" t="s">
        <v>60</v>
      </c>
      <c r="C69" s="63" t="s">
        <v>457</v>
      </c>
      <c r="D69" s="113">
        <v>4267.1576503861161</v>
      </c>
      <c r="E69" s="114">
        <v>3066.0210127239789</v>
      </c>
      <c r="F69" s="114">
        <v>2551.8971053623318</v>
      </c>
      <c r="G69" s="114">
        <v>7705.4988359763238</v>
      </c>
      <c r="H69" s="114">
        <v>8190.9118087045408</v>
      </c>
      <c r="I69" s="114">
        <v>13187.919703905125</v>
      </c>
      <c r="J69" s="114">
        <v>2597.358528090052</v>
      </c>
      <c r="K69" s="114">
        <v>15184.746184397212</v>
      </c>
      <c r="L69" s="114">
        <v>1452.6457883700889</v>
      </c>
      <c r="M69" s="114">
        <v>2780.6092916272692</v>
      </c>
      <c r="N69" s="114">
        <v>8254.3997378952936</v>
      </c>
      <c r="O69" s="114">
        <v>4248.4752512869009</v>
      </c>
      <c r="P69" s="114">
        <v>6401.8705648980313</v>
      </c>
      <c r="Q69" s="114">
        <v>8438.8101617258308</v>
      </c>
      <c r="R69" s="114">
        <v>749.92734508120293</v>
      </c>
      <c r="S69" s="114">
        <v>1685.4407055672295</v>
      </c>
      <c r="T69" s="114">
        <v>9574.8237288065393</v>
      </c>
      <c r="U69" s="114">
        <v>6290.538549786449</v>
      </c>
      <c r="V69" s="114">
        <v>5995.8417942565911</v>
      </c>
      <c r="W69" s="114">
        <v>11736.600629724797</v>
      </c>
      <c r="X69" s="114">
        <v>1904.393596860524</v>
      </c>
      <c r="Y69" s="114">
        <v>9407.2195710664109</v>
      </c>
      <c r="Z69" s="114">
        <v>11310.782298384265</v>
      </c>
      <c r="AA69" s="114">
        <v>11078.778598585484</v>
      </c>
      <c r="AB69" s="114">
        <v>9570.0748249397202</v>
      </c>
      <c r="AC69" s="114">
        <v>1972.071508398079</v>
      </c>
      <c r="AD69" s="114">
        <v>5757.9395442205132</v>
      </c>
      <c r="AE69" s="114">
        <v>7049.0392592971102</v>
      </c>
      <c r="AF69" s="114">
        <v>6341.9824870405264</v>
      </c>
      <c r="AG69" s="114">
        <v>8334.5773149537363</v>
      </c>
      <c r="AH69" s="114">
        <v>6372.8016078476021</v>
      </c>
      <c r="AI69" s="114">
        <v>6406.0971549665419</v>
      </c>
      <c r="AJ69" s="114">
        <v>6601.1361306400986</v>
      </c>
      <c r="AK69" s="114">
        <v>6277.1014645242458</v>
      </c>
      <c r="AL69" s="114">
        <v>6243.9050202459484</v>
      </c>
      <c r="AM69" s="114">
        <v>5411.601493743532</v>
      </c>
      <c r="AN69" s="114">
        <v>13452.957933879465</v>
      </c>
      <c r="AO69" s="114">
        <v>7372.3240987157897</v>
      </c>
      <c r="AP69" s="114">
        <v>6339.6380554129209</v>
      </c>
      <c r="AQ69" s="114">
        <v>10085.656865212062</v>
      </c>
      <c r="AR69" s="114">
        <v>8118.0164762877812</v>
      </c>
      <c r="AS69" s="114">
        <v>7219.7491295810742</v>
      </c>
      <c r="AT69" s="114">
        <v>7195.4602917947986</v>
      </c>
      <c r="AU69" s="114">
        <v>10111.440700074118</v>
      </c>
      <c r="AV69" s="114">
        <v>6568.193493276317</v>
      </c>
      <c r="AW69" s="114">
        <v>1744.2826876191707</v>
      </c>
      <c r="AX69" s="114">
        <v>8697.2149060131287</v>
      </c>
      <c r="AY69" s="114">
        <v>2847.7325553895425</v>
      </c>
      <c r="AZ69" s="114">
        <v>1313.2120367610553</v>
      </c>
      <c r="BA69" s="114">
        <v>916.18595711541502</v>
      </c>
      <c r="BB69" s="114">
        <v>5637.6918596462792</v>
      </c>
      <c r="BC69" s="114">
        <v>8340.7215666939901</v>
      </c>
      <c r="BD69" s="114">
        <v>8500.9924344561641</v>
      </c>
      <c r="BE69" s="114">
        <v>7207.322329808102</v>
      </c>
      <c r="BF69" s="114">
        <v>10757.544470262752</v>
      </c>
      <c r="BG69" s="114">
        <v>3382.3515989109414</v>
      </c>
      <c r="BH69" s="114">
        <v>9988.0156079364897</v>
      </c>
      <c r="BI69" s="114">
        <v>6460.0426233880689</v>
      </c>
      <c r="BJ69" s="114">
        <v>5118.235282405607</v>
      </c>
      <c r="BK69" s="114">
        <v>107.91940706300429</v>
      </c>
      <c r="BL69" s="114">
        <v>9615.2345065534992</v>
      </c>
      <c r="BM69" s="114">
        <v>5794.0029902310735</v>
      </c>
      <c r="BN69" s="114" t="s">
        <v>237</v>
      </c>
      <c r="BO69" s="114">
        <v>1949.183052388277</v>
      </c>
      <c r="BP69" s="114">
        <v>6797.6906536731431</v>
      </c>
      <c r="BQ69" s="114">
        <v>6201.9549328086869</v>
      </c>
      <c r="BR69" s="114">
        <v>2470.4188644882088</v>
      </c>
      <c r="BS69" s="114">
        <v>1133.365136955344</v>
      </c>
      <c r="BT69" s="114">
        <v>1590.8605954655093</v>
      </c>
      <c r="BU69" s="114">
        <v>1517.0393056308696</v>
      </c>
      <c r="BV69" s="114">
        <v>6451.1600746493341</v>
      </c>
      <c r="BW69" s="114">
        <v>2512.1263524031733</v>
      </c>
      <c r="BX69" s="114">
        <v>8669.2615472677862</v>
      </c>
      <c r="BY69" s="114">
        <v>9943.511434044598</v>
      </c>
      <c r="BZ69" s="114">
        <v>6491.2304637352499</v>
      </c>
      <c r="CA69" s="114">
        <v>6348.7921638365578</v>
      </c>
      <c r="CB69" s="114">
        <v>9002.0590722804372</v>
      </c>
      <c r="CC69" s="114">
        <v>8631.3441835566227</v>
      </c>
      <c r="CD69" s="114">
        <v>9826.8512996823083</v>
      </c>
      <c r="CE69" s="114">
        <v>1481.6371471230266</v>
      </c>
      <c r="CF69" s="114">
        <v>2404.9614716959095</v>
      </c>
      <c r="CG69" s="114">
        <v>5915.1235573037638</v>
      </c>
      <c r="CH69" s="114">
        <v>5233.5312741252783</v>
      </c>
      <c r="CI69" s="114">
        <v>10120.641510500827</v>
      </c>
      <c r="CJ69" s="114">
        <v>3329.1169959988774</v>
      </c>
      <c r="CK69" s="114">
        <v>3309.7229998791777</v>
      </c>
      <c r="CL69" s="114">
        <v>2031.0456553894869</v>
      </c>
      <c r="CM69" s="114">
        <v>5357.5735151156987</v>
      </c>
      <c r="CN69" s="114">
        <v>2245.2540204700335</v>
      </c>
      <c r="CO69" s="114">
        <v>1938.3108345495837</v>
      </c>
      <c r="CP69" s="114">
        <v>8897.1839984305552</v>
      </c>
      <c r="CQ69" s="114">
        <v>7819.101909642357</v>
      </c>
      <c r="CR69" s="114">
        <v>3271.0946845079316</v>
      </c>
      <c r="CS69" s="114">
        <v>3001.6112834809178</v>
      </c>
      <c r="CT69" s="114">
        <v>6890.1732241529917</v>
      </c>
      <c r="CU69" s="114">
        <v>3836.5630100341596</v>
      </c>
      <c r="CV69" s="114">
        <v>3827.2853704945446</v>
      </c>
      <c r="CW69" s="114">
        <v>7616.7074707297106</v>
      </c>
      <c r="CX69" s="114">
        <v>406.31508617296004</v>
      </c>
      <c r="CY69" s="114">
        <v>3053.3495768116463</v>
      </c>
      <c r="CZ69" s="114">
        <v>9935.2155532675843</v>
      </c>
      <c r="DA69" s="114">
        <v>6699.4248722878701</v>
      </c>
      <c r="DB69" s="114">
        <v>3198.4730807677292</v>
      </c>
      <c r="DC69" s="114">
        <v>1775.5234342389463</v>
      </c>
      <c r="DD69" s="114">
        <v>641.6663493491676</v>
      </c>
      <c r="DE69" s="114">
        <v>1695.2933250635554</v>
      </c>
      <c r="DF69" s="114">
        <v>8979.1542467323998</v>
      </c>
      <c r="DG69" s="114">
        <v>8279.7980829365733</v>
      </c>
      <c r="DH69" s="114">
        <v>8958.7758334091341</v>
      </c>
      <c r="DI69" s="114">
        <v>7447.3364761598141</v>
      </c>
      <c r="DJ69" s="114">
        <v>5946.9052081496429</v>
      </c>
      <c r="DK69" s="114">
        <v>2842.7146125402087</v>
      </c>
      <c r="DL69" s="114">
        <v>9387.6032905260217</v>
      </c>
      <c r="DM69" s="114">
        <v>9399.7942589930317</v>
      </c>
      <c r="DN69" s="114">
        <v>9870.5128922965414</v>
      </c>
      <c r="DO69" s="114">
        <v>1482.1808639771343</v>
      </c>
      <c r="DP69" s="114">
        <v>2172.6518131763673</v>
      </c>
      <c r="DQ69" s="114">
        <v>5148.8912928242908</v>
      </c>
      <c r="DR69" s="114">
        <v>2007.7148984219607</v>
      </c>
      <c r="DS69" s="114">
        <v>3705.1109358506869</v>
      </c>
      <c r="DT69" s="114">
        <v>9555.922681827893</v>
      </c>
      <c r="DU69" s="114">
        <v>7387.978789122144</v>
      </c>
      <c r="DV69" s="114">
        <v>9202.2896089915357</v>
      </c>
      <c r="DW69" s="114">
        <v>5750.813355148508</v>
      </c>
      <c r="DX69" s="114">
        <v>1533.4251351889557</v>
      </c>
      <c r="DY69" s="114">
        <v>16657.23101052687</v>
      </c>
      <c r="DZ69" s="114">
        <v>17047.802726494898</v>
      </c>
      <c r="EA69" s="114">
        <v>9975.9441189210738</v>
      </c>
      <c r="EB69" s="114">
        <v>5540.3491511171997</v>
      </c>
      <c r="EC69" s="114">
        <v>5870.537707065675</v>
      </c>
      <c r="ED69" s="114">
        <v>6832.2998652633669</v>
      </c>
      <c r="EE69" s="114">
        <v>2033.3888303984947</v>
      </c>
      <c r="EF69" s="114">
        <v>815.33693095037188</v>
      </c>
      <c r="EG69" s="114">
        <v>4833.1343202425005</v>
      </c>
      <c r="EH69" s="114">
        <v>5063.3088182134925</v>
      </c>
      <c r="EI69" s="114">
        <v>4555.0495801338056</v>
      </c>
      <c r="EJ69" s="114">
        <v>9915.6619236627448</v>
      </c>
      <c r="EK69" s="114">
        <v>12000.65903236028</v>
      </c>
      <c r="EL69" s="114">
        <v>11827.547240767273</v>
      </c>
      <c r="EM69" s="114">
        <v>8947.9134517669354</v>
      </c>
      <c r="EN69" s="114">
        <v>925.64359693633992</v>
      </c>
      <c r="EO69" s="114">
        <v>3389.6187746972441</v>
      </c>
      <c r="EP69" s="114">
        <v>4383.977942580208</v>
      </c>
      <c r="EQ69" s="114">
        <v>1767.2218862305087</v>
      </c>
      <c r="ER69" s="114">
        <v>886.77845359213438</v>
      </c>
      <c r="ES69" s="114">
        <v>6878.9160097344729</v>
      </c>
      <c r="ET69" s="114">
        <v>8218.6100961245993</v>
      </c>
      <c r="EU69" s="114">
        <v>8416.8963654365252</v>
      </c>
      <c r="EV69" s="114">
        <v>8533.5528973737109</v>
      </c>
      <c r="EW69" s="114">
        <v>2034.2624133534346</v>
      </c>
      <c r="EX69" s="114">
        <v>6867.6159600494766</v>
      </c>
      <c r="EY69" s="114">
        <v>4302.9771577509928</v>
      </c>
      <c r="EZ69" s="114">
        <v>6132.8599509654423</v>
      </c>
      <c r="FA69" s="114">
        <v>1767.7043298056001</v>
      </c>
      <c r="FB69" s="114">
        <v>6581.1802063994846</v>
      </c>
      <c r="FC69" s="114">
        <v>9259.1271042744156</v>
      </c>
      <c r="FD69" s="114">
        <v>1434.3600582103093</v>
      </c>
      <c r="FE69" s="114">
        <v>1718.9453379567497</v>
      </c>
      <c r="FF69" s="114">
        <v>6691.2552995863061</v>
      </c>
      <c r="FG69" s="114">
        <v>9521.3493860585641</v>
      </c>
      <c r="FH69" s="114">
        <v>7055.2319952041962</v>
      </c>
      <c r="FI69" s="114">
        <v>6173.9580559717615</v>
      </c>
      <c r="FJ69" s="114">
        <v>2955.4842477097591</v>
      </c>
      <c r="FK69" s="114">
        <v>2605.658096462897</v>
      </c>
      <c r="FL69" s="114">
        <v>7460.6553334889195</v>
      </c>
      <c r="FM69" s="114">
        <v>5021.2332253101313</v>
      </c>
      <c r="FN69" s="114">
        <v>8931.76036290917</v>
      </c>
      <c r="FO69" s="114">
        <v>406.73059893697109</v>
      </c>
      <c r="FP69" s="114">
        <v>1902.2762869586163</v>
      </c>
      <c r="FQ69" s="114">
        <v>3094.5149062178866</v>
      </c>
      <c r="FR69" s="114">
        <v>7961.3892335314713</v>
      </c>
      <c r="FS69" s="114">
        <v>3867.1839387943469</v>
      </c>
      <c r="FT69" s="114">
        <v>7550.6608164523186</v>
      </c>
      <c r="FU69" s="114">
        <v>7899.8619230924305</v>
      </c>
      <c r="FV69" s="114">
        <v>11374.17320293872</v>
      </c>
      <c r="FW69" s="114">
        <v>6337.3076850789967</v>
      </c>
      <c r="FX69" s="114">
        <v>8789.9503080907743</v>
      </c>
      <c r="FY69" s="114">
        <v>2836.3775339133272</v>
      </c>
      <c r="FZ69" s="114">
        <v>2347.3165684513506</v>
      </c>
      <c r="GA69" s="114">
        <v>3350.3419258062277</v>
      </c>
      <c r="GB69" s="114">
        <v>6695.5476035295997</v>
      </c>
      <c r="GC69" s="114">
        <v>1143.8747901999786</v>
      </c>
      <c r="GD69" s="114">
        <v>4578.1702322318861</v>
      </c>
      <c r="GE69" s="114">
        <v>1831.7412232566842</v>
      </c>
      <c r="GF69" s="114">
        <v>9015.1754181403721</v>
      </c>
      <c r="GG69" s="114">
        <v>6623.9248401877649</v>
      </c>
      <c r="GH69" s="114">
        <v>6332.4354087978554</v>
      </c>
      <c r="GI69" s="114">
        <v>6934.3738095353783</v>
      </c>
      <c r="GJ69" s="114">
        <v>12825.891087040813</v>
      </c>
      <c r="GK69" s="114">
        <v>3649.4231733864699</v>
      </c>
      <c r="GL69" s="114">
        <v>9102.5081942933575</v>
      </c>
      <c r="GM69" s="114">
        <v>7465.9268439832213</v>
      </c>
      <c r="GN69" s="114">
        <v>5215.5014710858286</v>
      </c>
      <c r="GO69" s="114">
        <v>8392.1477720389921</v>
      </c>
      <c r="GP69" s="114">
        <v>8643.4118659712731</v>
      </c>
      <c r="GQ69" s="114">
        <v>8500.8849495469367</v>
      </c>
      <c r="GR69" s="114">
        <v>15202.327068807283</v>
      </c>
      <c r="GS69" s="114">
        <v>1776.07181938146</v>
      </c>
      <c r="GT69" s="115">
        <v>9605.5994996480567</v>
      </c>
    </row>
    <row r="70" spans="2:202" x14ac:dyDescent="0.6">
      <c r="B70" s="106" t="s">
        <v>61</v>
      </c>
      <c r="C70" s="63" t="s">
        <v>265</v>
      </c>
      <c r="D70" s="113">
        <v>5611.3283808205952</v>
      </c>
      <c r="E70" s="114">
        <v>1345.1478854624995</v>
      </c>
      <c r="F70" s="114">
        <v>691.70309179978801</v>
      </c>
      <c r="G70" s="114">
        <v>6428.337857343261</v>
      </c>
      <c r="H70" s="114">
        <v>6688.7618948713753</v>
      </c>
      <c r="I70" s="114">
        <v>11253.547058871869</v>
      </c>
      <c r="J70" s="114">
        <v>3431.3552451444848</v>
      </c>
      <c r="K70" s="114">
        <v>16970.781090949877</v>
      </c>
      <c r="L70" s="114">
        <v>1036.2666147398843</v>
      </c>
      <c r="M70" s="114">
        <v>3807.2564952518787</v>
      </c>
      <c r="N70" s="114">
        <v>7193.0329640154087</v>
      </c>
      <c r="O70" s="114">
        <v>4822.9404358831889</v>
      </c>
      <c r="P70" s="114">
        <v>7943.1570950805108</v>
      </c>
      <c r="Q70" s="114">
        <v>6838.7372048839879</v>
      </c>
      <c r="R70" s="114">
        <v>1831.5106568965623</v>
      </c>
      <c r="S70" s="114">
        <v>266.46911617753074</v>
      </c>
      <c r="T70" s="114">
        <v>8622.4452767685525</v>
      </c>
      <c r="U70" s="114">
        <v>4700.255542557079</v>
      </c>
      <c r="V70" s="114">
        <v>7580.0336070767189</v>
      </c>
      <c r="W70" s="114">
        <v>9972.2157172181087</v>
      </c>
      <c r="X70" s="114">
        <v>1354.8610907398941</v>
      </c>
      <c r="Y70" s="114">
        <v>8438.9972102241118</v>
      </c>
      <c r="Z70" s="114">
        <v>9366.4440978955117</v>
      </c>
      <c r="AA70" s="114">
        <v>9130.3104869358795</v>
      </c>
      <c r="AB70" s="114">
        <v>11270.59460416695</v>
      </c>
      <c r="AC70" s="114">
        <v>1762.9975634589903</v>
      </c>
      <c r="AD70" s="114">
        <v>4054.9047578922768</v>
      </c>
      <c r="AE70" s="114">
        <v>6310.1072251140304</v>
      </c>
      <c r="AF70" s="114">
        <v>4393.0238146948204</v>
      </c>
      <c r="AG70" s="114">
        <v>9951.9097655513524</v>
      </c>
      <c r="AH70" s="114">
        <v>4994.0984602415747</v>
      </c>
      <c r="AI70" s="114">
        <v>5079.153841759382</v>
      </c>
      <c r="AJ70" s="114">
        <v>6007.2993715491884</v>
      </c>
      <c r="AK70" s="114">
        <v>5648.4502847553331</v>
      </c>
      <c r="AL70" s="114">
        <v>5156.2688231181237</v>
      </c>
      <c r="AM70" s="114">
        <v>4206.8148560440541</v>
      </c>
      <c r="AN70" s="114">
        <v>11583.233724196305</v>
      </c>
      <c r="AO70" s="114">
        <v>9297.1124976998581</v>
      </c>
      <c r="AP70" s="114">
        <v>8271.8014891771036</v>
      </c>
      <c r="AQ70" s="114">
        <v>8631.6900684840039</v>
      </c>
      <c r="AR70" s="114">
        <v>7780.5242219354895</v>
      </c>
      <c r="AS70" s="114">
        <v>6010.8243450550444</v>
      </c>
      <c r="AT70" s="114">
        <v>5980.8964500290849</v>
      </c>
      <c r="AU70" s="114">
        <v>8936.4056863498608</v>
      </c>
      <c r="AV70" s="114">
        <v>4834.7018867608176</v>
      </c>
      <c r="AW70" s="114">
        <v>1066.4330520855551</v>
      </c>
      <c r="AX70" s="114">
        <v>7709.8882988745818</v>
      </c>
      <c r="AY70" s="114">
        <v>2944.3105525835672</v>
      </c>
      <c r="AZ70" s="114">
        <v>887.84797432790981</v>
      </c>
      <c r="BA70" s="114">
        <v>1033.9130002005256</v>
      </c>
      <c r="BB70" s="114">
        <v>5565.723918524478</v>
      </c>
      <c r="BC70" s="114">
        <v>6801.2761526778604</v>
      </c>
      <c r="BD70" s="114">
        <v>7163.2313237217741</v>
      </c>
      <c r="BE70" s="114">
        <v>5993.5309365519352</v>
      </c>
      <c r="BF70" s="114">
        <v>9325.6130240864113</v>
      </c>
      <c r="BG70" s="114">
        <v>3196.8330205031534</v>
      </c>
      <c r="BH70" s="114">
        <v>8990.591150961689</v>
      </c>
      <c r="BI70" s="114">
        <v>5045.1883627327943</v>
      </c>
      <c r="BJ70" s="114">
        <v>4966.0774783629859</v>
      </c>
      <c r="BK70" s="114">
        <v>1870.0003158734019</v>
      </c>
      <c r="BL70" s="114">
        <v>8787.3389604121003</v>
      </c>
      <c r="BM70" s="114">
        <v>5538.1431989250232</v>
      </c>
      <c r="BN70" s="114">
        <v>1949.183052388277</v>
      </c>
      <c r="BO70" s="114" t="s">
        <v>237</v>
      </c>
      <c r="BP70" s="114">
        <v>5407.9296528530595</v>
      </c>
      <c r="BQ70" s="114">
        <v>4274.3349523445913</v>
      </c>
      <c r="BR70" s="114">
        <v>3373.6571253223892</v>
      </c>
      <c r="BS70" s="114">
        <v>888.60099415207662</v>
      </c>
      <c r="BT70" s="114">
        <v>694.49810749814174</v>
      </c>
      <c r="BU70" s="114">
        <v>502.73626002830912</v>
      </c>
      <c r="BV70" s="114">
        <v>4802.8395493534081</v>
      </c>
      <c r="BW70" s="114">
        <v>2100.2170419938961</v>
      </c>
      <c r="BX70" s="114">
        <v>7097.6325426629492</v>
      </c>
      <c r="BY70" s="114">
        <v>8989.2174201685466</v>
      </c>
      <c r="BZ70" s="114">
        <v>4600.0294139751732</v>
      </c>
      <c r="CA70" s="114">
        <v>4432.9640592881324</v>
      </c>
      <c r="CB70" s="114">
        <v>7310.6738433272458</v>
      </c>
      <c r="CC70" s="114">
        <v>7347.5638532468793</v>
      </c>
      <c r="CD70" s="114">
        <v>8794.6637060890844</v>
      </c>
      <c r="CE70" s="114">
        <v>1260.8457630970086</v>
      </c>
      <c r="CF70" s="114">
        <v>2243.9753422702674</v>
      </c>
      <c r="CG70" s="114">
        <v>7020.2323389559988</v>
      </c>
      <c r="CH70" s="114">
        <v>6616.6356758411957</v>
      </c>
      <c r="CI70" s="114">
        <v>11558.780283856484</v>
      </c>
      <c r="CJ70" s="114">
        <v>4228.1551889305701</v>
      </c>
      <c r="CK70" s="114">
        <v>3865.730937758462</v>
      </c>
      <c r="CL70" s="114">
        <v>785.11716690984395</v>
      </c>
      <c r="CM70" s="114">
        <v>3629.3845672702755</v>
      </c>
      <c r="CN70" s="114">
        <v>1106.3398815193009</v>
      </c>
      <c r="CO70" s="114">
        <v>628.21166929876529</v>
      </c>
      <c r="CP70" s="114">
        <v>7695.9414344269953</v>
      </c>
      <c r="CQ70" s="114">
        <v>9754.7397825713761</v>
      </c>
      <c r="CR70" s="114">
        <v>3363.367573011064</v>
      </c>
      <c r="CS70" s="114">
        <v>4781.802548280195</v>
      </c>
      <c r="CT70" s="114">
        <v>6432.8150606671743</v>
      </c>
      <c r="CU70" s="114">
        <v>4414.6032220616871</v>
      </c>
      <c r="CV70" s="114">
        <v>5456.365650391871</v>
      </c>
      <c r="CW70" s="114">
        <v>9270.4446076744207</v>
      </c>
      <c r="CX70" s="114">
        <v>1717.7665706181042</v>
      </c>
      <c r="CY70" s="114">
        <v>3201.5604094842602</v>
      </c>
      <c r="CZ70" s="114">
        <v>8991.9127789988543</v>
      </c>
      <c r="DA70" s="114">
        <v>4855.6426929320596</v>
      </c>
      <c r="DB70" s="114">
        <v>1998.8502657651991</v>
      </c>
      <c r="DC70" s="114">
        <v>553.89388493085687</v>
      </c>
      <c r="DD70" s="114">
        <v>1712.6123944861724</v>
      </c>
      <c r="DE70" s="114">
        <v>300.12156446973637</v>
      </c>
      <c r="DF70" s="114">
        <v>8691.6414457110204</v>
      </c>
      <c r="DG70" s="114">
        <v>7604.5902718511861</v>
      </c>
      <c r="DH70" s="114">
        <v>10424.595970247974</v>
      </c>
      <c r="DI70" s="114">
        <v>8288.4132567591951</v>
      </c>
      <c r="DJ70" s="114">
        <v>4120.6951997961887</v>
      </c>
      <c r="DK70" s="114">
        <v>1749.6045573113815</v>
      </c>
      <c r="DL70" s="114">
        <v>9378.0899460502824</v>
      </c>
      <c r="DM70" s="114">
        <v>9395.2057685988675</v>
      </c>
      <c r="DN70" s="114">
        <v>9217.4861641081243</v>
      </c>
      <c r="DO70" s="114">
        <v>1989.9897478203588</v>
      </c>
      <c r="DP70" s="114">
        <v>664.86033188076817</v>
      </c>
      <c r="DQ70" s="114">
        <v>7083.1210966890667</v>
      </c>
      <c r="DR70" s="114">
        <v>1486.9274319938747</v>
      </c>
      <c r="DS70" s="114">
        <v>1775.5765429585008</v>
      </c>
      <c r="DT70" s="114">
        <v>8766.3123171458519</v>
      </c>
      <c r="DU70" s="114">
        <v>8933.6787201097759</v>
      </c>
      <c r="DV70" s="114">
        <v>8015.5185681415815</v>
      </c>
      <c r="DW70" s="114">
        <v>7267.7333626746222</v>
      </c>
      <c r="DX70" s="114">
        <v>446.6737831343454</v>
      </c>
      <c r="DY70" s="114">
        <v>18587.580618050826</v>
      </c>
      <c r="DZ70" s="114">
        <v>18996.985530267226</v>
      </c>
      <c r="EA70" s="114">
        <v>8889.5859225764234</v>
      </c>
      <c r="EB70" s="114">
        <v>3917.418528838296</v>
      </c>
      <c r="EC70" s="114">
        <v>4412.7541378059113</v>
      </c>
      <c r="ED70" s="114">
        <v>8780.6392074209052</v>
      </c>
      <c r="EE70" s="114">
        <v>1651.251816121003</v>
      </c>
      <c r="EF70" s="114">
        <v>1339.3075422057045</v>
      </c>
      <c r="EG70" s="114">
        <v>5617.544983128224</v>
      </c>
      <c r="EH70" s="114">
        <v>6139.4797516386488</v>
      </c>
      <c r="EI70" s="114">
        <v>5961.0019844837743</v>
      </c>
      <c r="EJ70" s="114">
        <v>8630.5029493567872</v>
      </c>
      <c r="EK70" s="114">
        <v>10091.382978168507</v>
      </c>
      <c r="EL70" s="114">
        <v>10225.90302350212</v>
      </c>
      <c r="EM70" s="114">
        <v>10792.73614782147</v>
      </c>
      <c r="EN70" s="114">
        <v>1390.0380014074944</v>
      </c>
      <c r="EO70" s="114">
        <v>1441.8356165458054</v>
      </c>
      <c r="EP70" s="114">
        <v>4972.0590669240355</v>
      </c>
      <c r="EQ70" s="114">
        <v>1884.0515546855568</v>
      </c>
      <c r="ER70" s="114">
        <v>2516.5946104846248</v>
      </c>
      <c r="ES70" s="114">
        <v>6182.8147755458958</v>
      </c>
      <c r="ET70" s="114">
        <v>6727.8148895765762</v>
      </c>
      <c r="EU70" s="114">
        <v>6850.4941761489335</v>
      </c>
      <c r="EV70" s="114">
        <v>6964.1624339708733</v>
      </c>
      <c r="EW70" s="114">
        <v>953.21853798005748</v>
      </c>
      <c r="EX70" s="114">
        <v>5396.9071450484826</v>
      </c>
      <c r="EY70" s="114">
        <v>4681.5956082122621</v>
      </c>
      <c r="EZ70" s="114">
        <v>4197.63053838835</v>
      </c>
      <c r="FA70" s="114">
        <v>1456.0518596551872</v>
      </c>
      <c r="FB70" s="114">
        <v>4696.7814621574007</v>
      </c>
      <c r="FC70" s="114">
        <v>10746.660934831292</v>
      </c>
      <c r="FD70" s="114">
        <v>1099.1019038452164</v>
      </c>
      <c r="FE70" s="114">
        <v>954.03083694241809</v>
      </c>
      <c r="FF70" s="114">
        <v>6595.5578965654731</v>
      </c>
      <c r="FG70" s="114">
        <v>8617.5324771805754</v>
      </c>
      <c r="FH70" s="114">
        <v>9003.3393597572212</v>
      </c>
      <c r="FI70" s="114">
        <v>5593.9850472374974</v>
      </c>
      <c r="FJ70" s="114">
        <v>1020.6714861173965</v>
      </c>
      <c r="FK70" s="114">
        <v>791.14353943043238</v>
      </c>
      <c r="FL70" s="114">
        <v>8523.1374463348966</v>
      </c>
      <c r="FM70" s="114">
        <v>4600.7087701274477</v>
      </c>
      <c r="FN70" s="114">
        <v>7189.0086976724451</v>
      </c>
      <c r="FO70" s="114">
        <v>1571.1581393589468</v>
      </c>
      <c r="FP70" s="114">
        <v>437.47140306960267</v>
      </c>
      <c r="FQ70" s="114">
        <v>3279.1375115928431</v>
      </c>
      <c r="FR70" s="114">
        <v>9864.1698230060447</v>
      </c>
      <c r="FS70" s="114">
        <v>5299.0159564595315</v>
      </c>
      <c r="FT70" s="114">
        <v>7133.0347123330212</v>
      </c>
      <c r="FU70" s="114">
        <v>9475.5755744350699</v>
      </c>
      <c r="FV70" s="114">
        <v>13096.439511204837</v>
      </c>
      <c r="FW70" s="114">
        <v>4716.7247224433986</v>
      </c>
      <c r="FX70" s="114">
        <v>7196.9504113558023</v>
      </c>
      <c r="FY70" s="114">
        <v>1481.6374881154538</v>
      </c>
      <c r="FZ70" s="114">
        <v>2599.2416266521118</v>
      </c>
      <c r="GA70" s="114">
        <v>4523.4921753092294</v>
      </c>
      <c r="GB70" s="114">
        <v>6097.8064484060251</v>
      </c>
      <c r="GC70" s="114">
        <v>2029.5926949451143</v>
      </c>
      <c r="GD70" s="114">
        <v>5246.4423716137344</v>
      </c>
      <c r="GE70" s="114">
        <v>356.43056079522046</v>
      </c>
      <c r="GF70" s="114">
        <v>9104.9220166876039</v>
      </c>
      <c r="GG70" s="114">
        <v>5841.6467087738765</v>
      </c>
      <c r="GH70" s="114">
        <v>5535.7110598300396</v>
      </c>
      <c r="GI70" s="114">
        <v>6168.027463896733</v>
      </c>
      <c r="GJ70" s="114">
        <v>10885.332714478327</v>
      </c>
      <c r="GK70" s="114">
        <v>5165.4653658616517</v>
      </c>
      <c r="GL70" s="114">
        <v>7591.4813028982289</v>
      </c>
      <c r="GM70" s="114">
        <v>9197.8497275810278</v>
      </c>
      <c r="GN70" s="114">
        <v>5300.8020756539281</v>
      </c>
      <c r="GO70" s="114">
        <v>7542.5712692031384</v>
      </c>
      <c r="GP70" s="114">
        <v>7868.0049355863475</v>
      </c>
      <c r="GQ70" s="114">
        <v>10144.77957260266</v>
      </c>
      <c r="GR70" s="114">
        <v>16936.041381847059</v>
      </c>
      <c r="GS70" s="114">
        <v>488.4718523597009</v>
      </c>
      <c r="GT70" s="115">
        <v>8695.7118357095696</v>
      </c>
    </row>
    <row r="71" spans="2:202" x14ac:dyDescent="0.6">
      <c r="B71" s="106" t="s">
        <v>62</v>
      </c>
      <c r="C71" s="63" t="s">
        <v>458</v>
      </c>
      <c r="D71" s="113">
        <v>7263.7911857651161</v>
      </c>
      <c r="E71" s="114">
        <v>4072.1309364438566</v>
      </c>
      <c r="F71" s="114">
        <v>4743.8915178530642</v>
      </c>
      <c r="G71" s="114">
        <v>1064.1449953524457</v>
      </c>
      <c r="H71" s="114">
        <v>7993.7770228874397</v>
      </c>
      <c r="I71" s="114">
        <v>8180.7963423501305</v>
      </c>
      <c r="J71" s="114">
        <v>5673.498801810234</v>
      </c>
      <c r="K71" s="114">
        <v>14552.568082778094</v>
      </c>
      <c r="L71" s="114">
        <v>5365.0351775090858</v>
      </c>
      <c r="M71" s="114">
        <v>6029.8482701401381</v>
      </c>
      <c r="N71" s="114">
        <v>9639.1935856336167</v>
      </c>
      <c r="O71" s="114">
        <v>5250.046838199346</v>
      </c>
      <c r="P71" s="114">
        <v>9078.744804657339</v>
      </c>
      <c r="Q71" s="114">
        <v>7681.3172061267296</v>
      </c>
      <c r="R71" s="114">
        <v>6152.6568607203608</v>
      </c>
      <c r="S71" s="114">
        <v>5609.082417043277</v>
      </c>
      <c r="T71" s="114">
        <v>10802.180990934101</v>
      </c>
      <c r="U71" s="114">
        <v>1009.0816339831524</v>
      </c>
      <c r="V71" s="114">
        <v>9026.4175532950103</v>
      </c>
      <c r="W71" s="114">
        <v>8666.6591207717483</v>
      </c>
      <c r="X71" s="114">
        <v>4893.8199899494257</v>
      </c>
      <c r="Y71" s="114">
        <v>3260.5557059122748</v>
      </c>
      <c r="Z71" s="114">
        <v>6581.7408182851332</v>
      </c>
      <c r="AA71" s="114">
        <v>6221.4359126716017</v>
      </c>
      <c r="AB71" s="114">
        <v>11749.875252206706</v>
      </c>
      <c r="AC71" s="114">
        <v>4895.0181834579307</v>
      </c>
      <c r="AD71" s="114">
        <v>1763.0918096568146</v>
      </c>
      <c r="AE71" s="114">
        <v>2246.188520546134</v>
      </c>
      <c r="AF71" s="114">
        <v>3939.9766336666712</v>
      </c>
      <c r="AG71" s="114">
        <v>10573.330448722412</v>
      </c>
      <c r="AH71" s="114">
        <v>425.22268265446024</v>
      </c>
      <c r="AI71" s="114">
        <v>429.57450407617478</v>
      </c>
      <c r="AJ71" s="114">
        <v>9880.5079583429706</v>
      </c>
      <c r="AK71" s="114">
        <v>9571.7383245465226</v>
      </c>
      <c r="AL71" s="114">
        <v>1102.5057609952746</v>
      </c>
      <c r="AM71" s="114">
        <v>1442.9603942561723</v>
      </c>
      <c r="AN71" s="114">
        <v>9062.9095391018691</v>
      </c>
      <c r="AO71" s="114">
        <v>12088.306947727682</v>
      </c>
      <c r="AP71" s="114">
        <v>11433.043789752061</v>
      </c>
      <c r="AQ71" s="114">
        <v>9258.1374333109125</v>
      </c>
      <c r="AR71" s="114">
        <v>3962.1914895007612</v>
      </c>
      <c r="AS71" s="114">
        <v>843.42901554774062</v>
      </c>
      <c r="AT71" s="114">
        <v>810.42840821809875</v>
      </c>
      <c r="AU71" s="114">
        <v>10362.580052866344</v>
      </c>
      <c r="AV71" s="114">
        <v>1579.9780941541333</v>
      </c>
      <c r="AW71" s="114">
        <v>5069.6708034127196</v>
      </c>
      <c r="AX71" s="114">
        <v>10148.035159019943</v>
      </c>
      <c r="AY71" s="114">
        <v>4604.7629998143593</v>
      </c>
      <c r="AZ71" s="114">
        <v>5557.5374199325897</v>
      </c>
      <c r="BA71" s="114">
        <v>6139.8754470901567</v>
      </c>
      <c r="BB71" s="114">
        <v>3832.8339449898976</v>
      </c>
      <c r="BC71" s="114">
        <v>7910.3180510359207</v>
      </c>
      <c r="BD71" s="114">
        <v>8822.2966149861113</v>
      </c>
      <c r="BE71" s="114">
        <v>820.40362547151176</v>
      </c>
      <c r="BF71" s="114">
        <v>9741.8638057908593</v>
      </c>
      <c r="BG71" s="114">
        <v>4038.4430942907152</v>
      </c>
      <c r="BH71" s="114">
        <v>10905.136123770404</v>
      </c>
      <c r="BI71" s="114">
        <v>365.70872966706662</v>
      </c>
      <c r="BJ71" s="114">
        <v>3620.6194729399899</v>
      </c>
      <c r="BK71" s="114">
        <v>6689.7959765519818</v>
      </c>
      <c r="BL71" s="114">
        <v>3754.753527735787</v>
      </c>
      <c r="BM71" s="114">
        <v>3372.441053755022</v>
      </c>
      <c r="BN71" s="114">
        <v>6797.6906536731431</v>
      </c>
      <c r="BO71" s="114">
        <v>5407.9296528530595</v>
      </c>
      <c r="BP71" s="114" t="s">
        <v>237</v>
      </c>
      <c r="BQ71" s="114">
        <v>3176.3552448117762</v>
      </c>
      <c r="BR71" s="114">
        <v>5785.4952084425668</v>
      </c>
      <c r="BS71" s="114">
        <v>5799.6624679544457</v>
      </c>
      <c r="BT71" s="114">
        <v>5329.2848770484188</v>
      </c>
      <c r="BU71" s="114">
        <v>5544.5509613125396</v>
      </c>
      <c r="BV71" s="114">
        <v>1179.9610587680779</v>
      </c>
      <c r="BW71" s="114">
        <v>4399.0352729031356</v>
      </c>
      <c r="BX71" s="114">
        <v>7937.9814361701538</v>
      </c>
      <c r="BY71" s="114">
        <v>11021.250750880252</v>
      </c>
      <c r="BZ71" s="114">
        <v>2711.3458556004121</v>
      </c>
      <c r="CA71" s="114">
        <v>2999.3566647503162</v>
      </c>
      <c r="CB71" s="114">
        <v>7505.9881785993748</v>
      </c>
      <c r="CC71" s="114">
        <v>9097.9660694654285</v>
      </c>
      <c r="CD71" s="114">
        <v>10691.021800077548</v>
      </c>
      <c r="CE71" s="114">
        <v>5316.0667872575741</v>
      </c>
      <c r="CF71" s="114">
        <v>7531.0405195459443</v>
      </c>
      <c r="CG71" s="114">
        <v>7236.8327919366302</v>
      </c>
      <c r="CH71" s="114">
        <v>7841.0746861528769</v>
      </c>
      <c r="CI71" s="114">
        <v>10799.935952715145</v>
      </c>
      <c r="CJ71" s="114">
        <v>5847.0481458866443</v>
      </c>
      <c r="CK71" s="114">
        <v>5178.2005263555202</v>
      </c>
      <c r="CL71" s="114">
        <v>6059.0338643546684</v>
      </c>
      <c r="CM71" s="114">
        <v>5823.60908217424</v>
      </c>
      <c r="CN71" s="114">
        <v>4601.3322083308913</v>
      </c>
      <c r="CO71" s="114">
        <v>5027.5943507930142</v>
      </c>
      <c r="CP71" s="114">
        <v>9550.583571995383</v>
      </c>
      <c r="CQ71" s="114">
        <v>13528.624059946629</v>
      </c>
      <c r="CR71" s="114">
        <v>4444.788081703502</v>
      </c>
      <c r="CS71" s="114">
        <v>8080.9236790735586</v>
      </c>
      <c r="CT71" s="114">
        <v>3030.6646944338945</v>
      </c>
      <c r="CU71" s="114">
        <v>5223.2074206038378</v>
      </c>
      <c r="CV71" s="114">
        <v>7986.0302303135968</v>
      </c>
      <c r="CW71" s="114">
        <v>10321.364982439896</v>
      </c>
      <c r="CX71" s="114">
        <v>6397.5657743776901</v>
      </c>
      <c r="CY71" s="114">
        <v>4591.8533260089362</v>
      </c>
      <c r="CZ71" s="114">
        <v>3792.0198258028258</v>
      </c>
      <c r="DA71" s="114">
        <v>2286.5386082753462</v>
      </c>
      <c r="DB71" s="114">
        <v>3607.1263711966744</v>
      </c>
      <c r="DC71" s="114">
        <v>5207.2606798157631</v>
      </c>
      <c r="DD71" s="114">
        <v>6193.1211763427782</v>
      </c>
      <c r="DE71" s="114">
        <v>5470.2858254254515</v>
      </c>
      <c r="DF71" s="114">
        <v>4650.9112263781781</v>
      </c>
      <c r="DG71" s="114">
        <v>3101.5524426176125</v>
      </c>
      <c r="DH71" s="114">
        <v>10243.652640958604</v>
      </c>
      <c r="DI71" s="114">
        <v>7124.1330678335462</v>
      </c>
      <c r="DJ71" s="114">
        <v>2290.308795909511</v>
      </c>
      <c r="DK71" s="114">
        <v>3958.7682045937945</v>
      </c>
      <c r="DL71" s="114">
        <v>5694.9780493762491</v>
      </c>
      <c r="DM71" s="114">
        <v>5716.8517999575597</v>
      </c>
      <c r="DN71" s="114">
        <v>11922.230393655951</v>
      </c>
      <c r="DO71" s="114">
        <v>5536.9396275311819</v>
      </c>
      <c r="DP71" s="114">
        <v>4839.1198892578132</v>
      </c>
      <c r="DQ71" s="114">
        <v>10556.586347055809</v>
      </c>
      <c r="DR71" s="114">
        <v>4796.8968814479376</v>
      </c>
      <c r="DS71" s="114">
        <v>4112.9658225111907</v>
      </c>
      <c r="DT71" s="114">
        <v>3792.2208843297212</v>
      </c>
      <c r="DU71" s="114">
        <v>9673.3475608569261</v>
      </c>
      <c r="DV71" s="114">
        <v>2650.5840905772729</v>
      </c>
      <c r="DW71" s="114">
        <v>8610.0619607792705</v>
      </c>
      <c r="DX71" s="114">
        <v>5796.6928986411203</v>
      </c>
      <c r="DY71" s="114">
        <v>15678.880130662046</v>
      </c>
      <c r="DZ71" s="114">
        <v>15223.20144457795</v>
      </c>
      <c r="EA71" s="114">
        <v>10595.389836947754</v>
      </c>
      <c r="EB71" s="114">
        <v>1650.8294983834749</v>
      </c>
      <c r="EC71" s="114">
        <v>1001.8123789834544</v>
      </c>
      <c r="ED71" s="114">
        <v>12204.051618743737</v>
      </c>
      <c r="EE71" s="114">
        <v>4796.7695776597593</v>
      </c>
      <c r="EF71" s="114">
        <v>6594.6689749109164</v>
      </c>
      <c r="EG71" s="114">
        <v>5885.8488965832767</v>
      </c>
      <c r="EH71" s="114">
        <v>6782.5346862266751</v>
      </c>
      <c r="EI71" s="114">
        <v>7589.6837453335838</v>
      </c>
      <c r="EJ71" s="114">
        <v>9839.5546287887992</v>
      </c>
      <c r="EK71" s="114">
        <v>7672.4324069387158</v>
      </c>
      <c r="EL71" s="114">
        <v>9606.5697887488714</v>
      </c>
      <c r="EM71" s="114">
        <v>12337.875556114564</v>
      </c>
      <c r="EN71" s="114">
        <v>5872.132263660772</v>
      </c>
      <c r="EO71" s="114">
        <v>4640.07605644048</v>
      </c>
      <c r="EP71" s="114">
        <v>5299.0294693057549</v>
      </c>
      <c r="EQ71" s="114">
        <v>5170.2425548575875</v>
      </c>
      <c r="ER71" s="114">
        <v>6680.5312263433598</v>
      </c>
      <c r="ES71" s="114">
        <v>2319.4128852124113</v>
      </c>
      <c r="ET71" s="114">
        <v>8056.7115177988926</v>
      </c>
      <c r="EU71" s="114">
        <v>7828.2666393548398</v>
      </c>
      <c r="EV71" s="114">
        <v>7876.0988155566192</v>
      </c>
      <c r="EW71" s="114">
        <v>4824.2075880920565</v>
      </c>
      <c r="EX71" s="114">
        <v>319.563432971022</v>
      </c>
      <c r="EY71" s="114">
        <v>4817.1825022965013</v>
      </c>
      <c r="EZ71" s="114">
        <v>3313.860774207214</v>
      </c>
      <c r="FA71" s="114">
        <v>5041.248544950764</v>
      </c>
      <c r="FB71" s="114">
        <v>2641.2865826717975</v>
      </c>
      <c r="FC71" s="114">
        <v>10513.765690117096</v>
      </c>
      <c r="FD71" s="114">
        <v>5373.7107331645057</v>
      </c>
      <c r="FE71" s="114">
        <v>5115.7108274391021</v>
      </c>
      <c r="FF71" s="114">
        <v>4005.7709707121062</v>
      </c>
      <c r="FG71" s="114">
        <v>3502.2725096968816</v>
      </c>
      <c r="FH71" s="114">
        <v>12363.385882942179</v>
      </c>
      <c r="FI71" s="114">
        <v>2531.1885276887697</v>
      </c>
      <c r="FJ71" s="114">
        <v>4630.0791415584545</v>
      </c>
      <c r="FK71" s="114">
        <v>4629.2492114461857</v>
      </c>
      <c r="FL71" s="114">
        <v>7863.3335730200697</v>
      </c>
      <c r="FM71" s="114">
        <v>3038.8048175546328</v>
      </c>
      <c r="FN71" s="114">
        <v>7167.652541447068</v>
      </c>
      <c r="FO71" s="114">
        <v>6599.3672945746021</v>
      </c>
      <c r="FP71" s="114">
        <v>5154.1638229133587</v>
      </c>
      <c r="FQ71" s="114">
        <v>4627.3470485153412</v>
      </c>
      <c r="FR71" s="114">
        <v>12231.583965977446</v>
      </c>
      <c r="FS71" s="114">
        <v>7356.9628922945922</v>
      </c>
      <c r="FT71" s="114">
        <v>3422.5811633070107</v>
      </c>
      <c r="FU71" s="114">
        <v>10113.546190830799</v>
      </c>
      <c r="FV71" s="114">
        <v>12874.994734297723</v>
      </c>
      <c r="FW71" s="114">
        <v>1105.3335092944908</v>
      </c>
      <c r="FX71" s="114">
        <v>7901.2457395665151</v>
      </c>
      <c r="FY71" s="114">
        <v>4031.7690572024517</v>
      </c>
      <c r="FZ71" s="114">
        <v>4969.8586069569137</v>
      </c>
      <c r="GA71" s="114">
        <v>6467.4206440790076</v>
      </c>
      <c r="GB71" s="114">
        <v>2561.91703648767</v>
      </c>
      <c r="GC71" s="114">
        <v>5910.8821011765413</v>
      </c>
      <c r="GD71" s="114">
        <v>5526.3121807326652</v>
      </c>
      <c r="GE71" s="114">
        <v>5750.2143109805284</v>
      </c>
      <c r="GF71" s="114">
        <v>13357.89446850407</v>
      </c>
      <c r="GG71" s="114">
        <v>9422.3280328759665</v>
      </c>
      <c r="GH71" s="114">
        <v>9194.9542428141358</v>
      </c>
      <c r="GI71" s="114">
        <v>9668.2691429073257</v>
      </c>
      <c r="GJ71" s="114">
        <v>7790.6580367037623</v>
      </c>
      <c r="GK71" s="114">
        <v>7517.9779785179326</v>
      </c>
      <c r="GL71" s="114">
        <v>8450.5270453012472</v>
      </c>
      <c r="GM71" s="114">
        <v>10644.889095875535</v>
      </c>
      <c r="GN71" s="114">
        <v>4187.3827926923059</v>
      </c>
      <c r="GO71" s="114">
        <v>2700.815189756036</v>
      </c>
      <c r="GP71" s="114">
        <v>3088.4329424370235</v>
      </c>
      <c r="GQ71" s="114">
        <v>10807.015379428105</v>
      </c>
      <c r="GR71" s="114">
        <v>14327.553554483427</v>
      </c>
      <c r="GS71" s="114">
        <v>5240.7458967388047</v>
      </c>
      <c r="GT71" s="115">
        <v>3563.7943487508883</v>
      </c>
    </row>
    <row r="72" spans="2:202" x14ac:dyDescent="0.6">
      <c r="B72" s="106" t="s">
        <v>63</v>
      </c>
      <c r="C72" s="63" t="s">
        <v>459</v>
      </c>
      <c r="D72" s="113">
        <v>8774.4731869114312</v>
      </c>
      <c r="E72" s="114">
        <v>3223.3714787148569</v>
      </c>
      <c r="F72" s="114">
        <v>3651.2918405365663</v>
      </c>
      <c r="G72" s="114">
        <v>4063.3997039964052</v>
      </c>
      <c r="H72" s="114">
        <v>4884.1794358676207</v>
      </c>
      <c r="I72" s="114">
        <v>7161.3299581938545</v>
      </c>
      <c r="J72" s="114">
        <v>6581.7425905079936</v>
      </c>
      <c r="K72" s="114">
        <v>17395.797459214184</v>
      </c>
      <c r="L72" s="114">
        <v>4902.4141407244333</v>
      </c>
      <c r="M72" s="114">
        <v>7026.8480322936348</v>
      </c>
      <c r="N72" s="114">
        <v>6468.1129995387846</v>
      </c>
      <c r="O72" s="114">
        <v>7056.7998715129561</v>
      </c>
      <c r="P72" s="114">
        <v>11061.517771835765</v>
      </c>
      <c r="Q72" s="114">
        <v>4639.0164250620328</v>
      </c>
      <c r="R72" s="114">
        <v>5883.5378141670053</v>
      </c>
      <c r="S72" s="114">
        <v>4540.603036845825</v>
      </c>
      <c r="T72" s="114">
        <v>7683.6380429573874</v>
      </c>
      <c r="U72" s="114">
        <v>2204.8111930117734</v>
      </c>
      <c r="V72" s="114">
        <v>10843.237248054311</v>
      </c>
      <c r="W72" s="114">
        <v>6559.53888905029</v>
      </c>
      <c r="X72" s="114">
        <v>4712.5125017635482</v>
      </c>
      <c r="Y72" s="114">
        <v>6192.6399493964964</v>
      </c>
      <c r="Z72" s="114">
        <v>5252.6109941998357</v>
      </c>
      <c r="AA72" s="114">
        <v>4968.6884389880533</v>
      </c>
      <c r="AB72" s="114">
        <v>14296.763293105143</v>
      </c>
      <c r="AC72" s="114">
        <v>4992.3363416396978</v>
      </c>
      <c r="AD72" s="114">
        <v>1642.4197169633064</v>
      </c>
      <c r="AE72" s="114">
        <v>5351.3389767000817</v>
      </c>
      <c r="AF72" s="114">
        <v>772.82810564200349</v>
      </c>
      <c r="AG72" s="114">
        <v>12945.255389526899</v>
      </c>
      <c r="AH72" s="114">
        <v>3043.9389751106896</v>
      </c>
      <c r="AI72" s="114">
        <v>3236.2048464402724</v>
      </c>
      <c r="AJ72" s="114">
        <v>6831.2213547978772</v>
      </c>
      <c r="AK72" s="114">
        <v>6555.1172897285551</v>
      </c>
      <c r="AL72" s="114">
        <v>3943.8525183317261</v>
      </c>
      <c r="AM72" s="114">
        <v>3362.2152209016708</v>
      </c>
      <c r="AN72" s="114">
        <v>7712.0936027068756</v>
      </c>
      <c r="AO72" s="114">
        <v>13329.157589876693</v>
      </c>
      <c r="AP72" s="114">
        <v>12365.346865400894</v>
      </c>
      <c r="AQ72" s="114">
        <v>6393.0540155489807</v>
      </c>
      <c r="AR72" s="114">
        <v>7119.4178126662373</v>
      </c>
      <c r="AS72" s="114">
        <v>4011.3870451642492</v>
      </c>
      <c r="AT72" s="114">
        <v>3979.6695102675167</v>
      </c>
      <c r="AU72" s="114">
        <v>7361.1321159565041</v>
      </c>
      <c r="AV72" s="114">
        <v>1618.3778434792423</v>
      </c>
      <c r="AW72" s="114">
        <v>4676.5440412337448</v>
      </c>
      <c r="AX72" s="114">
        <v>6985.2273324645394</v>
      </c>
      <c r="AY72" s="114">
        <v>5519.3271755314699</v>
      </c>
      <c r="AZ72" s="114">
        <v>4942.2233059215232</v>
      </c>
      <c r="BA72" s="114">
        <v>5299.2784506575299</v>
      </c>
      <c r="BB72" s="114">
        <v>6359.8747040166863</v>
      </c>
      <c r="BC72" s="114">
        <v>4829.3143380246038</v>
      </c>
      <c r="BD72" s="114">
        <v>5699.9420727309325</v>
      </c>
      <c r="BE72" s="114">
        <v>3988.6026664573551</v>
      </c>
      <c r="BF72" s="114">
        <v>6983.2824821463901</v>
      </c>
      <c r="BG72" s="114">
        <v>5210.1767011754118</v>
      </c>
      <c r="BH72" s="114">
        <v>7832.6752083513229</v>
      </c>
      <c r="BI72" s="114">
        <v>2945.5519337904025</v>
      </c>
      <c r="BJ72" s="114">
        <v>5911.0233280625826</v>
      </c>
      <c r="BK72" s="114">
        <v>6113.0031870577659</v>
      </c>
      <c r="BL72" s="114">
        <v>6751.0580558881293</v>
      </c>
      <c r="BM72" s="114">
        <v>5988.4891342321698</v>
      </c>
      <c r="BN72" s="114">
        <v>6201.9549328086869</v>
      </c>
      <c r="BO72" s="114">
        <v>4274.3349523445913</v>
      </c>
      <c r="BP72" s="114">
        <v>3176.3552448117762</v>
      </c>
      <c r="BQ72" s="114" t="s">
        <v>237</v>
      </c>
      <c r="BR72" s="114">
        <v>6620.9166872108935</v>
      </c>
      <c r="BS72" s="114">
        <v>5076.434553866844</v>
      </c>
      <c r="BT72" s="114">
        <v>4655.6784911488512</v>
      </c>
      <c r="BU72" s="114">
        <v>4685.3401959756948</v>
      </c>
      <c r="BV72" s="114">
        <v>1996.5278424508222</v>
      </c>
      <c r="BW72" s="114">
        <v>4773.8392068874682</v>
      </c>
      <c r="BX72" s="114">
        <v>4914.9795757017882</v>
      </c>
      <c r="BY72" s="114">
        <v>7933.5947441283342</v>
      </c>
      <c r="BZ72" s="114">
        <v>545.42406712167417</v>
      </c>
      <c r="CA72" s="114">
        <v>228.15104088846559</v>
      </c>
      <c r="CB72" s="114">
        <v>4625.8769411564026</v>
      </c>
      <c r="CC72" s="114">
        <v>5974.4885225127528</v>
      </c>
      <c r="CD72" s="114">
        <v>7612.086413402315</v>
      </c>
      <c r="CE72" s="114">
        <v>5008.6722214531792</v>
      </c>
      <c r="CF72" s="114">
        <v>5665.1279747940016</v>
      </c>
      <c r="CG72" s="114">
        <v>9455.2566668013205</v>
      </c>
      <c r="CH72" s="114">
        <v>9647.8862444081642</v>
      </c>
      <c r="CI72" s="114">
        <v>13707.242468786526</v>
      </c>
      <c r="CJ72" s="114">
        <v>7146.8424269482784</v>
      </c>
      <c r="CK72" s="114">
        <v>6491.2230241311927</v>
      </c>
      <c r="CL72" s="114">
        <v>4531.5639855172876</v>
      </c>
      <c r="CM72" s="114">
        <v>2799.4890342957037</v>
      </c>
      <c r="CN72" s="114">
        <v>4190.4923854975859</v>
      </c>
      <c r="CO72" s="114">
        <v>4313.9109622262276</v>
      </c>
      <c r="CP72" s="114">
        <v>6430.6766478458958</v>
      </c>
      <c r="CQ72" s="114">
        <v>14020.8857120674</v>
      </c>
      <c r="CR72" s="114">
        <v>5651.4769400539444</v>
      </c>
      <c r="CS72" s="114">
        <v>8703.242263982278</v>
      </c>
      <c r="CT72" s="114">
        <v>6045.7694024047332</v>
      </c>
      <c r="CU72" s="114">
        <v>6824.0540154599184</v>
      </c>
      <c r="CV72" s="114">
        <v>9083.410876075739</v>
      </c>
      <c r="CW72" s="114">
        <v>12464.594707485636</v>
      </c>
      <c r="CX72" s="114">
        <v>5908.6747077102982</v>
      </c>
      <c r="CY72" s="114">
        <v>5668.6093188793166</v>
      </c>
      <c r="CZ72" s="114">
        <v>6654.4565724683316</v>
      </c>
      <c r="DA72" s="114">
        <v>1022.2801195252913</v>
      </c>
      <c r="DB72" s="114">
        <v>3676.0820511862498</v>
      </c>
      <c r="DC72" s="114">
        <v>4454.4633054731767</v>
      </c>
      <c r="DD72" s="114">
        <v>5822.370355874401</v>
      </c>
      <c r="DE72" s="114">
        <v>4508.4242135325494</v>
      </c>
      <c r="DF72" s="114">
        <v>7827.1394690643365</v>
      </c>
      <c r="DG72" s="114">
        <v>6274.710742903133</v>
      </c>
      <c r="DH72" s="114">
        <v>12916.355454625678</v>
      </c>
      <c r="DI72" s="114">
        <v>9870.8992072646961</v>
      </c>
      <c r="DJ72" s="114">
        <v>965.19889583369775</v>
      </c>
      <c r="DK72" s="114">
        <v>3944.1467769921055</v>
      </c>
      <c r="DL72" s="114">
        <v>8870.1344252381896</v>
      </c>
      <c r="DM72" s="114">
        <v>8892.010945685257</v>
      </c>
      <c r="DN72" s="114">
        <v>8774.5133182911723</v>
      </c>
      <c r="DO72" s="114">
        <v>5623.2496512523885</v>
      </c>
      <c r="DP72" s="114">
        <v>4077.644618310741</v>
      </c>
      <c r="DQ72" s="114">
        <v>11210.974291823681</v>
      </c>
      <c r="DR72" s="114">
        <v>4713.7587526350881</v>
      </c>
      <c r="DS72" s="114">
        <v>2500.0068187375696</v>
      </c>
      <c r="DT72" s="114">
        <v>6818.024744505783</v>
      </c>
      <c r="DU72" s="114">
        <v>11906.444014425784</v>
      </c>
      <c r="DV72" s="114">
        <v>5383.0061614204524</v>
      </c>
      <c r="DW72" s="114">
        <v>10439.683197014399</v>
      </c>
      <c r="DX72" s="114">
        <v>4715.9002479660476</v>
      </c>
      <c r="DY72" s="114">
        <v>17166.768306952694</v>
      </c>
      <c r="DZ72" s="114">
        <v>16739.436517288184</v>
      </c>
      <c r="EA72" s="114">
        <v>7547.2619910941603</v>
      </c>
      <c r="EB72" s="114">
        <v>1997.3497845496784</v>
      </c>
      <c r="EC72" s="114">
        <v>2628.6841471377702</v>
      </c>
      <c r="ED72" s="114">
        <v>12966.900442665903</v>
      </c>
      <c r="EE72" s="114">
        <v>4829.1044536051413</v>
      </c>
      <c r="EF72" s="114">
        <v>5598.7463652756142</v>
      </c>
      <c r="EG72" s="114">
        <v>7892.1714990002656</v>
      </c>
      <c r="EH72" s="114">
        <v>8744.5697480450344</v>
      </c>
      <c r="EI72" s="114">
        <v>9154.2015341877941</v>
      </c>
      <c r="EJ72" s="114">
        <v>6857.1254375037206</v>
      </c>
      <c r="EK72" s="114">
        <v>6153.3296345548151</v>
      </c>
      <c r="EL72" s="114">
        <v>7249.0353608105343</v>
      </c>
      <c r="EM72" s="114">
        <v>14405.532910865142</v>
      </c>
      <c r="EN72" s="114">
        <v>5449.3659093509077</v>
      </c>
      <c r="EO72" s="114">
        <v>2886.7386603128684</v>
      </c>
      <c r="EP72" s="114">
        <v>7167.131996834235</v>
      </c>
      <c r="EQ72" s="114">
        <v>5294.0805289842583</v>
      </c>
      <c r="ER72" s="114">
        <v>6585.5071602929165</v>
      </c>
      <c r="ES72" s="114">
        <v>5380.7434449353086</v>
      </c>
      <c r="ET72" s="114">
        <v>4946.6916959329601</v>
      </c>
      <c r="EU72" s="114">
        <v>4767.533487801742</v>
      </c>
      <c r="EV72" s="114">
        <v>4832.5484792103698</v>
      </c>
      <c r="EW72" s="114">
        <v>4338.0851441953109</v>
      </c>
      <c r="EX72" s="114">
        <v>2907.2591759594629</v>
      </c>
      <c r="EY72" s="114">
        <v>6673.4344170347049</v>
      </c>
      <c r="EZ72" s="114">
        <v>152.07876226533241</v>
      </c>
      <c r="FA72" s="114">
        <v>4913.3294227154129</v>
      </c>
      <c r="FB72" s="114">
        <v>656.52604418464819</v>
      </c>
      <c r="FC72" s="114">
        <v>13228.50415433446</v>
      </c>
      <c r="FD72" s="114">
        <v>4948.9255359854351</v>
      </c>
      <c r="FE72" s="114">
        <v>4642.1622774463403</v>
      </c>
      <c r="FF72" s="114">
        <v>6890.5027044185226</v>
      </c>
      <c r="FG72" s="114">
        <v>6463.8911779869513</v>
      </c>
      <c r="FH72" s="114">
        <v>13183.970687694895</v>
      </c>
      <c r="FI72" s="114">
        <v>5342.258597602884</v>
      </c>
      <c r="FJ72" s="114">
        <v>3254.3398281508253</v>
      </c>
      <c r="FK72" s="114">
        <v>3605.9896868073974</v>
      </c>
      <c r="FL72" s="114">
        <v>10502.849008749648</v>
      </c>
      <c r="FM72" s="114">
        <v>5247.0771260269994</v>
      </c>
      <c r="FN72" s="114">
        <v>4327.1287816875438</v>
      </c>
      <c r="FO72" s="114">
        <v>5840.9579006652775</v>
      </c>
      <c r="FP72" s="114">
        <v>4312.0219915426542</v>
      </c>
      <c r="FQ72" s="114">
        <v>5743.6066475835714</v>
      </c>
      <c r="FR72" s="114">
        <v>13777.28335618159</v>
      </c>
      <c r="FS72" s="114">
        <v>8655.7034680807938</v>
      </c>
      <c r="FT72" s="114">
        <v>6542.1693088679549</v>
      </c>
      <c r="FU72" s="114">
        <v>12435.108883296931</v>
      </c>
      <c r="FV72" s="114">
        <v>15799.204124345848</v>
      </c>
      <c r="FW72" s="114">
        <v>2086.7686053351308</v>
      </c>
      <c r="FX72" s="114">
        <v>4908.5077720613144</v>
      </c>
      <c r="FY72" s="114">
        <v>3691.9826732873594</v>
      </c>
      <c r="FZ72" s="114">
        <v>5590.1856939133859</v>
      </c>
      <c r="GA72" s="114">
        <v>7701.5029001714965</v>
      </c>
      <c r="GB72" s="114">
        <v>5556.7271308758045</v>
      </c>
      <c r="GC72" s="114">
        <v>5881.7899461987827</v>
      </c>
      <c r="GD72" s="114">
        <v>7463.0907748946838</v>
      </c>
      <c r="GE72" s="114">
        <v>4482.0859639661367</v>
      </c>
      <c r="GF72" s="114">
        <v>10242.53528974282</v>
      </c>
      <c r="GG72" s="114">
        <v>6334.9351775237437</v>
      </c>
      <c r="GH72" s="114">
        <v>6137.5074783660102</v>
      </c>
      <c r="GI72" s="114">
        <v>6554.6118330280142</v>
      </c>
      <c r="GJ72" s="114">
        <v>6767.4507946902477</v>
      </c>
      <c r="GK72" s="114">
        <v>8667.6605575185404</v>
      </c>
      <c r="GL72" s="114">
        <v>5460.2885307044144</v>
      </c>
      <c r="GM72" s="114">
        <v>12611.799925552148</v>
      </c>
      <c r="GN72" s="114">
        <v>6510.8616328077087</v>
      </c>
      <c r="GO72" s="114">
        <v>5840.5429185484863</v>
      </c>
      <c r="GP72" s="114">
        <v>6224.7012620828355</v>
      </c>
      <c r="GQ72" s="114">
        <v>13182.101973876999</v>
      </c>
      <c r="GR72" s="114">
        <v>17178.082798722815</v>
      </c>
      <c r="GS72" s="114">
        <v>4442.0526684064398</v>
      </c>
      <c r="GT72" s="115">
        <v>6507.5603757792369</v>
      </c>
    </row>
    <row r="73" spans="2:202" x14ac:dyDescent="0.6">
      <c r="B73" s="106" t="s">
        <v>64</v>
      </c>
      <c r="C73" s="63" t="s">
        <v>536</v>
      </c>
      <c r="D73" s="113">
        <v>2292.6340044810272</v>
      </c>
      <c r="E73" s="114">
        <v>3591.4298593924664</v>
      </c>
      <c r="F73" s="114">
        <v>3537.8668473887924</v>
      </c>
      <c r="G73" s="114">
        <v>6407.5681006161794</v>
      </c>
      <c r="H73" s="114">
        <v>10050.874447262877</v>
      </c>
      <c r="I73" s="114">
        <v>13664.772365481762</v>
      </c>
      <c r="J73" s="114">
        <v>148.75228230310026</v>
      </c>
      <c r="K73" s="114">
        <v>13684.040549774343</v>
      </c>
      <c r="L73" s="114">
        <v>2337.4104708848049</v>
      </c>
      <c r="M73" s="114">
        <v>443.93596825030113</v>
      </c>
      <c r="N73" s="114">
        <v>10496.9998516011</v>
      </c>
      <c r="O73" s="114">
        <v>1785.7966542973973</v>
      </c>
      <c r="P73" s="114">
        <v>4670.9254233078409</v>
      </c>
      <c r="Q73" s="114">
        <v>10165.632488666613</v>
      </c>
      <c r="R73" s="114">
        <v>1855.5825341388349</v>
      </c>
      <c r="S73" s="114">
        <v>3228.0492600802354</v>
      </c>
      <c r="T73" s="114">
        <v>11890.324440617689</v>
      </c>
      <c r="U73" s="114">
        <v>5706.2445842671659</v>
      </c>
      <c r="V73" s="114">
        <v>4357.5336784697747</v>
      </c>
      <c r="W73" s="114">
        <v>13062.183019052214</v>
      </c>
      <c r="X73" s="114">
        <v>2155.5341668766541</v>
      </c>
      <c r="Y73" s="114">
        <v>7580.9745593310608</v>
      </c>
      <c r="Z73" s="114">
        <v>11803.096907308318</v>
      </c>
      <c r="AA73" s="114">
        <v>11482.93217554036</v>
      </c>
      <c r="AB73" s="114">
        <v>8055.3557431202898</v>
      </c>
      <c r="AC73" s="114">
        <v>1760.775352095101</v>
      </c>
      <c r="AD73" s="114">
        <v>5497.2491927249384</v>
      </c>
      <c r="AE73" s="114">
        <v>5195.1834165991113</v>
      </c>
      <c r="AF73" s="114">
        <v>7072.0353398767938</v>
      </c>
      <c r="AG73" s="114">
        <v>6689.5224206868552</v>
      </c>
      <c r="AH73" s="114">
        <v>5407.7514934130049</v>
      </c>
      <c r="AI73" s="114">
        <v>5355.9440098216919</v>
      </c>
      <c r="AJ73" s="114">
        <v>9017.0595667143643</v>
      </c>
      <c r="AK73" s="114">
        <v>8679.7668445194158</v>
      </c>
      <c r="AL73" s="114">
        <v>4886.5597909456137</v>
      </c>
      <c r="AM73" s="114">
        <v>4366.6408038467825</v>
      </c>
      <c r="AN73" s="114">
        <v>14323.009323460774</v>
      </c>
      <c r="AO73" s="114">
        <v>6761.9004702123466</v>
      </c>
      <c r="AP73" s="114">
        <v>5884.9371789241468</v>
      </c>
      <c r="AQ73" s="114">
        <v>11993.246050748934</v>
      </c>
      <c r="AR73" s="114">
        <v>5876.0348317055177</v>
      </c>
      <c r="AS73" s="114">
        <v>5885.6667494930134</v>
      </c>
      <c r="AT73" s="114">
        <v>5872.0853115475065</v>
      </c>
      <c r="AU73" s="114">
        <v>12290.327611995664</v>
      </c>
      <c r="AV73" s="114">
        <v>6251.01108408656</v>
      </c>
      <c r="AW73" s="114">
        <v>2364.0165892057094</v>
      </c>
      <c r="AX73" s="114">
        <v>10986.198954559515</v>
      </c>
      <c r="AY73" s="114">
        <v>1206.6910985313611</v>
      </c>
      <c r="AZ73" s="114">
        <v>2516.1188094206741</v>
      </c>
      <c r="BA73" s="114">
        <v>2798.4476522831596</v>
      </c>
      <c r="BB73" s="114">
        <v>3382.2325013888508</v>
      </c>
      <c r="BC73" s="114">
        <v>10152.709248468222</v>
      </c>
      <c r="BD73" s="114">
        <v>10535.568641102496</v>
      </c>
      <c r="BE73" s="114">
        <v>5881.4030675239819</v>
      </c>
      <c r="BF73" s="114">
        <v>12688.067008398742</v>
      </c>
      <c r="BG73" s="114">
        <v>1747.1723137109668</v>
      </c>
      <c r="BH73" s="114">
        <v>12283.095365362438</v>
      </c>
      <c r="BI73" s="114">
        <v>5538.8825584959623</v>
      </c>
      <c r="BJ73" s="114">
        <v>2973.4320026390956</v>
      </c>
      <c r="BK73" s="114">
        <v>2415.2518296309081</v>
      </c>
      <c r="BL73" s="114">
        <v>7644.3487333435214</v>
      </c>
      <c r="BM73" s="114">
        <v>3653.0405002809293</v>
      </c>
      <c r="BN73" s="114">
        <v>2470.4188644882088</v>
      </c>
      <c r="BO73" s="114">
        <v>3373.6571253223892</v>
      </c>
      <c r="BP73" s="114">
        <v>5785.4952084425668</v>
      </c>
      <c r="BQ73" s="114">
        <v>6620.9166872108935</v>
      </c>
      <c r="BR73" s="114" t="s">
        <v>237</v>
      </c>
      <c r="BS73" s="114">
        <v>2637.3496753568447</v>
      </c>
      <c r="BT73" s="114">
        <v>2679.9472551191411</v>
      </c>
      <c r="BU73" s="114">
        <v>2908.2176716172135</v>
      </c>
      <c r="BV73" s="114">
        <v>5958.7000729062047</v>
      </c>
      <c r="BW73" s="114">
        <v>1850.1569992601608</v>
      </c>
      <c r="BX73" s="114">
        <v>10434.378923993298</v>
      </c>
      <c r="BY73" s="114">
        <v>12261.385057559146</v>
      </c>
      <c r="BZ73" s="114">
        <v>6678.8066674503943</v>
      </c>
      <c r="CA73" s="114">
        <v>6676.5973852052402</v>
      </c>
      <c r="CB73" s="114">
        <v>10567.967280935902</v>
      </c>
      <c r="CC73" s="114">
        <v>10714.866048244858</v>
      </c>
      <c r="CD73" s="114">
        <v>12100.495442646537</v>
      </c>
      <c r="CE73" s="114">
        <v>2114.5466974179199</v>
      </c>
      <c r="CF73" s="114">
        <v>4811.8715078290197</v>
      </c>
      <c r="CG73" s="114">
        <v>3657.9473182945762</v>
      </c>
      <c r="CH73" s="114">
        <v>3284.7060680405521</v>
      </c>
      <c r="CI73" s="114">
        <v>8193.1556889055064</v>
      </c>
      <c r="CJ73" s="114">
        <v>890.70170645694088</v>
      </c>
      <c r="CK73" s="114">
        <v>915.30434350641838</v>
      </c>
      <c r="CL73" s="114">
        <v>3941.8621033485088</v>
      </c>
      <c r="CM73" s="114">
        <v>6941.0692144572076</v>
      </c>
      <c r="CN73" s="114">
        <v>2667.345110847099</v>
      </c>
      <c r="CO73" s="114">
        <v>2861.9975215368822</v>
      </c>
      <c r="CP73" s="114">
        <v>11049.247216471202</v>
      </c>
      <c r="CQ73" s="114">
        <v>7863.9731135971142</v>
      </c>
      <c r="CR73" s="114">
        <v>1357.0793215600474</v>
      </c>
      <c r="CS73" s="114">
        <v>2305.799696695145</v>
      </c>
      <c r="CT73" s="114">
        <v>4805.5111255722941</v>
      </c>
      <c r="CU73" s="114">
        <v>1385.2844888002164</v>
      </c>
      <c r="CV73" s="114">
        <v>2466.4560900444585</v>
      </c>
      <c r="CW73" s="114">
        <v>6059.9001177427699</v>
      </c>
      <c r="CX73" s="114">
        <v>2227.6942827288431</v>
      </c>
      <c r="CY73" s="114">
        <v>1194.0931764433547</v>
      </c>
      <c r="CZ73" s="114">
        <v>8048.1651031907877</v>
      </c>
      <c r="DA73" s="114">
        <v>6678.3007715427966</v>
      </c>
      <c r="DB73" s="114">
        <v>2944.8385145607031</v>
      </c>
      <c r="DC73" s="114">
        <v>2846.5905343889003</v>
      </c>
      <c r="DD73" s="114">
        <v>2023.1677643964133</v>
      </c>
      <c r="DE73" s="114">
        <v>3088.8551884918934</v>
      </c>
      <c r="DF73" s="114">
        <v>6675.7587327650672</v>
      </c>
      <c r="DG73" s="114">
        <v>6266.7534615065342</v>
      </c>
      <c r="DH73" s="114">
        <v>7072.8055184648592</v>
      </c>
      <c r="DI73" s="114">
        <v>5052.2373248507902</v>
      </c>
      <c r="DJ73" s="114">
        <v>5972.4785015777825</v>
      </c>
      <c r="DK73" s="114">
        <v>2693.2559161047093</v>
      </c>
      <c r="DL73" s="114">
        <v>6967.9661034113878</v>
      </c>
      <c r="DM73" s="114">
        <v>6978.6368008669006</v>
      </c>
      <c r="DN73" s="114">
        <v>12301.282943497989</v>
      </c>
      <c r="DO73" s="114">
        <v>1388.6143855191865</v>
      </c>
      <c r="DP73" s="114">
        <v>3020.8484178502099</v>
      </c>
      <c r="DQ73" s="114">
        <v>4851.7700168218007</v>
      </c>
      <c r="DR73" s="114">
        <v>2082.8290813096046</v>
      </c>
      <c r="DS73" s="114">
        <v>4522.9106814021698</v>
      </c>
      <c r="DT73" s="114">
        <v>7556.1649610952099</v>
      </c>
      <c r="DU73" s="114">
        <v>5640.3231946803689</v>
      </c>
      <c r="DV73" s="114">
        <v>7636.0833779674804</v>
      </c>
      <c r="DW73" s="114">
        <v>3998.2729744202938</v>
      </c>
      <c r="DX73" s="114">
        <v>3218.9304319279399</v>
      </c>
      <c r="DY73" s="114">
        <v>15755.478229581611</v>
      </c>
      <c r="DZ73" s="114">
        <v>15890.873558885261</v>
      </c>
      <c r="EA73" s="114">
        <v>12216.909204499529</v>
      </c>
      <c r="EB73" s="114">
        <v>5152.3241476790272</v>
      </c>
      <c r="EC73" s="114">
        <v>5120.657549666108</v>
      </c>
      <c r="ED73" s="114">
        <v>6595.8676109363414</v>
      </c>
      <c r="EE73" s="114">
        <v>1923.9886273194509</v>
      </c>
      <c r="EF73" s="114">
        <v>3081.9164860520709</v>
      </c>
      <c r="EG73" s="114">
        <v>2385.8965916524903</v>
      </c>
      <c r="EH73" s="114">
        <v>2776.0574220739295</v>
      </c>
      <c r="EI73" s="114">
        <v>2664.3778973314293</v>
      </c>
      <c r="EJ73" s="114">
        <v>12001.605548124393</v>
      </c>
      <c r="EK73" s="114">
        <v>12765.794901910067</v>
      </c>
      <c r="EL73" s="114">
        <v>13497.248677324322</v>
      </c>
      <c r="EM73" s="114">
        <v>7837.3322304770909</v>
      </c>
      <c r="EN73" s="114">
        <v>2133.7307820916003</v>
      </c>
      <c r="EO73" s="114">
        <v>4509.4802641818951</v>
      </c>
      <c r="EP73" s="114">
        <v>1917.2815552367063</v>
      </c>
      <c r="EQ73" s="114">
        <v>1529.3988147239093</v>
      </c>
      <c r="ER73" s="114">
        <v>1669.4461765446781</v>
      </c>
      <c r="ES73" s="114">
        <v>5001.3650107537214</v>
      </c>
      <c r="ET73" s="114">
        <v>10092.044507365725</v>
      </c>
      <c r="EU73" s="114">
        <v>10192.001594903395</v>
      </c>
      <c r="EV73" s="114">
        <v>10303.284739281829</v>
      </c>
      <c r="EW73" s="114">
        <v>2634.1647876126285</v>
      </c>
      <c r="EX73" s="114">
        <v>5978.4675604887325</v>
      </c>
      <c r="EY73" s="114">
        <v>1900.8628686984741</v>
      </c>
      <c r="EZ73" s="114">
        <v>6618.1368329033457</v>
      </c>
      <c r="FA73" s="114">
        <v>1985.3589886138056</v>
      </c>
      <c r="FB73" s="114">
        <v>6728.2588889936496</v>
      </c>
      <c r="FC73" s="114">
        <v>7399.1685196818607</v>
      </c>
      <c r="FD73" s="114">
        <v>2274.6533642110589</v>
      </c>
      <c r="FE73" s="114">
        <v>2461.898737725</v>
      </c>
      <c r="FF73" s="114">
        <v>4382.8362214214276</v>
      </c>
      <c r="FG73" s="114">
        <v>7624.8135026248101</v>
      </c>
      <c r="FH73" s="114">
        <v>6788.2664756684317</v>
      </c>
      <c r="FI73" s="114">
        <v>4265.3498765713166</v>
      </c>
      <c r="FJ73" s="114">
        <v>3983.4264088591053</v>
      </c>
      <c r="FK73" s="114">
        <v>3493.8888870964056</v>
      </c>
      <c r="FL73" s="114">
        <v>5184.287430626011</v>
      </c>
      <c r="FM73" s="114">
        <v>3130.6812713050581</v>
      </c>
      <c r="FN73" s="114">
        <v>10396.67180008592</v>
      </c>
      <c r="FO73" s="114">
        <v>2692.1148078820402</v>
      </c>
      <c r="FP73" s="114">
        <v>3002.4455770009895</v>
      </c>
      <c r="FQ73" s="114">
        <v>1164.0642148360776</v>
      </c>
      <c r="FR73" s="114">
        <v>7161.1687338221573</v>
      </c>
      <c r="FS73" s="114">
        <v>2068.1631662438099</v>
      </c>
      <c r="FT73" s="114">
        <v>5390.2748349263184</v>
      </c>
      <c r="FU73" s="114">
        <v>6191.5822797688361</v>
      </c>
      <c r="FV73" s="114">
        <v>9859.6347335663322</v>
      </c>
      <c r="FW73" s="114">
        <v>5805.4037952879689</v>
      </c>
      <c r="FX73" s="114">
        <v>10522.747059343405</v>
      </c>
      <c r="FY73" s="114">
        <v>3002.9838815775393</v>
      </c>
      <c r="FZ73" s="114">
        <v>1031.2910953715461</v>
      </c>
      <c r="GA73" s="114">
        <v>1174.1363719249991</v>
      </c>
      <c r="GB73" s="114">
        <v>4745.9312118388034</v>
      </c>
      <c r="GC73" s="114">
        <v>1473.693060377376</v>
      </c>
      <c r="GD73" s="114">
        <v>2108.6620928651769</v>
      </c>
      <c r="GE73" s="114">
        <v>3528.8357837865756</v>
      </c>
      <c r="GF73" s="114">
        <v>11438.485876095003</v>
      </c>
      <c r="GG73" s="114">
        <v>8981.3264424386452</v>
      </c>
      <c r="GH73" s="114">
        <v>8680.2943935275689</v>
      </c>
      <c r="GI73" s="114">
        <v>9301.6555129469452</v>
      </c>
      <c r="GJ73" s="114">
        <v>13259.571549557983</v>
      </c>
      <c r="GK73" s="114">
        <v>2047.7434982095533</v>
      </c>
      <c r="GL73" s="114">
        <v>10945.221585260017</v>
      </c>
      <c r="GM73" s="114">
        <v>6089.7648730683231</v>
      </c>
      <c r="GN73" s="114">
        <v>2897.9589681391381</v>
      </c>
      <c r="GO73" s="114">
        <v>6526.0631849767924</v>
      </c>
      <c r="GP73" s="114">
        <v>6690.6271339787081</v>
      </c>
      <c r="GQ73" s="114">
        <v>6900.9563247891265</v>
      </c>
      <c r="GR73" s="114">
        <v>13612.947638573001</v>
      </c>
      <c r="GS73" s="114">
        <v>2904.4758089212123</v>
      </c>
      <c r="GT73" s="115">
        <v>7709.0680452299848</v>
      </c>
    </row>
    <row r="74" spans="2:202" x14ac:dyDescent="0.6">
      <c r="B74" s="106" t="s">
        <v>65</v>
      </c>
      <c r="C74" s="63" t="s">
        <v>300</v>
      </c>
      <c r="D74" s="113">
        <v>4801.1806142034984</v>
      </c>
      <c r="E74" s="114">
        <v>1937.6664978721481</v>
      </c>
      <c r="F74" s="114">
        <v>1425.5688895751475</v>
      </c>
      <c r="G74" s="114">
        <v>6760.6582631817519</v>
      </c>
      <c r="H74" s="114">
        <v>7501.4713766863078</v>
      </c>
      <c r="I74" s="114">
        <v>12125.705378485614</v>
      </c>
      <c r="J74" s="114">
        <v>2718.2895048442488</v>
      </c>
      <c r="K74" s="114">
        <v>16097.119310403728</v>
      </c>
      <c r="L74" s="114">
        <v>510.48224062285971</v>
      </c>
      <c r="M74" s="114">
        <v>3050.6045520834168</v>
      </c>
      <c r="N74" s="114">
        <v>7860.4979826680883</v>
      </c>
      <c r="O74" s="114">
        <v>4242.1837230646634</v>
      </c>
      <c r="P74" s="114">
        <v>7099.6833740284446</v>
      </c>
      <c r="Q74" s="114">
        <v>7679.7098945868647</v>
      </c>
      <c r="R74" s="114">
        <v>950.28442581023887</v>
      </c>
      <c r="S74" s="114">
        <v>657.37006765062699</v>
      </c>
      <c r="T74" s="114">
        <v>9262.1655621105328</v>
      </c>
      <c r="U74" s="114">
        <v>5217.8540625297119</v>
      </c>
      <c r="V74" s="114">
        <v>6725.7990785293559</v>
      </c>
      <c r="W74" s="114">
        <v>10853.700164462909</v>
      </c>
      <c r="X74" s="114">
        <v>1044.6318052315253</v>
      </c>
      <c r="Y74" s="114">
        <v>8617.9923691311797</v>
      </c>
      <c r="Z74" s="114">
        <v>10230.507470483346</v>
      </c>
      <c r="AA74" s="114">
        <v>9984.8101287029895</v>
      </c>
      <c r="AB74" s="114">
        <v>10401.465508897563</v>
      </c>
      <c r="AC74" s="114">
        <v>1324.3597585891405</v>
      </c>
      <c r="AD74" s="114">
        <v>4650.7201227765554</v>
      </c>
      <c r="AE74" s="114">
        <v>6346.5082826543176</v>
      </c>
      <c r="AF74" s="114">
        <v>5249.7695833229564</v>
      </c>
      <c r="AG74" s="114">
        <v>9097.4566126276859</v>
      </c>
      <c r="AH74" s="114">
        <v>5375.3118728016971</v>
      </c>
      <c r="AI74" s="114">
        <v>5429.1533629390997</v>
      </c>
      <c r="AJ74" s="114">
        <v>6477.1197693957092</v>
      </c>
      <c r="AK74" s="114">
        <v>6127.203987657389</v>
      </c>
      <c r="AL74" s="114">
        <v>5365.786104212908</v>
      </c>
      <c r="AM74" s="114">
        <v>4471.649843049272</v>
      </c>
      <c r="AN74" s="114">
        <v>12471.232604850913</v>
      </c>
      <c r="AO74" s="114">
        <v>8419.2377459061463</v>
      </c>
      <c r="AP74" s="114">
        <v>7398.6757248453214</v>
      </c>
      <c r="AQ74" s="114">
        <v>9438.9318105501516</v>
      </c>
      <c r="AR74" s="114">
        <v>7639.2459141036825</v>
      </c>
      <c r="AS74" s="114">
        <v>6299.716076266548</v>
      </c>
      <c r="AT74" s="114">
        <v>6272.7666216032358</v>
      </c>
      <c r="AU74" s="114">
        <v>9657.2349395752135</v>
      </c>
      <c r="AV74" s="114">
        <v>5456.5370596843095</v>
      </c>
      <c r="AW74" s="114">
        <v>774.95964218301094</v>
      </c>
      <c r="AX74" s="114">
        <v>8354.6160198700654</v>
      </c>
      <c r="AY74" s="114">
        <v>2481.398881117475</v>
      </c>
      <c r="AZ74" s="114">
        <v>259.15946786540167</v>
      </c>
      <c r="BA74" s="114">
        <v>350.92040240166739</v>
      </c>
      <c r="BB74" s="114">
        <v>5267.8828789660174</v>
      </c>
      <c r="BC74" s="114">
        <v>7625.3778056411611</v>
      </c>
      <c r="BD74" s="114">
        <v>7926.910401463063</v>
      </c>
      <c r="BE74" s="114">
        <v>6285.0747894609849</v>
      </c>
      <c r="BF74" s="114">
        <v>10129.531257378836</v>
      </c>
      <c r="BG74" s="114">
        <v>2878.290782388045</v>
      </c>
      <c r="BH74" s="114">
        <v>9649.7512567845442</v>
      </c>
      <c r="BI74" s="114">
        <v>5449.5888726763833</v>
      </c>
      <c r="BJ74" s="114">
        <v>4691.7881299683941</v>
      </c>
      <c r="BK74" s="114">
        <v>1039.3125365880981</v>
      </c>
      <c r="BL74" s="114">
        <v>8897.1369580243681</v>
      </c>
      <c r="BM74" s="114">
        <v>5324.1848402245841</v>
      </c>
      <c r="BN74" s="114">
        <v>1133.365136955344</v>
      </c>
      <c r="BO74" s="114">
        <v>888.60099415207662</v>
      </c>
      <c r="BP74" s="114">
        <v>5799.6624679544457</v>
      </c>
      <c r="BQ74" s="114">
        <v>5076.434553866844</v>
      </c>
      <c r="BR74" s="114">
        <v>2637.3496753568447</v>
      </c>
      <c r="BS74" s="114" t="s">
        <v>237</v>
      </c>
      <c r="BT74" s="114">
        <v>478.04537846634292</v>
      </c>
      <c r="BU74" s="114">
        <v>400.52584662883862</v>
      </c>
      <c r="BV74" s="114">
        <v>5361.7401776039706</v>
      </c>
      <c r="BW74" s="114">
        <v>1819.2872370800128</v>
      </c>
      <c r="BX74" s="114">
        <v>7931.882445733253</v>
      </c>
      <c r="BY74" s="114">
        <v>9632.7268565273171</v>
      </c>
      <c r="BZ74" s="114">
        <v>5358.2132366995365</v>
      </c>
      <c r="CA74" s="114">
        <v>5219.2506472598598</v>
      </c>
      <c r="CB74" s="114">
        <v>8175.1285937570519</v>
      </c>
      <c r="CC74" s="114">
        <v>8094.5062662812043</v>
      </c>
      <c r="CD74" s="114">
        <v>9464.7393190395596</v>
      </c>
      <c r="CE74" s="114">
        <v>694.98613101783337</v>
      </c>
      <c r="CF74" s="114">
        <v>2379.843470786634</v>
      </c>
      <c r="CG74" s="114">
        <v>6291.734453257307</v>
      </c>
      <c r="CH74" s="114">
        <v>5804.8174008419292</v>
      </c>
      <c r="CI74" s="114">
        <v>10756.94027440376</v>
      </c>
      <c r="CJ74" s="114">
        <v>3521.0100389088147</v>
      </c>
      <c r="CK74" s="114">
        <v>3263.7164248781619</v>
      </c>
      <c r="CL74" s="114">
        <v>1305.4565468944447</v>
      </c>
      <c r="CM74" s="114">
        <v>4491.452580768233</v>
      </c>
      <c r="CN74" s="114">
        <v>1198.6479017431316</v>
      </c>
      <c r="CO74" s="114">
        <v>815.69680074153894</v>
      </c>
      <c r="CP74" s="114">
        <v>8417.1916952161682</v>
      </c>
      <c r="CQ74" s="114">
        <v>8945.0832023253697</v>
      </c>
      <c r="CR74" s="114">
        <v>2925.7422604214803</v>
      </c>
      <c r="CS74" s="114">
        <v>3893.7585071686831</v>
      </c>
      <c r="CT74" s="114">
        <v>6330.2242313801671</v>
      </c>
      <c r="CU74" s="114">
        <v>3821.9835392734349</v>
      </c>
      <c r="CV74" s="114">
        <v>4585.7455924581045</v>
      </c>
      <c r="CW74" s="114">
        <v>8406.6356283946498</v>
      </c>
      <c r="CX74" s="114">
        <v>842.49727400565791</v>
      </c>
      <c r="CY74" s="114">
        <v>2731.3786202791853</v>
      </c>
      <c r="CZ74" s="114">
        <v>9162.939936842371</v>
      </c>
      <c r="DA74" s="114">
        <v>5568.0382963101065</v>
      </c>
      <c r="DB74" s="114">
        <v>2202.8193478607204</v>
      </c>
      <c r="DC74" s="114">
        <v>645.70123229865885</v>
      </c>
      <c r="DD74" s="114">
        <v>824.60062378945952</v>
      </c>
      <c r="DE74" s="114">
        <v>598.72283653617558</v>
      </c>
      <c r="DF74" s="114">
        <v>8538.2307167364634</v>
      </c>
      <c r="DG74" s="114">
        <v>7624.7710846584378</v>
      </c>
      <c r="DH74" s="114">
        <v>9609.9659546526382</v>
      </c>
      <c r="DI74" s="114">
        <v>7661.7525463182656</v>
      </c>
      <c r="DJ74" s="114">
        <v>4816.7354671567082</v>
      </c>
      <c r="DK74" s="114">
        <v>1865.5074304358557</v>
      </c>
      <c r="DL74" s="114">
        <v>9107.2351485854215</v>
      </c>
      <c r="DM74" s="114">
        <v>9122.3813402805463</v>
      </c>
      <c r="DN74" s="114">
        <v>9748.8067168548096</v>
      </c>
      <c r="DO74" s="114">
        <v>1264.9441215090681</v>
      </c>
      <c r="DP74" s="114">
        <v>1045.1340114575232</v>
      </c>
      <c r="DQ74" s="114">
        <v>6212.689585611889</v>
      </c>
      <c r="DR74" s="114">
        <v>1185.1139528783622</v>
      </c>
      <c r="DS74" s="114">
        <v>2586.8319245988446</v>
      </c>
      <c r="DT74" s="114">
        <v>8856.4941106573478</v>
      </c>
      <c r="DU74" s="114">
        <v>8092.7680233513729</v>
      </c>
      <c r="DV74" s="114">
        <v>8308.8718387799217</v>
      </c>
      <c r="DW74" s="114">
        <v>6427.0340535122668</v>
      </c>
      <c r="DX74" s="114">
        <v>592.4304149391744</v>
      </c>
      <c r="DY74" s="114">
        <v>17772.828883131144</v>
      </c>
      <c r="DZ74" s="114">
        <v>18130.733286913131</v>
      </c>
      <c r="EA74" s="114">
        <v>9579.5599501466422</v>
      </c>
      <c r="EB74" s="114">
        <v>4453.1802666468857</v>
      </c>
      <c r="EC74" s="114">
        <v>4839.1542385838184</v>
      </c>
      <c r="ED74" s="114">
        <v>7927.5399311382125</v>
      </c>
      <c r="EE74" s="114">
        <v>1292.7752431859092</v>
      </c>
      <c r="EF74" s="114">
        <v>824.63153065220854</v>
      </c>
      <c r="EG74" s="114">
        <v>4977.3756675474169</v>
      </c>
      <c r="EH74" s="114">
        <v>5410.6517719961357</v>
      </c>
      <c r="EI74" s="114">
        <v>5138.6814078243215</v>
      </c>
      <c r="EJ74" s="114">
        <v>9385.8395476273017</v>
      </c>
      <c r="EK74" s="114">
        <v>10974.783690584598</v>
      </c>
      <c r="EL74" s="114">
        <v>11077.249459366909</v>
      </c>
      <c r="EM74" s="114">
        <v>9904.3691012045547</v>
      </c>
      <c r="EN74" s="114">
        <v>528.08664165866696</v>
      </c>
      <c r="EO74" s="114">
        <v>2313.1688791028664</v>
      </c>
      <c r="EP74" s="114">
        <v>4389.7196413324273</v>
      </c>
      <c r="EQ74" s="114">
        <v>1300.8045853328326</v>
      </c>
      <c r="ER74" s="114">
        <v>1628.038709998531</v>
      </c>
      <c r="ES74" s="114">
        <v>6195.4704788832278</v>
      </c>
      <c r="ET74" s="114">
        <v>7537.3155693196095</v>
      </c>
      <c r="EU74" s="114">
        <v>7682.3810520387296</v>
      </c>
      <c r="EV74" s="114">
        <v>7797.3056651217648</v>
      </c>
      <c r="EW74" s="114">
        <v>975.50377361035896</v>
      </c>
      <c r="EX74" s="114">
        <v>5839.5989841175005</v>
      </c>
      <c r="EY74" s="114">
        <v>4172.388536291669</v>
      </c>
      <c r="EZ74" s="114">
        <v>5011.4934963138976</v>
      </c>
      <c r="FA74" s="114">
        <v>1013.0576446009337</v>
      </c>
      <c r="FB74" s="114">
        <v>5447.8782853575467</v>
      </c>
      <c r="FC74" s="114">
        <v>9927.3287389704674</v>
      </c>
      <c r="FD74" s="114">
        <v>540.22354866133674</v>
      </c>
      <c r="FE74" s="114">
        <v>700.47251924436159</v>
      </c>
      <c r="FF74" s="114">
        <v>6326.4632512792323</v>
      </c>
      <c r="FG74" s="114">
        <v>8764.6281621035359</v>
      </c>
      <c r="FH74" s="114">
        <v>8149.1074840446963</v>
      </c>
      <c r="FI74" s="114">
        <v>5538.5608016997812</v>
      </c>
      <c r="FJ74" s="114">
        <v>1846.7855009220059</v>
      </c>
      <c r="FK74" s="114">
        <v>1473.804830500254</v>
      </c>
      <c r="FL74" s="114">
        <v>7821.6294873279903</v>
      </c>
      <c r="FM74" s="114">
        <v>4445.560599037437</v>
      </c>
      <c r="FN74" s="114">
        <v>8063.6017542736399</v>
      </c>
      <c r="FO74" s="114">
        <v>822.98478095337464</v>
      </c>
      <c r="FP74" s="114">
        <v>769.0450915242119</v>
      </c>
      <c r="FQ74" s="114">
        <v>2797.564396963829</v>
      </c>
      <c r="FR74" s="114">
        <v>8979.3988656895672</v>
      </c>
      <c r="FS74" s="114">
        <v>4465.2421240278873</v>
      </c>
      <c r="FT74" s="114">
        <v>7021.2430654807667</v>
      </c>
      <c r="FU74" s="114">
        <v>8629.317202273447</v>
      </c>
      <c r="FV74" s="114">
        <v>12226.284210548563</v>
      </c>
      <c r="FW74" s="114">
        <v>5255.5393469638475</v>
      </c>
      <c r="FX74" s="114">
        <v>8037.2737984394798</v>
      </c>
      <c r="FY74" s="114">
        <v>1774.0666991447038</v>
      </c>
      <c r="FZ74" s="114">
        <v>2044.3997122358471</v>
      </c>
      <c r="GA74" s="114">
        <v>3743.2438172188754</v>
      </c>
      <c r="GB74" s="114">
        <v>6059.4064696044334</v>
      </c>
      <c r="GC74" s="114">
        <v>1201.7438965606771</v>
      </c>
      <c r="GD74" s="114">
        <v>4640.6263585313409</v>
      </c>
      <c r="GE74" s="114">
        <v>918.58658834536175</v>
      </c>
      <c r="GF74" s="114">
        <v>9322.2451999161822</v>
      </c>
      <c r="GG74" s="114">
        <v>6386.296293141585</v>
      </c>
      <c r="GH74" s="114">
        <v>6081.8215633335358</v>
      </c>
      <c r="GI74" s="114">
        <v>6710.6607446135622</v>
      </c>
      <c r="GJ74" s="114">
        <v>11752.672699120705</v>
      </c>
      <c r="GK74" s="114">
        <v>4313.0676306320947</v>
      </c>
      <c r="GL74" s="114">
        <v>8410.7456063568388</v>
      </c>
      <c r="GM74" s="114">
        <v>8320.0331064509901</v>
      </c>
      <c r="GN74" s="114">
        <v>4928.1123459164082</v>
      </c>
      <c r="GO74" s="114">
        <v>7650.8466819731702</v>
      </c>
      <c r="GP74" s="114">
        <v>7941.6802880669675</v>
      </c>
      <c r="GQ74" s="114">
        <v>9284.989824393022</v>
      </c>
      <c r="GR74" s="114">
        <v>16075.442479829459</v>
      </c>
      <c r="GS74" s="114">
        <v>642.85867480710306</v>
      </c>
      <c r="GT74" s="115">
        <v>8846.6854750318198</v>
      </c>
    </row>
    <row r="75" spans="2:202" x14ac:dyDescent="0.6">
      <c r="B75" s="106" t="s">
        <v>65</v>
      </c>
      <c r="C75" s="63" t="s">
        <v>545</v>
      </c>
      <c r="D75" s="113">
        <v>4927.5008797006176</v>
      </c>
      <c r="E75" s="114">
        <v>1476.4287771136392</v>
      </c>
      <c r="F75" s="114">
        <v>1030.7261753986061</v>
      </c>
      <c r="G75" s="114">
        <v>6299.4209427338446</v>
      </c>
      <c r="H75" s="114">
        <v>7377.3898189168212</v>
      </c>
      <c r="I75" s="114">
        <v>11755.615985224093</v>
      </c>
      <c r="J75" s="114">
        <v>2736.8572910519088</v>
      </c>
      <c r="K75" s="114">
        <v>16313.06498520467</v>
      </c>
      <c r="L75" s="114">
        <v>344.18334014525192</v>
      </c>
      <c r="M75" s="114">
        <v>3114.8458175439555</v>
      </c>
      <c r="N75" s="114">
        <v>7877.2790015558958</v>
      </c>
      <c r="O75" s="114">
        <v>4149.9884807923454</v>
      </c>
      <c r="P75" s="114">
        <v>7271.7334118976232</v>
      </c>
      <c r="Q75" s="114">
        <v>7516.6459353711498</v>
      </c>
      <c r="R75" s="114">
        <v>1252.1048283938151</v>
      </c>
      <c r="S75" s="114">
        <v>595.63320626017833</v>
      </c>
      <c r="T75" s="114">
        <v>9301.8060563969429</v>
      </c>
      <c r="U75" s="114">
        <v>4739.8119258011848</v>
      </c>
      <c r="V75" s="114">
        <v>6916.9016042478288</v>
      </c>
      <c r="W75" s="114">
        <v>10600.78877093118</v>
      </c>
      <c r="X75" s="114">
        <v>728.23265156001526</v>
      </c>
      <c r="Y75" s="114">
        <v>8191.0377804503396</v>
      </c>
      <c r="Z75" s="114">
        <v>9851.103551455024</v>
      </c>
      <c r="AA75" s="114">
        <v>9593.869729938493</v>
      </c>
      <c r="AB75" s="114">
        <v>10618.157890901452</v>
      </c>
      <c r="AC75" s="114">
        <v>1105.1550790170336</v>
      </c>
      <c r="AD75" s="114">
        <v>4176.1296913291508</v>
      </c>
      <c r="AE75" s="114">
        <v>5954.4612271356273</v>
      </c>
      <c r="AF75" s="114">
        <v>4872.6648558630077</v>
      </c>
      <c r="AG75" s="114">
        <v>9286.1074400029593</v>
      </c>
      <c r="AH75" s="114">
        <v>4905.5042864964607</v>
      </c>
      <c r="AI75" s="114">
        <v>4963.2461884523937</v>
      </c>
      <c r="AJ75" s="114">
        <v>6625.5708664244576</v>
      </c>
      <c r="AK75" s="114">
        <v>6269.5143084814981</v>
      </c>
      <c r="AL75" s="114">
        <v>4924.4874260466277</v>
      </c>
      <c r="AM75" s="114">
        <v>4016.646917405224</v>
      </c>
      <c r="AN75" s="114">
        <v>12152.556647052041</v>
      </c>
      <c r="AO75" s="114">
        <v>8776.7056496366586</v>
      </c>
      <c r="AP75" s="114">
        <v>7767.9628743461053</v>
      </c>
      <c r="AQ75" s="114">
        <v>9320.5740121969211</v>
      </c>
      <c r="AR75" s="114">
        <v>7315.1085260334366</v>
      </c>
      <c r="AS75" s="114">
        <v>5844.9118771303411</v>
      </c>
      <c r="AT75" s="114">
        <v>5817.3859998684393</v>
      </c>
      <c r="AU75" s="114">
        <v>9629.454779920261</v>
      </c>
      <c r="AV75" s="114">
        <v>4983.4982055959335</v>
      </c>
      <c r="AW75" s="114">
        <v>422.2716719247984</v>
      </c>
      <c r="AX75" s="114">
        <v>8389.6125688324337</v>
      </c>
      <c r="AY75" s="114">
        <v>2298.0169969833801</v>
      </c>
      <c r="AZ75" s="114">
        <v>286.72965791345553</v>
      </c>
      <c r="BA75" s="114">
        <v>810.59834680145309</v>
      </c>
      <c r="BB75" s="114">
        <v>5007.0169502868057</v>
      </c>
      <c r="BC75" s="114">
        <v>7486.4567247783425</v>
      </c>
      <c r="BD75" s="114">
        <v>7857.6753620536483</v>
      </c>
      <c r="BE75" s="114">
        <v>5829.7744965567981</v>
      </c>
      <c r="BF75" s="114">
        <v>10014.91857203455</v>
      </c>
      <c r="BG75" s="114">
        <v>2613.4635905971745</v>
      </c>
      <c r="BH75" s="114">
        <v>9674.4965616704576</v>
      </c>
      <c r="BI75" s="114">
        <v>4977.4799147907606</v>
      </c>
      <c r="BJ75" s="114">
        <v>4416.8577930792471</v>
      </c>
      <c r="BK75" s="114">
        <v>1491.3732555209235</v>
      </c>
      <c r="BL75" s="114">
        <v>8489.2046609030585</v>
      </c>
      <c r="BM75" s="114">
        <v>5023.7699145763581</v>
      </c>
      <c r="BN75" s="114">
        <v>1590.8605954655093</v>
      </c>
      <c r="BO75" s="114">
        <v>694.49810749814174</v>
      </c>
      <c r="BP75" s="114">
        <v>5329.2848770484188</v>
      </c>
      <c r="BQ75" s="114">
        <v>4655.6784911488512</v>
      </c>
      <c r="BR75" s="114">
        <v>2679.9472551191411</v>
      </c>
      <c r="BS75" s="114">
        <v>478.04537846634292</v>
      </c>
      <c r="BT75" s="114" t="s">
        <v>237</v>
      </c>
      <c r="BU75" s="114">
        <v>304.58511830644699</v>
      </c>
      <c r="BV75" s="114">
        <v>4884.3445249393917</v>
      </c>
      <c r="BW75" s="114">
        <v>1517.8360212340554</v>
      </c>
      <c r="BX75" s="114">
        <v>7778.5751633530826</v>
      </c>
      <c r="BY75" s="114">
        <v>9669.7593344683282</v>
      </c>
      <c r="BZ75" s="114">
        <v>4915.9508018024771</v>
      </c>
      <c r="CA75" s="114">
        <v>4789.6028744885125</v>
      </c>
      <c r="CB75" s="114">
        <v>7970.4017772549205</v>
      </c>
      <c r="CC75" s="114">
        <v>8041.891277012669</v>
      </c>
      <c r="CD75" s="114">
        <v>9480.5641538756608</v>
      </c>
      <c r="CE75" s="114">
        <v>566.34794040884196</v>
      </c>
      <c r="CF75" s="114">
        <v>2661.8795873229014</v>
      </c>
      <c r="CG75" s="114">
        <v>6325.924123304374</v>
      </c>
      <c r="CH75" s="114">
        <v>5932.1823647043475</v>
      </c>
      <c r="CI75" s="114">
        <v>10868.622976656181</v>
      </c>
      <c r="CJ75" s="114">
        <v>3533.9692730449433</v>
      </c>
      <c r="CK75" s="114">
        <v>3185.0375224409786</v>
      </c>
      <c r="CL75" s="114">
        <v>1366.3180434184219</v>
      </c>
      <c r="CM75" s="114">
        <v>4298.0145211239351</v>
      </c>
      <c r="CN75" s="114">
        <v>735.45412962545515</v>
      </c>
      <c r="CO75" s="114">
        <v>348.31881416903155</v>
      </c>
      <c r="CP75" s="114">
        <v>8388.6710244711849</v>
      </c>
      <c r="CQ75" s="114">
        <v>9373.6499721560831</v>
      </c>
      <c r="CR75" s="114">
        <v>2730.0071018876515</v>
      </c>
      <c r="CS75" s="114">
        <v>4195.4045165255638</v>
      </c>
      <c r="CT75" s="114">
        <v>5986.933207845188</v>
      </c>
      <c r="CU75" s="114">
        <v>3737.6415767775229</v>
      </c>
      <c r="CV75" s="114">
        <v>4815.5951851735344</v>
      </c>
      <c r="CW75" s="114">
        <v>8614.2051182668001</v>
      </c>
      <c r="CX75" s="114">
        <v>1258.1597235491331</v>
      </c>
      <c r="CY75" s="114">
        <v>2554.9758028277001</v>
      </c>
      <c r="CZ75" s="114">
        <v>8738.9893825636027</v>
      </c>
      <c r="DA75" s="114">
        <v>5110.7903258791303</v>
      </c>
      <c r="DB75" s="114">
        <v>1744.1346543560335</v>
      </c>
      <c r="DC75" s="114">
        <v>206.8092893229045</v>
      </c>
      <c r="DD75" s="114">
        <v>1171.0366885192857</v>
      </c>
      <c r="DE75" s="114">
        <v>425.28310285747375</v>
      </c>
      <c r="DF75" s="114">
        <v>8221.3250284436072</v>
      </c>
      <c r="DG75" s="114">
        <v>7241.3804364842554</v>
      </c>
      <c r="DH75" s="114">
        <v>9738.220598650074</v>
      </c>
      <c r="DI75" s="114">
        <v>7609.3671574909849</v>
      </c>
      <c r="DJ75" s="114">
        <v>4357.2368692096979</v>
      </c>
      <c r="DK75" s="114">
        <v>1418.3796889699945</v>
      </c>
      <c r="DL75" s="114">
        <v>8843.8161333801327</v>
      </c>
      <c r="DM75" s="114">
        <v>8859.9333286451947</v>
      </c>
      <c r="DN75" s="114">
        <v>9865.3318804857136</v>
      </c>
      <c r="DO75" s="114">
        <v>1299.6928182919169</v>
      </c>
      <c r="DP75" s="114">
        <v>584.92427611701726</v>
      </c>
      <c r="DQ75" s="114">
        <v>6589.3399734160339</v>
      </c>
      <c r="DR75" s="114">
        <v>872.08190668476027</v>
      </c>
      <c r="DS75" s="114">
        <v>2190.7257292010554</v>
      </c>
      <c r="DT75" s="114">
        <v>8454.1606487038243</v>
      </c>
      <c r="DU75" s="114">
        <v>8259.644880895321</v>
      </c>
      <c r="DV75" s="114">
        <v>7856.4911989829034</v>
      </c>
      <c r="DW75" s="114">
        <v>6595.4206183154829</v>
      </c>
      <c r="DX75" s="114">
        <v>676.745789922781</v>
      </c>
      <c r="DY75" s="114">
        <v>18159.686144014839</v>
      </c>
      <c r="DZ75" s="114">
        <v>18457.126948829467</v>
      </c>
      <c r="EA75" s="114">
        <v>9578.912912540929</v>
      </c>
      <c r="EB75" s="114">
        <v>3975.4721299575795</v>
      </c>
      <c r="EC75" s="114">
        <v>4364.4493455405345</v>
      </c>
      <c r="ED75" s="114">
        <v>8323.7583205221508</v>
      </c>
      <c r="EE75" s="114">
        <v>1019.0919140045398</v>
      </c>
      <c r="EF75" s="114">
        <v>1271.4020945108782</v>
      </c>
      <c r="EG75" s="114">
        <v>4932.7119241308046</v>
      </c>
      <c r="EH75" s="114">
        <v>5445.0582828075731</v>
      </c>
      <c r="EI75" s="114">
        <v>5281.2146715256822</v>
      </c>
      <c r="EJ75" s="114">
        <v>9324.9967553798815</v>
      </c>
      <c r="EK75" s="114">
        <v>10633.973710747443</v>
      </c>
      <c r="EL75" s="114">
        <v>10893.942970832351</v>
      </c>
      <c r="EM75" s="114">
        <v>10196.784921836417</v>
      </c>
      <c r="EN75" s="114">
        <v>803.98451760527132</v>
      </c>
      <c r="EO75" s="114">
        <v>1982.7461381118258</v>
      </c>
      <c r="EP75" s="114">
        <v>4299.0627196984087</v>
      </c>
      <c r="EQ75" s="114">
        <v>1194.8025100032671</v>
      </c>
      <c r="ER75" s="114">
        <v>1959.8111184020499</v>
      </c>
      <c r="ES75" s="114">
        <v>5810.5872939505825</v>
      </c>
      <c r="ET75" s="114">
        <v>7417.19361351922</v>
      </c>
      <c r="EU75" s="114">
        <v>7532.6772574091901</v>
      </c>
      <c r="EV75" s="114">
        <v>7645.7104710697467</v>
      </c>
      <c r="EW75" s="114">
        <v>512.85776214269822</v>
      </c>
      <c r="EX75" s="114">
        <v>5364.6825806379502</v>
      </c>
      <c r="EY75" s="114">
        <v>4029.5192280495962</v>
      </c>
      <c r="EZ75" s="114">
        <v>4598.1583534938591</v>
      </c>
      <c r="FA75" s="114">
        <v>785.97059284339491</v>
      </c>
      <c r="FB75" s="114">
        <v>5002.746037841719</v>
      </c>
      <c r="FC75" s="114">
        <v>10061.564372630104</v>
      </c>
      <c r="FD75" s="114">
        <v>407.32980956727641</v>
      </c>
      <c r="FE75" s="114">
        <v>312.30137957512733</v>
      </c>
      <c r="FF75" s="114">
        <v>6055.1498881682164</v>
      </c>
      <c r="FG75" s="114">
        <v>8346.1632324673719</v>
      </c>
      <c r="FH75" s="114">
        <v>8543.6742627109579</v>
      </c>
      <c r="FI75" s="114">
        <v>5174.8371371674102</v>
      </c>
      <c r="FJ75" s="114">
        <v>1480.6512443312668</v>
      </c>
      <c r="FK75" s="114">
        <v>1054.5371313316891</v>
      </c>
      <c r="FL75" s="114">
        <v>7831.1728985116697</v>
      </c>
      <c r="FM75" s="114">
        <v>4115.5981512586313</v>
      </c>
      <c r="FN75" s="114">
        <v>7835.6898970491193</v>
      </c>
      <c r="FO75" s="114">
        <v>1300.1660780843417</v>
      </c>
      <c r="FP75" s="114">
        <v>367.77690362543927</v>
      </c>
      <c r="FQ75" s="114">
        <v>2629.2218491105123</v>
      </c>
      <c r="FR75" s="114">
        <v>9315.1119301612634</v>
      </c>
      <c r="FS75" s="114">
        <v>4625.8705406125118</v>
      </c>
      <c r="FT75" s="114">
        <v>6683.6255465472486</v>
      </c>
      <c r="FU75" s="114">
        <v>8804.3025215062826</v>
      </c>
      <c r="FV75" s="114">
        <v>12442.891588376044</v>
      </c>
      <c r="FW75" s="114">
        <v>4777.6472170146862</v>
      </c>
      <c r="FX75" s="114">
        <v>7874.8524745499535</v>
      </c>
      <c r="FY75" s="114">
        <v>1299.3448396422827</v>
      </c>
      <c r="FZ75" s="114">
        <v>1922.5519584694</v>
      </c>
      <c r="GA75" s="114">
        <v>3833.6224643092096</v>
      </c>
      <c r="GB75" s="114">
        <v>5691.4541143317228</v>
      </c>
      <c r="GC75" s="114">
        <v>1375.4142695018247</v>
      </c>
      <c r="GD75" s="114">
        <v>4568.2641661460011</v>
      </c>
      <c r="GE75" s="114">
        <v>908.13812248160582</v>
      </c>
      <c r="GF75" s="114">
        <v>9606.7213523026458</v>
      </c>
      <c r="GG75" s="114">
        <v>6488.6489006765087</v>
      </c>
      <c r="GH75" s="114">
        <v>6182.576826850046</v>
      </c>
      <c r="GI75" s="114">
        <v>6814.9668571818565</v>
      </c>
      <c r="GJ75" s="114">
        <v>11375.313451530012</v>
      </c>
      <c r="GK75" s="114">
        <v>4505.3335135810066</v>
      </c>
      <c r="GL75" s="114">
        <v>8277.6835344697611</v>
      </c>
      <c r="GM75" s="114">
        <v>8562.129435177374</v>
      </c>
      <c r="GN75" s="114">
        <v>4705.2314767912785</v>
      </c>
      <c r="GO75" s="114">
        <v>7240.7077473603713</v>
      </c>
      <c r="GP75" s="114">
        <v>7542.2781847584938</v>
      </c>
      <c r="GQ75" s="114">
        <v>9483.4239616267787</v>
      </c>
      <c r="GR75" s="114">
        <v>16264.500913417403</v>
      </c>
      <c r="GS75" s="114">
        <v>242.38618773968523</v>
      </c>
      <c r="GT75" s="115">
        <v>8427.3503406632317</v>
      </c>
    </row>
    <row r="76" spans="2:202" x14ac:dyDescent="0.6">
      <c r="B76" s="106" t="s">
        <v>65</v>
      </c>
      <c r="C76" s="63" t="s">
        <v>307</v>
      </c>
      <c r="D76" s="113">
        <v>5123.5961814165967</v>
      </c>
      <c r="E76" s="114">
        <v>1587.3444808835432</v>
      </c>
      <c r="F76" s="114">
        <v>1034.8884268797449</v>
      </c>
      <c r="G76" s="114">
        <v>6531.6097267012665</v>
      </c>
      <c r="H76" s="114">
        <v>7174.0383332132214</v>
      </c>
      <c r="I76" s="114">
        <v>11725.186676253918</v>
      </c>
      <c r="J76" s="114">
        <v>2974.8349136837264</v>
      </c>
      <c r="K76" s="114">
        <v>16468.490062628025</v>
      </c>
      <c r="L76" s="114">
        <v>591.26093298198327</v>
      </c>
      <c r="M76" s="114">
        <v>3335.6742191706367</v>
      </c>
      <c r="N76" s="114">
        <v>7616.2031795024604</v>
      </c>
      <c r="O76" s="114">
        <v>4427.350610903276</v>
      </c>
      <c r="P76" s="114">
        <v>7446.2696100640105</v>
      </c>
      <c r="Q76" s="114">
        <v>7333.7676127999093</v>
      </c>
      <c r="R76" s="114">
        <v>1330.3553517091595</v>
      </c>
      <c r="S76" s="114">
        <v>320.60838584271988</v>
      </c>
      <c r="T76" s="114">
        <v>9034.3580733610888</v>
      </c>
      <c r="U76" s="114">
        <v>4914.1964849674187</v>
      </c>
      <c r="V76" s="114">
        <v>7080.3969245258422</v>
      </c>
      <c r="W76" s="114">
        <v>10474.646553559331</v>
      </c>
      <c r="X76" s="114">
        <v>1032.0255298530406</v>
      </c>
      <c r="Y76" s="114">
        <v>8456.6183669456932</v>
      </c>
      <c r="Z76" s="114">
        <v>9830.1957626916083</v>
      </c>
      <c r="AA76" s="114">
        <v>9585.3923263864763</v>
      </c>
      <c r="AB76" s="114">
        <v>10768.499544284643</v>
      </c>
      <c r="AC76" s="114">
        <v>1399.6483107909887</v>
      </c>
      <c r="AD76" s="114">
        <v>4318.4069555563574</v>
      </c>
      <c r="AE76" s="114">
        <v>6239.9941374608843</v>
      </c>
      <c r="AF76" s="114">
        <v>4849.7202959864699</v>
      </c>
      <c r="AG76" s="114">
        <v>9452.5605064814299</v>
      </c>
      <c r="AH76" s="114">
        <v>5122.8313655985812</v>
      </c>
      <c r="AI76" s="114">
        <v>5188.9754406935353</v>
      </c>
      <c r="AJ76" s="114">
        <v>6330.5565124738432</v>
      </c>
      <c r="AK76" s="114">
        <v>5975.3705847677638</v>
      </c>
      <c r="AL76" s="114">
        <v>5181.8460601815514</v>
      </c>
      <c r="AM76" s="114">
        <v>4260.9576047484779</v>
      </c>
      <c r="AN76" s="114">
        <v>12076.014309968843</v>
      </c>
      <c r="AO76" s="114">
        <v>8819.3658441751613</v>
      </c>
      <c r="AP76" s="114">
        <v>7799.1788095882157</v>
      </c>
      <c r="AQ76" s="114">
        <v>9115.778784714892</v>
      </c>
      <c r="AR76" s="114">
        <v>7616.4121331725073</v>
      </c>
      <c r="AS76" s="114">
        <v>6086.727662531438</v>
      </c>
      <c r="AT76" s="114">
        <v>6058.4940770824205</v>
      </c>
      <c r="AU76" s="114">
        <v>9385.4769932040726</v>
      </c>
      <c r="AV76" s="114">
        <v>5117.6425061145728</v>
      </c>
      <c r="AW76" s="114">
        <v>726.2377442677606</v>
      </c>
      <c r="AX76" s="114">
        <v>8123.0339039253086</v>
      </c>
      <c r="AY76" s="114">
        <v>2591.9647898247572</v>
      </c>
      <c r="AZ76" s="114">
        <v>395.12454791257835</v>
      </c>
      <c r="BA76" s="114">
        <v>638.35646976973135</v>
      </c>
      <c r="BB76" s="114">
        <v>5311.3890743239654</v>
      </c>
      <c r="BC76" s="114">
        <v>7290.7070402362942</v>
      </c>
      <c r="BD76" s="114">
        <v>7629.2924284715755</v>
      </c>
      <c r="BE76" s="114">
        <v>6070.9719406030208</v>
      </c>
      <c r="BF76" s="114">
        <v>9808.7641544766502</v>
      </c>
      <c r="BG76" s="114">
        <v>2917.4231417477677</v>
      </c>
      <c r="BH76" s="114">
        <v>9411.9763596813991</v>
      </c>
      <c r="BI76" s="114">
        <v>5188.4836737994165</v>
      </c>
      <c r="BJ76" s="114">
        <v>4721.4334195835399</v>
      </c>
      <c r="BK76" s="114">
        <v>1427.7972269809509</v>
      </c>
      <c r="BL76" s="114">
        <v>8765.9409126986247</v>
      </c>
      <c r="BM76" s="114">
        <v>5327.7119421849984</v>
      </c>
      <c r="BN76" s="114">
        <v>1517.0393056308696</v>
      </c>
      <c r="BO76" s="114">
        <v>502.73626002830912</v>
      </c>
      <c r="BP76" s="114">
        <v>5544.5509613125396</v>
      </c>
      <c r="BQ76" s="114">
        <v>4685.3401959756948</v>
      </c>
      <c r="BR76" s="114">
        <v>2908.2176716172135</v>
      </c>
      <c r="BS76" s="114">
        <v>400.52584662883862</v>
      </c>
      <c r="BT76" s="114">
        <v>304.58511830644699</v>
      </c>
      <c r="BU76" s="114" t="s">
        <v>237</v>
      </c>
      <c r="BV76" s="114">
        <v>5043.9491111453863</v>
      </c>
      <c r="BW76" s="114">
        <v>1822.3848030369243</v>
      </c>
      <c r="BX76" s="114">
        <v>7590.5980962461726</v>
      </c>
      <c r="BY76" s="114">
        <v>9403.3375807492885</v>
      </c>
      <c r="BZ76" s="114">
        <v>4978.0384548360835</v>
      </c>
      <c r="CA76" s="114">
        <v>4831.873791683629</v>
      </c>
      <c r="CB76" s="114">
        <v>7811.8930627569525</v>
      </c>
      <c r="CC76" s="114">
        <v>7806.6610026873286</v>
      </c>
      <c r="CD76" s="114">
        <v>9220.8586683477261</v>
      </c>
      <c r="CE76" s="114">
        <v>822.11036707633991</v>
      </c>
      <c r="CF76" s="114">
        <v>2359.6215586586695</v>
      </c>
      <c r="CG76" s="114">
        <v>6564.3942165549461</v>
      </c>
      <c r="CH76" s="114">
        <v>6128.9514988145538</v>
      </c>
      <c r="CI76" s="114">
        <v>11076.768906513924</v>
      </c>
      <c r="CJ76" s="114">
        <v>3776.4883549402152</v>
      </c>
      <c r="CK76" s="114">
        <v>3456.9324179769415</v>
      </c>
      <c r="CL76" s="114">
        <v>1077.1906253080022</v>
      </c>
      <c r="CM76" s="114">
        <v>4129.4918568835064</v>
      </c>
      <c r="CN76" s="114">
        <v>992.8835135475133</v>
      </c>
      <c r="CO76" s="114">
        <v>518.07737140734309</v>
      </c>
      <c r="CP76" s="114">
        <v>8144.131224919669</v>
      </c>
      <c r="CQ76" s="114">
        <v>9335.5479072567832</v>
      </c>
      <c r="CR76" s="114">
        <v>3026.908540958907</v>
      </c>
      <c r="CS76" s="114">
        <v>4283.6088434625062</v>
      </c>
      <c r="CT76" s="114">
        <v>6285.7709698895669</v>
      </c>
      <c r="CU76" s="114">
        <v>4012.2427620700118</v>
      </c>
      <c r="CV76" s="114">
        <v>4953.829899411402</v>
      </c>
      <c r="CW76" s="114">
        <v>8769.0625008515453</v>
      </c>
      <c r="CX76" s="114">
        <v>1242.7470479961405</v>
      </c>
      <c r="CY76" s="114">
        <v>2848.2901091907729</v>
      </c>
      <c r="CZ76" s="114">
        <v>9006.227740331311</v>
      </c>
      <c r="DA76" s="114">
        <v>5200.9443563786517</v>
      </c>
      <c r="DB76" s="114">
        <v>1992.4526823494416</v>
      </c>
      <c r="DC76" s="114">
        <v>340.16583309865666</v>
      </c>
      <c r="DD76" s="114">
        <v>1216.3542226234108</v>
      </c>
      <c r="DE76" s="114">
        <v>203.65894076588552</v>
      </c>
      <c r="DF76" s="114">
        <v>8523.2818590155548</v>
      </c>
      <c r="DG76" s="114">
        <v>7529.2860564408738</v>
      </c>
      <c r="DH76" s="114">
        <v>9937.4941010803796</v>
      </c>
      <c r="DI76" s="114">
        <v>7878.7700036919096</v>
      </c>
      <c r="DJ76" s="114">
        <v>4453.263103955569</v>
      </c>
      <c r="DK76" s="114">
        <v>1682.7306398908149</v>
      </c>
      <c r="DL76" s="114">
        <v>9148.3947909605486</v>
      </c>
      <c r="DM76" s="114">
        <v>9164.5064786825915</v>
      </c>
      <c r="DN76" s="114">
        <v>9577.9626117111038</v>
      </c>
      <c r="DO76" s="114">
        <v>1519.6139516294425</v>
      </c>
      <c r="DP76" s="114">
        <v>714.9664540873722</v>
      </c>
      <c r="DQ76" s="114">
        <v>6613.2012410783791</v>
      </c>
      <c r="DR76" s="114">
        <v>1176.2361117059625</v>
      </c>
      <c r="DS76" s="114">
        <v>2191.1722654958699</v>
      </c>
      <c r="DT76" s="114">
        <v>8733.6638526379411</v>
      </c>
      <c r="DU76" s="114">
        <v>8437.7208727023299</v>
      </c>
      <c r="DV76" s="114">
        <v>8099.3309007507396</v>
      </c>
      <c r="DW76" s="114">
        <v>6771.438830860061</v>
      </c>
      <c r="DX76" s="114">
        <v>372.61925343987019</v>
      </c>
      <c r="DY76" s="114">
        <v>18169.736531058006</v>
      </c>
      <c r="DZ76" s="114">
        <v>18530.90561860134</v>
      </c>
      <c r="EA76" s="114">
        <v>9324.9242949186373</v>
      </c>
      <c r="EB76" s="114">
        <v>4140.5661815147805</v>
      </c>
      <c r="EC76" s="114">
        <v>4567.4992133301366</v>
      </c>
      <c r="ED76" s="114">
        <v>8326.5928709033615</v>
      </c>
      <c r="EE76" s="114">
        <v>1320.8478673460593</v>
      </c>
      <c r="EF76" s="114">
        <v>1055.5728809508009</v>
      </c>
      <c r="EG76" s="114">
        <v>5197.4154250241363</v>
      </c>
      <c r="EH76" s="114">
        <v>5682.5103212795202</v>
      </c>
      <c r="EI76" s="114">
        <v>5469.6105944164847</v>
      </c>
      <c r="EJ76" s="114">
        <v>9094.0906094021502</v>
      </c>
      <c r="EK76" s="114">
        <v>10575.997607373514</v>
      </c>
      <c r="EL76" s="114">
        <v>10724.513813953281</v>
      </c>
      <c r="EM76" s="114">
        <v>10294.746087142086</v>
      </c>
      <c r="EN76" s="114">
        <v>887.35071097189746</v>
      </c>
      <c r="EO76" s="114">
        <v>1913.1517915908837</v>
      </c>
      <c r="EP76" s="114">
        <v>4576.2220352160484</v>
      </c>
      <c r="EQ76" s="114">
        <v>1462.9341742897582</v>
      </c>
      <c r="ER76" s="114">
        <v>2021.1023904257734</v>
      </c>
      <c r="ES76" s="114">
        <v>6098.868153856296</v>
      </c>
      <c r="ET76" s="114">
        <v>7211.914387149719</v>
      </c>
      <c r="EU76" s="114">
        <v>7342.6040926028472</v>
      </c>
      <c r="EV76" s="114">
        <v>7456.7247466224462</v>
      </c>
      <c r="EW76" s="114">
        <v>779.48755181555384</v>
      </c>
      <c r="EX76" s="114">
        <v>5565.2237537489946</v>
      </c>
      <c r="EY76" s="114">
        <v>4318.6831119505669</v>
      </c>
      <c r="EZ76" s="114">
        <v>4617.8949975457954</v>
      </c>
      <c r="FA76" s="114">
        <v>1077.7877132189981</v>
      </c>
      <c r="FB76" s="114">
        <v>5069.6916366401501</v>
      </c>
      <c r="FC76" s="114">
        <v>10258.034847559489</v>
      </c>
      <c r="FD76" s="114">
        <v>649.81810466020841</v>
      </c>
      <c r="FE76" s="114">
        <v>616.88648534482149</v>
      </c>
      <c r="FF76" s="114">
        <v>6359.7338881852984</v>
      </c>
      <c r="FG76" s="114">
        <v>8617.1372533700414</v>
      </c>
      <c r="FH76" s="114">
        <v>8548.3353066666041</v>
      </c>
      <c r="FI76" s="114">
        <v>5469.8012239304207</v>
      </c>
      <c r="FJ76" s="114">
        <v>1447.6707220154963</v>
      </c>
      <c r="FK76" s="114">
        <v>1092.8298436840557</v>
      </c>
      <c r="FL76" s="114">
        <v>8080.2258285632097</v>
      </c>
      <c r="FM76" s="114">
        <v>4417.2959555218449</v>
      </c>
      <c r="FN76" s="114">
        <v>7691.6287128432659</v>
      </c>
      <c r="FO76" s="114">
        <v>1173.5363793204911</v>
      </c>
      <c r="FP76" s="114">
        <v>407.11940426562666</v>
      </c>
      <c r="FQ76" s="114">
        <v>2921.200726675032</v>
      </c>
      <c r="FR76" s="114">
        <v>9377.5670992716532</v>
      </c>
      <c r="FS76" s="114">
        <v>4803.9356811008793</v>
      </c>
      <c r="FT76" s="114">
        <v>6983.164572258419</v>
      </c>
      <c r="FU76" s="114">
        <v>8978.2415809934428</v>
      </c>
      <c r="FV76" s="114">
        <v>12594.300136375845</v>
      </c>
      <c r="FW76" s="114">
        <v>4944.4790868155742</v>
      </c>
      <c r="FX76" s="114">
        <v>7691.8727184904938</v>
      </c>
      <c r="FY76" s="114">
        <v>1517.7908288524427</v>
      </c>
      <c r="FZ76" s="114">
        <v>2201.6116462619793</v>
      </c>
      <c r="GA76" s="114">
        <v>4044.8317600031514</v>
      </c>
      <c r="GB76" s="114">
        <v>5985.0054498005375</v>
      </c>
      <c r="GC76" s="114">
        <v>1531.8395694329772</v>
      </c>
      <c r="GD76" s="114">
        <v>4840.7572755204737</v>
      </c>
      <c r="GE76" s="114">
        <v>629.6133286456909</v>
      </c>
      <c r="GF76" s="114">
        <v>9302.5972143035906</v>
      </c>
      <c r="GG76" s="114">
        <v>6202.6765127726567</v>
      </c>
      <c r="GH76" s="114">
        <v>5896.7597692285017</v>
      </c>
      <c r="GI76" s="114">
        <v>6528.7598242138865</v>
      </c>
      <c r="GJ76" s="114">
        <v>11352.226206781719</v>
      </c>
      <c r="GK76" s="114">
        <v>4665.7285302745131</v>
      </c>
      <c r="GL76" s="114">
        <v>8079.5043027102674</v>
      </c>
      <c r="GM76" s="114">
        <v>8695.12613486394</v>
      </c>
      <c r="GN76" s="114">
        <v>5007.1606884395615</v>
      </c>
      <c r="GO76" s="114">
        <v>7517.1178068717991</v>
      </c>
      <c r="GP76" s="114">
        <v>7823.6751654915843</v>
      </c>
      <c r="GQ76" s="114">
        <v>9644.2546859162358</v>
      </c>
      <c r="GR76" s="114">
        <v>16436.513163479212</v>
      </c>
      <c r="GS76" s="114">
        <v>304.16991415306063</v>
      </c>
      <c r="GT76" s="115">
        <v>8697.7407856752834</v>
      </c>
    </row>
    <row r="77" spans="2:202" x14ac:dyDescent="0.6">
      <c r="B77" s="106" t="s">
        <v>66</v>
      </c>
      <c r="C77" s="63" t="s">
        <v>460</v>
      </c>
      <c r="D77" s="113">
        <v>7762.999130688785</v>
      </c>
      <c r="E77" s="114">
        <v>3469.6466146100511</v>
      </c>
      <c r="F77" s="114">
        <v>4112.0268232948974</v>
      </c>
      <c r="G77" s="114">
        <v>2125.3698942216365</v>
      </c>
      <c r="H77" s="114">
        <v>6836.849154714977</v>
      </c>
      <c r="I77" s="114">
        <v>7751.6343975346754</v>
      </c>
      <c r="J77" s="114">
        <v>5872.1140024154001</v>
      </c>
      <c r="K77" s="114">
        <v>15661.180123107742</v>
      </c>
      <c r="L77" s="114">
        <v>5000.8173842809983</v>
      </c>
      <c r="M77" s="114">
        <v>6279.6472797237066</v>
      </c>
      <c r="N77" s="114">
        <v>8461.8920926182218</v>
      </c>
      <c r="O77" s="114">
        <v>5816.2663436494358</v>
      </c>
      <c r="P77" s="114">
        <v>9803.8120791053207</v>
      </c>
      <c r="Q77" s="114">
        <v>6545.0347482036668</v>
      </c>
      <c r="R77" s="114">
        <v>5902.1828147804526</v>
      </c>
      <c r="S77" s="114">
        <v>5037.3346920741023</v>
      </c>
      <c r="T77" s="114">
        <v>9645.7606742875269</v>
      </c>
      <c r="U77" s="114">
        <v>291.28131154740782</v>
      </c>
      <c r="V77" s="114">
        <v>9686.6636803610363</v>
      </c>
      <c r="W77" s="114">
        <v>7854.6021067317461</v>
      </c>
      <c r="X77" s="114">
        <v>4608.5082270592866</v>
      </c>
      <c r="Y77" s="114">
        <v>4322.0082192555237</v>
      </c>
      <c r="Z77" s="114">
        <v>5986.5777860971448</v>
      </c>
      <c r="AA77" s="114">
        <v>5638.9224881936907</v>
      </c>
      <c r="AB77" s="114">
        <v>12720.405556368176</v>
      </c>
      <c r="AC77" s="114">
        <v>4720.1636251212385</v>
      </c>
      <c r="AD77" s="114">
        <v>768.29279255858194</v>
      </c>
      <c r="AE77" s="114">
        <v>3382.7721532826863</v>
      </c>
      <c r="AF77" s="114">
        <v>2761.8452348186706</v>
      </c>
      <c r="AG77" s="114">
        <v>11467.151322200505</v>
      </c>
      <c r="AH77" s="114">
        <v>1091.6945870844779</v>
      </c>
      <c r="AI77" s="114">
        <v>1281.5021774238687</v>
      </c>
      <c r="AJ77" s="114">
        <v>8740.3809634053487</v>
      </c>
      <c r="AK77" s="114">
        <v>8441.5091824324336</v>
      </c>
      <c r="AL77" s="114">
        <v>2043.6521105727998</v>
      </c>
      <c r="AM77" s="114">
        <v>1775.5010569260223</v>
      </c>
      <c r="AN77" s="114">
        <v>8535.1572039782859</v>
      </c>
      <c r="AO77" s="114">
        <v>12606.902473274098</v>
      </c>
      <c r="AP77" s="114">
        <v>11817.582319873543</v>
      </c>
      <c r="AQ77" s="114">
        <v>8188.1745340375828</v>
      </c>
      <c r="AR77" s="114">
        <v>5131.3058121832364</v>
      </c>
      <c r="AS77" s="114">
        <v>2018.1841584515073</v>
      </c>
      <c r="AT77" s="114">
        <v>1985.9916203177449</v>
      </c>
      <c r="AU77" s="114">
        <v>9248.9945577926228</v>
      </c>
      <c r="AV77" s="114">
        <v>438.90205819278322</v>
      </c>
      <c r="AW77" s="114">
        <v>4714.0482166790243</v>
      </c>
      <c r="AX77" s="114">
        <v>8974.1417276382581</v>
      </c>
      <c r="AY77" s="114">
        <v>4753.1206019735118</v>
      </c>
      <c r="AZ77" s="114">
        <v>5146.8864803813685</v>
      </c>
      <c r="BA77" s="114">
        <v>5675.2095240790468</v>
      </c>
      <c r="BB77" s="114">
        <v>4690.0043254284374</v>
      </c>
      <c r="BC77" s="114">
        <v>6762.4351450661243</v>
      </c>
      <c r="BD77" s="114">
        <v>7662.2632695301245</v>
      </c>
      <c r="BE77" s="114">
        <v>1995.2800395632669</v>
      </c>
      <c r="BF77" s="114">
        <v>8712.7952661537911</v>
      </c>
      <c r="BG77" s="114">
        <v>4265.7168362056782</v>
      </c>
      <c r="BH77" s="114">
        <v>9766.4370957702322</v>
      </c>
      <c r="BI77" s="114">
        <v>972.20700889186003</v>
      </c>
      <c r="BJ77" s="114">
        <v>4355.6964575547154</v>
      </c>
      <c r="BK77" s="114">
        <v>6346.0329809464847</v>
      </c>
      <c r="BL77" s="114">
        <v>4851.7223198613756</v>
      </c>
      <c r="BM77" s="114">
        <v>4262.6874724641866</v>
      </c>
      <c r="BN77" s="114">
        <v>6451.1600746493341</v>
      </c>
      <c r="BO77" s="114">
        <v>4802.8395493534081</v>
      </c>
      <c r="BP77" s="114">
        <v>1179.9610587680779</v>
      </c>
      <c r="BQ77" s="114">
        <v>1996.5278424508222</v>
      </c>
      <c r="BR77" s="114">
        <v>5958.7000729062047</v>
      </c>
      <c r="BS77" s="114">
        <v>5361.7401776039706</v>
      </c>
      <c r="BT77" s="114">
        <v>4884.3445249393917</v>
      </c>
      <c r="BU77" s="114">
        <v>5043.9491111453863</v>
      </c>
      <c r="BV77" s="114" t="s">
        <v>237</v>
      </c>
      <c r="BW77" s="114">
        <v>4303.9569640236041</v>
      </c>
      <c r="BX77" s="114">
        <v>6808.7276278247755</v>
      </c>
      <c r="BY77" s="114">
        <v>9876.9624635205746</v>
      </c>
      <c r="BZ77" s="114">
        <v>1544.2642372975877</v>
      </c>
      <c r="CA77" s="114">
        <v>1822.8644802778315</v>
      </c>
      <c r="CB77" s="114">
        <v>6419.390659460164</v>
      </c>
      <c r="CC77" s="114">
        <v>7937.8604590568857</v>
      </c>
      <c r="CD77" s="114">
        <v>9549.4693241336208</v>
      </c>
      <c r="CE77" s="114">
        <v>5008.0774694539705</v>
      </c>
      <c r="CF77" s="114">
        <v>6756.0931171508346</v>
      </c>
      <c r="CG77" s="114">
        <v>8022.9745740414537</v>
      </c>
      <c r="CH77" s="114">
        <v>8472.9851844612185</v>
      </c>
      <c r="CI77" s="114">
        <v>11884.800674990998</v>
      </c>
      <c r="CJ77" s="114">
        <v>6216.2326107447734</v>
      </c>
      <c r="CK77" s="114">
        <v>5527.1197065261904</v>
      </c>
      <c r="CL77" s="114">
        <v>5350.642887362259</v>
      </c>
      <c r="CM77" s="114">
        <v>4676.3044562359255</v>
      </c>
      <c r="CN77" s="114">
        <v>4206.6682479933706</v>
      </c>
      <c r="CO77" s="114">
        <v>4549.5474576619754</v>
      </c>
      <c r="CP77" s="114">
        <v>8392.2606447865364</v>
      </c>
      <c r="CQ77" s="114">
        <v>13821.24036130684</v>
      </c>
      <c r="CR77" s="114">
        <v>4712.0517894538898</v>
      </c>
      <c r="CS77" s="114">
        <v>8249.8788730509168</v>
      </c>
      <c r="CT77" s="114">
        <v>4122.3014843108085</v>
      </c>
      <c r="CU77" s="114">
        <v>5698.6052320333911</v>
      </c>
      <c r="CV77" s="114">
        <v>8339.4955971829477</v>
      </c>
      <c r="CW77" s="114">
        <v>11128.275249067368</v>
      </c>
      <c r="CX77" s="114">
        <v>6074.5608186044392</v>
      </c>
      <c r="CY77" s="114">
        <v>4810.0033655126244</v>
      </c>
      <c r="CZ77" s="114">
        <v>4825.7383979719452</v>
      </c>
      <c r="DA77" s="114">
        <v>1155.3503578664504</v>
      </c>
      <c r="DB77" s="114">
        <v>3311.376682369611</v>
      </c>
      <c r="DC77" s="114">
        <v>4726.1039610932003</v>
      </c>
      <c r="DD77" s="114">
        <v>5905.7252953449461</v>
      </c>
      <c r="DE77" s="114">
        <v>4928.9150398025786</v>
      </c>
      <c r="DF77" s="114">
        <v>5830.8714927444526</v>
      </c>
      <c r="DG77" s="114">
        <v>4280.453733839382</v>
      </c>
      <c r="DH77" s="114">
        <v>11241.694365468778</v>
      </c>
      <c r="DI77" s="114">
        <v>8124.6906656674946</v>
      </c>
      <c r="DJ77" s="114">
        <v>1131.5638242525929</v>
      </c>
      <c r="DK77" s="114">
        <v>3665.3999145088369</v>
      </c>
      <c r="DL77" s="114">
        <v>6873.9511767717931</v>
      </c>
      <c r="DM77" s="114">
        <v>6895.8271918706723</v>
      </c>
      <c r="DN77" s="114">
        <v>10755.138868417562</v>
      </c>
      <c r="DO77" s="114">
        <v>5394.7073047833583</v>
      </c>
      <c r="DP77" s="114">
        <v>4331.0893836606865</v>
      </c>
      <c r="DQ77" s="114">
        <v>10810.097862985594</v>
      </c>
      <c r="DR77" s="114">
        <v>4543.663158331291</v>
      </c>
      <c r="DS77" s="114">
        <v>3263.9039602335756</v>
      </c>
      <c r="DT77" s="114">
        <v>4903.3703722850605</v>
      </c>
      <c r="DU77" s="114">
        <v>10503.184948766891</v>
      </c>
      <c r="DV77" s="114">
        <v>3598.4599166137355</v>
      </c>
      <c r="DW77" s="114">
        <v>9266.8890769281115</v>
      </c>
      <c r="DX77" s="114">
        <v>5229.9418299816662</v>
      </c>
      <c r="DY77" s="114">
        <v>16471.251852241425</v>
      </c>
      <c r="DZ77" s="114">
        <v>15991.936697294761</v>
      </c>
      <c r="EA77" s="114">
        <v>9465.1797564222088</v>
      </c>
      <c r="EB77" s="114">
        <v>910.81900087581448</v>
      </c>
      <c r="EC77" s="114">
        <v>912.05705776983109</v>
      </c>
      <c r="ED77" s="114">
        <v>12549.060562140767</v>
      </c>
      <c r="EE77" s="114">
        <v>4589.4493540489239</v>
      </c>
      <c r="EF77" s="114">
        <v>6093.013481213904</v>
      </c>
      <c r="EG77" s="114">
        <v>6556.1945769543227</v>
      </c>
      <c r="EH77" s="114">
        <v>7454.7419038882981</v>
      </c>
      <c r="EI77" s="114">
        <v>8118.8503291724783</v>
      </c>
      <c r="EJ77" s="114">
        <v>8731.0471091864929</v>
      </c>
      <c r="EK77" s="114">
        <v>7045.6491810599628</v>
      </c>
      <c r="EL77" s="114">
        <v>8720.2388764295119</v>
      </c>
      <c r="EM77" s="114">
        <v>13156.338826000401</v>
      </c>
      <c r="EN77" s="114">
        <v>5549.8534763401321</v>
      </c>
      <c r="EO77" s="114">
        <v>3788.8488312053964</v>
      </c>
      <c r="EP77" s="114">
        <v>5893.6308614205454</v>
      </c>
      <c r="EQ77" s="114">
        <v>5022.7706179749794</v>
      </c>
      <c r="ER77" s="114">
        <v>6519.747380697534</v>
      </c>
      <c r="ES77" s="114">
        <v>3430.9715423671032</v>
      </c>
      <c r="ET77" s="114">
        <v>6899.7494260082567</v>
      </c>
      <c r="EU77" s="114">
        <v>6686.631385691152</v>
      </c>
      <c r="EV77" s="114">
        <v>6740.0740856952625</v>
      </c>
      <c r="EW77" s="114">
        <v>4417.1140299157387</v>
      </c>
      <c r="EX77" s="114">
        <v>923.93294410415422</v>
      </c>
      <c r="EY77" s="114">
        <v>5390.9551208486555</v>
      </c>
      <c r="EZ77" s="114">
        <v>2133.9683391587096</v>
      </c>
      <c r="FA77" s="114">
        <v>4786.2975985303274</v>
      </c>
      <c r="FB77" s="114">
        <v>1483.9328512902728</v>
      </c>
      <c r="FC77" s="114">
        <v>11529.182876199626</v>
      </c>
      <c r="FD77" s="114">
        <v>5024.2902523944967</v>
      </c>
      <c r="FE77" s="114">
        <v>4732.4986120041194</v>
      </c>
      <c r="FF77" s="114">
        <v>5040.1437884311981</v>
      </c>
      <c r="FG77" s="114">
        <v>4580.6280663443322</v>
      </c>
      <c r="FH77" s="114">
        <v>12735.320170932038</v>
      </c>
      <c r="FI77" s="114">
        <v>3504.5596524987968</v>
      </c>
      <c r="FJ77" s="114">
        <v>3895.4850975789059</v>
      </c>
      <c r="FK77" s="114">
        <v>4013.0616990281624</v>
      </c>
      <c r="FL77" s="114">
        <v>8827.1781606032946</v>
      </c>
      <c r="FM77" s="114">
        <v>3708.1468895594298</v>
      </c>
      <c r="FN77" s="114">
        <v>6090.471709235424</v>
      </c>
      <c r="FO77" s="114">
        <v>6184.490161386705</v>
      </c>
      <c r="FP77" s="114">
        <v>4637.4237658282782</v>
      </c>
      <c r="FQ77" s="114">
        <v>4864.6990664414325</v>
      </c>
      <c r="FR77" s="114">
        <v>12864.721255538516</v>
      </c>
      <c r="FS77" s="114">
        <v>7773.1415134332028</v>
      </c>
      <c r="FT77" s="114">
        <v>4571.292961433086</v>
      </c>
      <c r="FU77" s="114">
        <v>10982.611563846052</v>
      </c>
      <c r="FV77" s="114">
        <v>13977.772446474621</v>
      </c>
      <c r="FW77" s="114">
        <v>161.87958892322365</v>
      </c>
      <c r="FX77" s="114">
        <v>6781.5024875550607</v>
      </c>
      <c r="FY77" s="114">
        <v>3615.6189154593044</v>
      </c>
      <c r="FZ77" s="114">
        <v>5014.0212157741007</v>
      </c>
      <c r="GA77" s="114">
        <v>6830.4712216830967</v>
      </c>
      <c r="GB77" s="114">
        <v>3638.0596306845196</v>
      </c>
      <c r="GC77" s="114">
        <v>5741.9392546461513</v>
      </c>
      <c r="GD77" s="114">
        <v>6157.4031806764706</v>
      </c>
      <c r="GE77" s="114">
        <v>5116.0786587673565</v>
      </c>
      <c r="GF77" s="114">
        <v>12200.144081947321</v>
      </c>
      <c r="GG77" s="114">
        <v>8268.9284801424183</v>
      </c>
      <c r="GH77" s="114">
        <v>8050.5830225632935</v>
      </c>
      <c r="GI77" s="114">
        <v>8506.8836548321251</v>
      </c>
      <c r="GJ77" s="114">
        <v>7347.9558500280627</v>
      </c>
      <c r="GK77" s="114">
        <v>7878.9284322032217</v>
      </c>
      <c r="GL77" s="114">
        <v>7333.9425412416758</v>
      </c>
      <c r="GM77" s="114">
        <v>11393.083913393051</v>
      </c>
      <c r="GN77" s="114">
        <v>4956.1113328677384</v>
      </c>
      <c r="GO77" s="114">
        <v>3863.2635517690446</v>
      </c>
      <c r="GP77" s="114">
        <v>4249.9444262061197</v>
      </c>
      <c r="GQ77" s="114">
        <v>11705.248669015287</v>
      </c>
      <c r="GR77" s="114">
        <v>15434.851553258455</v>
      </c>
      <c r="GS77" s="114">
        <v>4744.911572086553</v>
      </c>
      <c r="GT77" s="115">
        <v>4634.0712074564499</v>
      </c>
    </row>
    <row r="78" spans="2:202" x14ac:dyDescent="0.6">
      <c r="B78" s="106" t="s">
        <v>67</v>
      </c>
      <c r="C78" s="63" t="s">
        <v>295</v>
      </c>
      <c r="D78" s="113">
        <v>4086.3409578699711</v>
      </c>
      <c r="E78" s="114">
        <v>1810.86416739783</v>
      </c>
      <c r="F78" s="114">
        <v>1953.0126267776075</v>
      </c>
      <c r="G78" s="114">
        <v>5234.870686254485</v>
      </c>
      <c r="H78" s="114">
        <v>8453.0029072381658</v>
      </c>
      <c r="I78" s="114">
        <v>11870.77716818215</v>
      </c>
      <c r="J78" s="114">
        <v>1823.098684892617</v>
      </c>
      <c r="K78" s="114">
        <v>15322.790909842368</v>
      </c>
      <c r="L78" s="114">
        <v>1310.7943131218494</v>
      </c>
      <c r="M78" s="114">
        <v>2269.1677970167621</v>
      </c>
      <c r="N78" s="114">
        <v>9206.4121125258334</v>
      </c>
      <c r="O78" s="114">
        <v>2824.5106446760906</v>
      </c>
      <c r="P78" s="114">
        <v>6456.5167867126829</v>
      </c>
      <c r="Q78" s="114">
        <v>8496.1882709336733</v>
      </c>
      <c r="R78" s="114">
        <v>1796.8234688786399</v>
      </c>
      <c r="S78" s="114">
        <v>2094.0891553251563</v>
      </c>
      <c r="T78" s="114">
        <v>10649.217641310905</v>
      </c>
      <c r="U78" s="114">
        <v>4083.9934462818751</v>
      </c>
      <c r="V78" s="114">
        <v>6171.8789695027745</v>
      </c>
      <c r="W78" s="114">
        <v>11231.058574900902</v>
      </c>
      <c r="X78" s="114">
        <v>792.89103763081641</v>
      </c>
      <c r="Y78" s="114">
        <v>6900.9492682202672</v>
      </c>
      <c r="Z78" s="114">
        <v>9984.9456492930603</v>
      </c>
      <c r="AA78" s="114">
        <v>9675.1185814057226</v>
      </c>
      <c r="AB78" s="114">
        <v>9836.5900611450834</v>
      </c>
      <c r="AC78" s="114">
        <v>541.97093332128622</v>
      </c>
      <c r="AD78" s="114">
        <v>3748.0300634508521</v>
      </c>
      <c r="AE78" s="114">
        <v>4568.410241532375</v>
      </c>
      <c r="AF78" s="114">
        <v>5225.9547492492284</v>
      </c>
      <c r="AG78" s="114">
        <v>8457.9345232707255</v>
      </c>
      <c r="AH78" s="114">
        <v>3982.4919491093247</v>
      </c>
      <c r="AI78" s="114">
        <v>3985.2502528502387</v>
      </c>
      <c r="AJ78" s="114">
        <v>8107.4536762331118</v>
      </c>
      <c r="AK78" s="114">
        <v>7748.665687538768</v>
      </c>
      <c r="AL78" s="114">
        <v>3744.5971898049979</v>
      </c>
      <c r="AM78" s="114">
        <v>2967.5297752900974</v>
      </c>
      <c r="AN78" s="114">
        <v>12483.491803178169</v>
      </c>
      <c r="AO78" s="114">
        <v>8582.3986347519149</v>
      </c>
      <c r="AP78" s="114">
        <v>7667.2967589616546</v>
      </c>
      <c r="AQ78" s="114">
        <v>10367.358548035862</v>
      </c>
      <c r="AR78" s="114">
        <v>5820.9218783643346</v>
      </c>
      <c r="AS78" s="114">
        <v>4735.4736137161481</v>
      </c>
      <c r="AT78" s="114">
        <v>4713.0442946250514</v>
      </c>
      <c r="AU78" s="114">
        <v>10861.036733565017</v>
      </c>
      <c r="AV78" s="114">
        <v>4538.5117164299745</v>
      </c>
      <c r="AW78" s="114">
        <v>1096.8582542229415</v>
      </c>
      <c r="AX78" s="114">
        <v>9739.6483174992809</v>
      </c>
      <c r="AY78" s="114">
        <v>918.691782408113</v>
      </c>
      <c r="AZ78" s="114">
        <v>1569.5695301601272</v>
      </c>
      <c r="BA78" s="114">
        <v>2151.424275688832</v>
      </c>
      <c r="BB78" s="114">
        <v>3489.6475549404554</v>
      </c>
      <c r="BC78" s="114">
        <v>8525.4153591670201</v>
      </c>
      <c r="BD78" s="114">
        <v>9038.8657085670129</v>
      </c>
      <c r="BE78" s="114">
        <v>4724.5318247691621</v>
      </c>
      <c r="BF78" s="114">
        <v>11055.805479565975</v>
      </c>
      <c r="BG78" s="114">
        <v>1100.1058613363959</v>
      </c>
      <c r="BH78" s="114">
        <v>10995.377114567493</v>
      </c>
      <c r="BI78" s="114">
        <v>4089.5996795984511</v>
      </c>
      <c r="BJ78" s="114">
        <v>2899.1059934229415</v>
      </c>
      <c r="BK78" s="114">
        <v>2407.368201595817</v>
      </c>
      <c r="BL78" s="114">
        <v>7134.0888649921662</v>
      </c>
      <c r="BM78" s="114">
        <v>3513.0139466937503</v>
      </c>
      <c r="BN78" s="114">
        <v>2512.1263524031733</v>
      </c>
      <c r="BO78" s="114">
        <v>2100.2170419938961</v>
      </c>
      <c r="BP78" s="114">
        <v>4399.0352729031356</v>
      </c>
      <c r="BQ78" s="114">
        <v>4773.8392068874682</v>
      </c>
      <c r="BR78" s="114">
        <v>1850.1569992601608</v>
      </c>
      <c r="BS78" s="114">
        <v>1819.2872370800128</v>
      </c>
      <c r="BT78" s="114">
        <v>1517.8360212340554</v>
      </c>
      <c r="BU78" s="114">
        <v>1822.3848030369243</v>
      </c>
      <c r="BV78" s="114">
        <v>4303.9569640236041</v>
      </c>
      <c r="BW78" s="114" t="s">
        <v>237</v>
      </c>
      <c r="BX78" s="114">
        <v>8775.8663318150157</v>
      </c>
      <c r="BY78" s="114">
        <v>11009.516930642363</v>
      </c>
      <c r="BZ78" s="114">
        <v>4854.4704504130068</v>
      </c>
      <c r="CA78" s="114">
        <v>4836.1250236256792</v>
      </c>
      <c r="CB78" s="114">
        <v>8826.3711949672997</v>
      </c>
      <c r="CC78" s="114">
        <v>9251.8302217891705</v>
      </c>
      <c r="CD78" s="114">
        <v>10789.551291726184</v>
      </c>
      <c r="CE78" s="114">
        <v>1138.2480905724074</v>
      </c>
      <c r="CF78" s="114">
        <v>4170.7810282672963</v>
      </c>
      <c r="CG78" s="114">
        <v>5186.9191719661367</v>
      </c>
      <c r="CH78" s="114">
        <v>5041.5201303280737</v>
      </c>
      <c r="CI78" s="114">
        <v>9802.6520804316242</v>
      </c>
      <c r="CJ78" s="114">
        <v>2490.3727969602892</v>
      </c>
      <c r="CK78" s="114">
        <v>1946.3686336821463</v>
      </c>
      <c r="CL78" s="114">
        <v>2858.2419499372663</v>
      </c>
      <c r="CM78" s="114">
        <v>5310.7854763046944</v>
      </c>
      <c r="CN78" s="114">
        <v>1052.8688574319724</v>
      </c>
      <c r="CO78" s="114">
        <v>1472.8314242495767</v>
      </c>
      <c r="CP78" s="114">
        <v>9637.2002158969608</v>
      </c>
      <c r="CQ78" s="114">
        <v>9557.8407030828839</v>
      </c>
      <c r="CR78" s="114">
        <v>1289.0374954413514</v>
      </c>
      <c r="CS78" s="114">
        <v>4006.900241611711</v>
      </c>
      <c r="CT78" s="114">
        <v>4512.1310633524181</v>
      </c>
      <c r="CU78" s="114">
        <v>2446.8884019410593</v>
      </c>
      <c r="CV78" s="114">
        <v>4309.5821692007275</v>
      </c>
      <c r="CW78" s="114">
        <v>7862.067303236855</v>
      </c>
      <c r="CX78" s="114">
        <v>2107.6458191033698</v>
      </c>
      <c r="CY78" s="114">
        <v>1161.624843675892</v>
      </c>
      <c r="CZ78" s="114">
        <v>7434.1400950310517</v>
      </c>
      <c r="DA78" s="114">
        <v>4892.1365410857097</v>
      </c>
      <c r="DB78" s="114">
        <v>1101.3333836855452</v>
      </c>
      <c r="DC78" s="114">
        <v>1566.819969549048</v>
      </c>
      <c r="DD78" s="114">
        <v>1872.7065749779661</v>
      </c>
      <c r="DE78" s="114">
        <v>1910.5929005477292</v>
      </c>
      <c r="DF78" s="114">
        <v>6721.9573947162671</v>
      </c>
      <c r="DG78" s="114">
        <v>5830.2542400782704</v>
      </c>
      <c r="DH78" s="114">
        <v>8736.2890577722883</v>
      </c>
      <c r="DI78" s="114">
        <v>6277.3524957917307</v>
      </c>
      <c r="DJ78" s="114">
        <v>4164.2960156175513</v>
      </c>
      <c r="DK78" s="114">
        <v>847.72632129610429</v>
      </c>
      <c r="DL78" s="114">
        <v>7326.0669400446832</v>
      </c>
      <c r="DM78" s="114">
        <v>7342.149022768609</v>
      </c>
      <c r="DN78" s="114">
        <v>11304.843124569623</v>
      </c>
      <c r="DO78" s="114">
        <v>1138.2151078405529</v>
      </c>
      <c r="DP78" s="114">
        <v>1512.5360692729876</v>
      </c>
      <c r="DQ78" s="114">
        <v>6574.434349766243</v>
      </c>
      <c r="DR78" s="114">
        <v>647.78816896896535</v>
      </c>
      <c r="DS78" s="114">
        <v>2749.1837258241271</v>
      </c>
      <c r="DT78" s="114">
        <v>7083.828613583375</v>
      </c>
      <c r="DU78" s="114">
        <v>7398.1466859569782</v>
      </c>
      <c r="DV78" s="114">
        <v>6697.6986048916506</v>
      </c>
      <c r="DW78" s="114">
        <v>5794.6140387528903</v>
      </c>
      <c r="DX78" s="114">
        <v>2194.4475624524903</v>
      </c>
      <c r="DY78" s="114">
        <v>17483.156573609831</v>
      </c>
      <c r="DZ78" s="114">
        <v>17497.574994123996</v>
      </c>
      <c r="EA78" s="114">
        <v>10859.460493984565</v>
      </c>
      <c r="EB78" s="114">
        <v>3434.8439902073615</v>
      </c>
      <c r="EC78" s="114">
        <v>3562.1831327064269</v>
      </c>
      <c r="ED78" s="114">
        <v>8342.7811110718321</v>
      </c>
      <c r="EE78" s="114">
        <v>527.181698493966</v>
      </c>
      <c r="EF78" s="114">
        <v>2612.9164223142775</v>
      </c>
      <c r="EG78" s="114">
        <v>3670.6644838673351</v>
      </c>
      <c r="EH78" s="114">
        <v>4336.2934191399299</v>
      </c>
      <c r="EI78" s="114">
        <v>4466.2690546835311</v>
      </c>
      <c r="EJ78" s="114">
        <v>10497.398003032396</v>
      </c>
      <c r="EK78" s="114">
        <v>10924.756631877623</v>
      </c>
      <c r="EL78" s="114">
        <v>11733.011447078698</v>
      </c>
      <c r="EM78" s="114">
        <v>9682.8363710729591</v>
      </c>
      <c r="EN78" s="114">
        <v>1629.2171411546308</v>
      </c>
      <c r="EO78" s="114">
        <v>2839.6377259225064</v>
      </c>
      <c r="EP78" s="114">
        <v>2970.8377138942992</v>
      </c>
      <c r="EQ78" s="114">
        <v>776.13655999313119</v>
      </c>
      <c r="ER78" s="114">
        <v>2281.5505426682694</v>
      </c>
      <c r="ES78" s="114">
        <v>4407.8775366829286</v>
      </c>
      <c r="ET78" s="114">
        <v>8500.7694265403916</v>
      </c>
      <c r="EU78" s="114">
        <v>8544.7840106763942</v>
      </c>
      <c r="EV78" s="114">
        <v>8650.448035679352</v>
      </c>
      <c r="EW78" s="114">
        <v>1151.3446279586346</v>
      </c>
      <c r="EX78" s="114">
        <v>4520.557932745126</v>
      </c>
      <c r="EY78" s="114">
        <v>2621.5944315070865</v>
      </c>
      <c r="EZ78" s="114">
        <v>4768.6428611300062</v>
      </c>
      <c r="FA78" s="114">
        <v>811.76916561213591</v>
      </c>
      <c r="FB78" s="114">
        <v>4910.6686302795506</v>
      </c>
      <c r="FC78" s="114">
        <v>9067.1710406352267</v>
      </c>
      <c r="FD78" s="114">
        <v>1279.4306181868099</v>
      </c>
      <c r="FE78" s="114">
        <v>1205.5878935844125</v>
      </c>
      <c r="FF78" s="114">
        <v>4537.500975987572</v>
      </c>
      <c r="FG78" s="114">
        <v>7024.4055563755846</v>
      </c>
      <c r="FH78" s="114">
        <v>8545.7592118495941</v>
      </c>
      <c r="FI78" s="114">
        <v>3731.5204150660652</v>
      </c>
      <c r="FJ78" s="114">
        <v>2337.9636239938445</v>
      </c>
      <c r="FK78" s="114">
        <v>1870.0556602252695</v>
      </c>
      <c r="FL78" s="114">
        <v>6606.0015840974183</v>
      </c>
      <c r="FM78" s="114">
        <v>2626.3801758403724</v>
      </c>
      <c r="FN78" s="114">
        <v>8627.5482056084311</v>
      </c>
      <c r="FO78" s="114">
        <v>2435.3278982552379</v>
      </c>
      <c r="FP78" s="114">
        <v>1662.7459590333094</v>
      </c>
      <c r="FQ78" s="114">
        <v>1245.3896463447359</v>
      </c>
      <c r="FR78" s="114">
        <v>9004.3175402939196</v>
      </c>
      <c r="FS78" s="114">
        <v>3908.1987909277645</v>
      </c>
      <c r="FT78" s="114">
        <v>5202.104070918399</v>
      </c>
      <c r="FU78" s="114">
        <v>7950.2348707332576</v>
      </c>
      <c r="FV78" s="114">
        <v>11609.731839927463</v>
      </c>
      <c r="FW78" s="114">
        <v>4163.0066889037698</v>
      </c>
      <c r="FX78" s="114">
        <v>8846.9863450094472</v>
      </c>
      <c r="FY78" s="114">
        <v>1189.9642854126125</v>
      </c>
      <c r="FZ78" s="114">
        <v>819.34534874925816</v>
      </c>
      <c r="GA78" s="114">
        <v>2974.6888577126078</v>
      </c>
      <c r="GB78" s="114">
        <v>4254.2777114665178</v>
      </c>
      <c r="GC78" s="114">
        <v>1514.5589733711381</v>
      </c>
      <c r="GD78" s="114">
        <v>3264.7763463858869</v>
      </c>
      <c r="GE78" s="114">
        <v>2395.5197678860868</v>
      </c>
      <c r="GF78" s="114">
        <v>11120.629672912619</v>
      </c>
      <c r="GG78" s="114">
        <v>7934.0495727478892</v>
      </c>
      <c r="GH78" s="114">
        <v>7628.6075039590542</v>
      </c>
      <c r="GI78" s="114">
        <v>8260.0513231766417</v>
      </c>
      <c r="GJ78" s="114">
        <v>11467.759940713553</v>
      </c>
      <c r="GK78" s="114">
        <v>3897.736553032646</v>
      </c>
      <c r="GL78" s="114">
        <v>9312.3002404568106</v>
      </c>
      <c r="GM78" s="114">
        <v>7922.3823882005236</v>
      </c>
      <c r="GN78" s="114">
        <v>3202.1940396350883</v>
      </c>
      <c r="GO78" s="114">
        <v>5898.283907529446</v>
      </c>
      <c r="GP78" s="114">
        <v>6167.801861957264</v>
      </c>
      <c r="GQ78" s="114">
        <v>8678.4715631740764</v>
      </c>
      <c r="GR78" s="114">
        <v>15213.404140741024</v>
      </c>
      <c r="GS78" s="114">
        <v>1633.0498080811062</v>
      </c>
      <c r="GT78" s="115">
        <v>7108.0855365221332</v>
      </c>
    </row>
    <row r="79" spans="2:202" x14ac:dyDescent="0.6">
      <c r="B79" s="106" t="s">
        <v>68</v>
      </c>
      <c r="C79" s="63" t="s">
        <v>547</v>
      </c>
      <c r="D79" s="113">
        <v>12705.895708370213</v>
      </c>
      <c r="E79" s="114">
        <v>6971.4450826396451</v>
      </c>
      <c r="F79" s="114">
        <v>6903.5584812125335</v>
      </c>
      <c r="G79" s="114">
        <v>8587.106791822338</v>
      </c>
      <c r="H79" s="114">
        <v>563.13265078126869</v>
      </c>
      <c r="I79" s="114">
        <v>5380.1142599630139</v>
      </c>
      <c r="J79" s="114">
        <v>10469.101636990667</v>
      </c>
      <c r="K79" s="114">
        <v>15908.384982029878</v>
      </c>
      <c r="L79" s="114">
        <v>8122.356403085686</v>
      </c>
      <c r="M79" s="114">
        <v>10876.709170861428</v>
      </c>
      <c r="N79" s="114">
        <v>2173.4104815246205</v>
      </c>
      <c r="O79" s="114">
        <v>11537.116087984625</v>
      </c>
      <c r="P79" s="114">
        <v>15030.960162661833</v>
      </c>
      <c r="Q79" s="114">
        <v>287.79904156766372</v>
      </c>
      <c r="R79" s="114">
        <v>8869.9953819074453</v>
      </c>
      <c r="S79" s="114">
        <v>7284.1767704812901</v>
      </c>
      <c r="T79" s="114">
        <v>2910.3148777636834</v>
      </c>
      <c r="U79" s="114">
        <v>7060.3961050962689</v>
      </c>
      <c r="V79" s="114">
        <v>14647.636400701847</v>
      </c>
      <c r="W79" s="114">
        <v>3218.684192284094</v>
      </c>
      <c r="X79" s="114">
        <v>8286.4593035060407</v>
      </c>
      <c r="Y79" s="114">
        <v>10293.084305268818</v>
      </c>
      <c r="Z79" s="114">
        <v>4287.3639509417408</v>
      </c>
      <c r="AA79" s="114">
        <v>4382.5086200321084</v>
      </c>
      <c r="AB79" s="114">
        <v>18137.14596757523</v>
      </c>
      <c r="AC79" s="114">
        <v>8695.3134301924292</v>
      </c>
      <c r="AD79" s="114">
        <v>6557.1798378996409</v>
      </c>
      <c r="AE79" s="114">
        <v>10181.730593030754</v>
      </c>
      <c r="AF79" s="114">
        <v>4160.2363764859228</v>
      </c>
      <c r="AG79" s="114">
        <v>17003.809201922821</v>
      </c>
      <c r="AH79" s="114">
        <v>7898.4005735448982</v>
      </c>
      <c r="AI79" s="114">
        <v>8089.4701549396104</v>
      </c>
      <c r="AJ79" s="114">
        <v>3904.0968662037212</v>
      </c>
      <c r="AK79" s="114">
        <v>3914.1798318703864</v>
      </c>
      <c r="AL79" s="114">
        <v>8834.3263271882806</v>
      </c>
      <c r="AM79" s="114">
        <v>8268.2175249103766</v>
      </c>
      <c r="AN79" s="114">
        <v>5119.6218804120963</v>
      </c>
      <c r="AO79" s="114">
        <v>15190.592860151432</v>
      </c>
      <c r="AP79" s="114">
        <v>14272.789173605479</v>
      </c>
      <c r="AQ79" s="114">
        <v>1597.2721063637302</v>
      </c>
      <c r="AR79" s="114">
        <v>11868.240678360511</v>
      </c>
      <c r="AS79" s="114">
        <v>8707.9724285079628</v>
      </c>
      <c r="AT79" s="114">
        <v>8681.0165172024099</v>
      </c>
      <c r="AU79" s="114">
        <v>2447.742870286163</v>
      </c>
      <c r="AV79" s="114">
        <v>6377.7879524958271</v>
      </c>
      <c r="AW79" s="114">
        <v>8070.7505334082243</v>
      </c>
      <c r="AX79" s="114">
        <v>2487.6684275329967</v>
      </c>
      <c r="AY79" s="114">
        <v>9686.3652432163235</v>
      </c>
      <c r="AZ79" s="114">
        <v>7983.5248517827031</v>
      </c>
      <c r="BA79" s="114">
        <v>7904.3515871249101</v>
      </c>
      <c r="BB79" s="114">
        <v>11233.207358224879</v>
      </c>
      <c r="BC79" s="114">
        <v>353.84395484900477</v>
      </c>
      <c r="BD79" s="114">
        <v>1090.5108073459844</v>
      </c>
      <c r="BE79" s="114">
        <v>8687.0596484638991</v>
      </c>
      <c r="BF79" s="114">
        <v>2280.3182364369604</v>
      </c>
      <c r="BG79" s="114">
        <v>9613.5993988513219</v>
      </c>
      <c r="BH79" s="114">
        <v>2968.8958196109365</v>
      </c>
      <c r="BI79" s="114">
        <v>7780.6773676762778</v>
      </c>
      <c r="BJ79" s="114">
        <v>10735.390160696557</v>
      </c>
      <c r="BK79" s="114">
        <v>8644.1463009879408</v>
      </c>
      <c r="BL79" s="114">
        <v>10871.261324872117</v>
      </c>
      <c r="BM79" s="114">
        <v>10888.059290713338</v>
      </c>
      <c r="BN79" s="114">
        <v>8669.2615472677862</v>
      </c>
      <c r="BO79" s="114">
        <v>7097.6325426629492</v>
      </c>
      <c r="BP79" s="114">
        <v>7937.9814361701538</v>
      </c>
      <c r="BQ79" s="114">
        <v>4914.9795757017882</v>
      </c>
      <c r="BR79" s="114">
        <v>10434.378923993298</v>
      </c>
      <c r="BS79" s="114">
        <v>7931.882445733253</v>
      </c>
      <c r="BT79" s="114">
        <v>7778.5751633530826</v>
      </c>
      <c r="BU79" s="114">
        <v>7590.5980962461726</v>
      </c>
      <c r="BV79" s="114">
        <v>6808.7276278247755</v>
      </c>
      <c r="BW79" s="114">
        <v>8775.8663318150157</v>
      </c>
      <c r="BX79" s="114" t="s">
        <v>237</v>
      </c>
      <c r="BY79" s="114">
        <v>3090.9372247150663</v>
      </c>
      <c r="BZ79" s="114">
        <v>5275.926006821127</v>
      </c>
      <c r="CA79" s="114">
        <v>5034.5798439077162</v>
      </c>
      <c r="CB79" s="114">
        <v>734.9503430847019</v>
      </c>
      <c r="CC79" s="114">
        <v>1324.0704820586145</v>
      </c>
      <c r="CD79" s="114">
        <v>2758.0428869599959</v>
      </c>
      <c r="CE79" s="114">
        <v>8334.7929687838459</v>
      </c>
      <c r="CF79" s="114">
        <v>6566.2336295621244</v>
      </c>
      <c r="CG79" s="114">
        <v>13957.864132770666</v>
      </c>
      <c r="CH79" s="114">
        <v>13709.941505632689</v>
      </c>
      <c r="CI79" s="114">
        <v>18555.010234411478</v>
      </c>
      <c r="CJ79" s="114">
        <v>11230.764263467869</v>
      </c>
      <c r="CK79" s="114">
        <v>10721.633231412488</v>
      </c>
      <c r="CL79" s="114">
        <v>6685.1260635062499</v>
      </c>
      <c r="CM79" s="114">
        <v>3493.7460316985844</v>
      </c>
      <c r="CN79" s="114">
        <v>7798.6731391983321</v>
      </c>
      <c r="CO79" s="114">
        <v>7573.0702651862721</v>
      </c>
      <c r="CP79" s="114">
        <v>1715.4499802212563</v>
      </c>
      <c r="CQ79" s="114">
        <v>14245.345534467921</v>
      </c>
      <c r="CR79" s="114">
        <v>9982.4593173283429</v>
      </c>
      <c r="CS79" s="114">
        <v>11661.152784135153</v>
      </c>
      <c r="CT79" s="114">
        <v>10929.456639995951</v>
      </c>
      <c r="CU79" s="114">
        <v>11199.142048490901</v>
      </c>
      <c r="CV79" s="114">
        <v>12483.497030574557</v>
      </c>
      <c r="CW79" s="114">
        <v>16283.111485634834</v>
      </c>
      <c r="CX79" s="114">
        <v>8636.9778992992997</v>
      </c>
      <c r="CY79" s="114">
        <v>9910.6904935411712</v>
      </c>
      <c r="CZ79" s="114">
        <v>10566.736329159077</v>
      </c>
      <c r="DA79" s="114">
        <v>5659.882051150109</v>
      </c>
      <c r="DB79" s="114">
        <v>7876.9965537312019</v>
      </c>
      <c r="DC79" s="114">
        <v>7598.8361492977865</v>
      </c>
      <c r="DD79" s="114">
        <v>8723.3103136846548</v>
      </c>
      <c r="DE79" s="114">
        <v>7394.545482393064</v>
      </c>
      <c r="DF79" s="114">
        <v>12416.657016232079</v>
      </c>
      <c r="DG79" s="114">
        <v>10883.136948036463</v>
      </c>
      <c r="DH79" s="114">
        <v>17504.049518238262</v>
      </c>
      <c r="DI79" s="114">
        <v>14733.394841305404</v>
      </c>
      <c r="DJ79" s="114">
        <v>5879.8955433287201</v>
      </c>
      <c r="DK79" s="114">
        <v>7978.4200636185396</v>
      </c>
      <c r="DL79" s="114">
        <v>13474.397356958083</v>
      </c>
      <c r="DM79" s="114">
        <v>13495.407298339656</v>
      </c>
      <c r="DN79" s="114">
        <v>4069.4438924964888</v>
      </c>
      <c r="DO79" s="114">
        <v>9076.222406040346</v>
      </c>
      <c r="DP79" s="114">
        <v>7416.1438915405497</v>
      </c>
      <c r="DQ79" s="114">
        <v>13252.249279404708</v>
      </c>
      <c r="DR79" s="114">
        <v>8373.3446485298136</v>
      </c>
      <c r="DS79" s="114">
        <v>6043.2602856521489</v>
      </c>
      <c r="DT79" s="114">
        <v>10984.662221481269</v>
      </c>
      <c r="DU79" s="114">
        <v>16024.39328193696</v>
      </c>
      <c r="DV79" s="114">
        <v>9392.222724287265</v>
      </c>
      <c r="DW79" s="114">
        <v>14358.915513572836</v>
      </c>
      <c r="DX79" s="114">
        <v>7344.1393914129458</v>
      </c>
      <c r="DY79" s="114">
        <v>13771.117693122127</v>
      </c>
      <c r="DZ79" s="114">
        <v>13698.738328068901</v>
      </c>
      <c r="EA79" s="114">
        <v>2657.9970207195506</v>
      </c>
      <c r="EB79" s="114">
        <v>6904.2869254628313</v>
      </c>
      <c r="EC79" s="114">
        <v>7538.7635536289936</v>
      </c>
      <c r="ED79" s="114">
        <v>14281.075551835853</v>
      </c>
      <c r="EE79" s="114">
        <v>8540.5001080585425</v>
      </c>
      <c r="EF79" s="114">
        <v>7854.2725484593047</v>
      </c>
      <c r="EG79" s="114">
        <v>12404.903518664554</v>
      </c>
      <c r="EH79" s="114">
        <v>13111.838560432987</v>
      </c>
      <c r="EI79" s="114">
        <v>13058.560477078694</v>
      </c>
      <c r="EJ79" s="114">
        <v>1942.7716064873198</v>
      </c>
      <c r="EK79" s="114">
        <v>4159.6630385552698</v>
      </c>
      <c r="EL79" s="114">
        <v>3160.5333792919764</v>
      </c>
      <c r="EM79" s="114">
        <v>17057.725299022306</v>
      </c>
      <c r="EN79" s="114">
        <v>8459.0760233366309</v>
      </c>
      <c r="EO79" s="114">
        <v>5950.282242590888</v>
      </c>
      <c r="EP79" s="114">
        <v>11673.485299033875</v>
      </c>
      <c r="EQ79" s="114">
        <v>8905.6596229472361</v>
      </c>
      <c r="ER79" s="114">
        <v>9477.4399658347702</v>
      </c>
      <c r="ES79" s="114">
        <v>10238.897534920887</v>
      </c>
      <c r="ET79" s="114">
        <v>573.31134631270879</v>
      </c>
      <c r="EU79" s="114">
        <v>252.37758337575636</v>
      </c>
      <c r="EV79" s="114">
        <v>135.71684734732511</v>
      </c>
      <c r="EW79" s="114">
        <v>7806.1194560282838</v>
      </c>
      <c r="EX79" s="114">
        <v>7630.4487534435011</v>
      </c>
      <c r="EY79" s="114">
        <v>11234.244305644819</v>
      </c>
      <c r="EZ79" s="114">
        <v>4812.6356173795793</v>
      </c>
      <c r="FA79" s="114">
        <v>8449.9799783192411</v>
      </c>
      <c r="FB79" s="114">
        <v>5326.6743358526091</v>
      </c>
      <c r="FC79" s="114">
        <v>17832.51689110032</v>
      </c>
      <c r="FD79" s="114">
        <v>8185.4465059395479</v>
      </c>
      <c r="FE79" s="114">
        <v>7974.7879716045409</v>
      </c>
      <c r="FF79" s="114">
        <v>11804.701852799823</v>
      </c>
      <c r="FG79" s="114">
        <v>10566.988879191089</v>
      </c>
      <c r="FH79" s="114">
        <v>14458.545410679948</v>
      </c>
      <c r="FI79" s="114">
        <v>10255.721451418931</v>
      </c>
      <c r="FJ79" s="114">
        <v>6469.8180943667912</v>
      </c>
      <c r="FK79" s="114">
        <v>6957.6668001097623</v>
      </c>
      <c r="FL79" s="114">
        <v>15274.664240050519</v>
      </c>
      <c r="FM79" s="114">
        <v>10085.672143841104</v>
      </c>
      <c r="FN79" s="114">
        <v>1031.8255886958718</v>
      </c>
      <c r="FO79" s="114">
        <v>8277.1699921253276</v>
      </c>
      <c r="FP79" s="114">
        <v>7439.1444175627357</v>
      </c>
      <c r="FQ79" s="114">
        <v>9995.2417762047262</v>
      </c>
      <c r="FR79" s="114">
        <v>15875.305879109386</v>
      </c>
      <c r="FS79" s="114">
        <v>12394.197362548106</v>
      </c>
      <c r="FT79" s="114">
        <v>11359.888345795647</v>
      </c>
      <c r="FU79" s="114">
        <v>16556.522669190606</v>
      </c>
      <c r="FV79" s="114">
        <v>19137.447117994947</v>
      </c>
      <c r="FW79" s="114">
        <v>6930.5580875614069</v>
      </c>
      <c r="FX79" s="114">
        <v>158.14142837659597</v>
      </c>
      <c r="FY79" s="114">
        <v>7599.6290576463452</v>
      </c>
      <c r="FZ79" s="114">
        <v>9518.4972738602191</v>
      </c>
      <c r="GA79" s="114">
        <v>11603.767269774975</v>
      </c>
      <c r="GB79" s="114">
        <v>10443.111519775855</v>
      </c>
      <c r="GC79" s="114">
        <v>9121.6939978776882</v>
      </c>
      <c r="GD79" s="114">
        <v>11978.500943402272</v>
      </c>
      <c r="GE79" s="114">
        <v>7014.7508474068336</v>
      </c>
      <c r="GF79" s="114">
        <v>6188.1751495854869</v>
      </c>
      <c r="GG79" s="114">
        <v>3404.18093627082</v>
      </c>
      <c r="GH79" s="114">
        <v>3487.9415452084918</v>
      </c>
      <c r="GI79" s="114">
        <v>3344.905145039791</v>
      </c>
      <c r="GJ79" s="114">
        <v>5210.9665773236329</v>
      </c>
      <c r="GK79" s="114">
        <v>12242.74596830366</v>
      </c>
      <c r="GL79" s="114">
        <v>558.97414229031301</v>
      </c>
      <c r="GM79" s="114">
        <v>16079.006663337865</v>
      </c>
      <c r="GN79" s="114">
        <v>11313.81021073973</v>
      </c>
      <c r="GO79" s="114">
        <v>10348.806500057222</v>
      </c>
      <c r="GP79" s="114">
        <v>10694.602336186066</v>
      </c>
      <c r="GQ79" s="114">
        <v>17165.517856110364</v>
      </c>
      <c r="GR79" s="114">
        <v>15982.133432455685</v>
      </c>
      <c r="GS79" s="114">
        <v>7544.5397271665688</v>
      </c>
      <c r="GT79" s="115">
        <v>10574.599504927424</v>
      </c>
    </row>
    <row r="80" spans="2:202" x14ac:dyDescent="0.6">
      <c r="B80" s="106" t="s">
        <v>69</v>
      </c>
      <c r="C80" s="63" t="s">
        <v>69</v>
      </c>
      <c r="D80" s="113">
        <v>14177.224950833013</v>
      </c>
      <c r="E80" s="114">
        <v>9351.5646799330989</v>
      </c>
      <c r="F80" s="114">
        <v>9060.1693556001064</v>
      </c>
      <c r="G80" s="114">
        <v>11671.861323840973</v>
      </c>
      <c r="H80" s="114">
        <v>3049.4194193779072</v>
      </c>
      <c r="I80" s="114">
        <v>6468.9977966570868</v>
      </c>
      <c r="J80" s="114">
        <v>12349.5874210027</v>
      </c>
      <c r="K80" s="114">
        <v>13534.796274405664</v>
      </c>
      <c r="L80" s="114">
        <v>9993.7449399171437</v>
      </c>
      <c r="M80" s="114">
        <v>12652.428215045018</v>
      </c>
      <c r="N80" s="114">
        <v>1803.135161980467</v>
      </c>
      <c r="O80" s="114">
        <v>13809.419730798441</v>
      </c>
      <c r="P80" s="114">
        <v>15808.258772935873</v>
      </c>
      <c r="Q80" s="114">
        <v>3340.9101651060505</v>
      </c>
      <c r="R80" s="114">
        <v>10429.099995832057</v>
      </c>
      <c r="S80" s="114">
        <v>9084.6969771868789</v>
      </c>
      <c r="T80" s="114">
        <v>371.14771267729492</v>
      </c>
      <c r="U80" s="114">
        <v>10118.162566377259</v>
      </c>
      <c r="V80" s="114">
        <v>15377.009724346683</v>
      </c>
      <c r="W80" s="114">
        <v>4181.0057235074401</v>
      </c>
      <c r="X80" s="114">
        <v>10335.0134140017</v>
      </c>
      <c r="Y80" s="114">
        <v>13244.861491596985</v>
      </c>
      <c r="Z80" s="114">
        <v>6344.5362758408019</v>
      </c>
      <c r="AA80" s="114">
        <v>6589.4052399448383</v>
      </c>
      <c r="AB80" s="114">
        <v>16528.2359019139</v>
      </c>
      <c r="AC80" s="114">
        <v>10749.608490248187</v>
      </c>
      <c r="AD80" s="114">
        <v>9559.9978616737953</v>
      </c>
      <c r="AE80" s="114">
        <v>13258.868994624032</v>
      </c>
      <c r="AF80" s="114">
        <v>7163.1266592512466</v>
      </c>
      <c r="AG80" s="114">
        <v>16726.099677952538</v>
      </c>
      <c r="AH80" s="114">
        <v>10960.104507312108</v>
      </c>
      <c r="AI80" s="114">
        <v>11152.314731481027</v>
      </c>
      <c r="AJ80" s="114">
        <v>3416.6204364416471</v>
      </c>
      <c r="AK80" s="114">
        <v>3703.8207103465288</v>
      </c>
      <c r="AL80" s="114">
        <v>11877.23150925453</v>
      </c>
      <c r="AM80" s="114">
        <v>11225.134827184387</v>
      </c>
      <c r="AN80" s="114">
        <v>5699.7645736935719</v>
      </c>
      <c r="AO80" s="114">
        <v>13918.102783975468</v>
      </c>
      <c r="AP80" s="114">
        <v>13420.820438843819</v>
      </c>
      <c r="AQ80" s="114">
        <v>2099.6693385261169</v>
      </c>
      <c r="AR80" s="114">
        <v>14959.086916158923</v>
      </c>
      <c r="AS80" s="114">
        <v>11798.454940342108</v>
      </c>
      <c r="AT80" s="114">
        <v>11771.308616290162</v>
      </c>
      <c r="AU80" s="114">
        <v>863.32798389767754</v>
      </c>
      <c r="AV80" s="114">
        <v>9451.5803070455077</v>
      </c>
      <c r="AW80" s="114">
        <v>10055.134361012921</v>
      </c>
      <c r="AX80" s="114">
        <v>1280.3313171359339</v>
      </c>
      <c r="AY80" s="114">
        <v>11908.94933195558</v>
      </c>
      <c r="AZ80" s="114">
        <v>9780.9756895858427</v>
      </c>
      <c r="BA80" s="114">
        <v>9464.3584547631908</v>
      </c>
      <c r="BB80" s="114">
        <v>14054.854360904694</v>
      </c>
      <c r="BC80" s="114">
        <v>3114.5398807582906</v>
      </c>
      <c r="BD80" s="114">
        <v>2242.0335620080205</v>
      </c>
      <c r="BE80" s="114">
        <v>11777.458271900885</v>
      </c>
      <c r="BF80" s="114">
        <v>2079.2024795317434</v>
      </c>
      <c r="BG80" s="114">
        <v>12029.753096815213</v>
      </c>
      <c r="BH80" s="114">
        <v>164.25156234987125</v>
      </c>
      <c r="BI80" s="114">
        <v>10848.478268794621</v>
      </c>
      <c r="BJ80" s="114">
        <v>13492.79981167502</v>
      </c>
      <c r="BK80" s="114">
        <v>9965.8976522974499</v>
      </c>
      <c r="BL80" s="114">
        <v>13802.349404645785</v>
      </c>
      <c r="BM80" s="114">
        <v>13781.610574246932</v>
      </c>
      <c r="BN80" s="114">
        <v>9943.511434044598</v>
      </c>
      <c r="BO80" s="114">
        <v>8989.2174201685466</v>
      </c>
      <c r="BP80" s="114">
        <v>11021.250750880252</v>
      </c>
      <c r="BQ80" s="114">
        <v>7933.5947441283342</v>
      </c>
      <c r="BR80" s="114">
        <v>12261.385057559146</v>
      </c>
      <c r="BS80" s="114">
        <v>9632.7268565273171</v>
      </c>
      <c r="BT80" s="114">
        <v>9669.7593344683282</v>
      </c>
      <c r="BU80" s="114">
        <v>9403.3375807492885</v>
      </c>
      <c r="BV80" s="114">
        <v>9876.9624635205746</v>
      </c>
      <c r="BW80" s="114">
        <v>11009.516930642363</v>
      </c>
      <c r="BX80" s="114">
        <v>3090.9372247150663</v>
      </c>
      <c r="BY80" s="114" t="s">
        <v>237</v>
      </c>
      <c r="BZ80" s="114">
        <v>8334.738169345128</v>
      </c>
      <c r="CA80" s="114">
        <v>8074.721854568902</v>
      </c>
      <c r="CB80" s="114">
        <v>3613.8975675119359</v>
      </c>
      <c r="CC80" s="114">
        <v>1971.8951793875265</v>
      </c>
      <c r="CD80" s="114">
        <v>334.24973183312625</v>
      </c>
      <c r="CE80" s="114">
        <v>10224.707162893192</v>
      </c>
      <c r="CF80" s="114">
        <v>7539.7180300251775</v>
      </c>
      <c r="CG80" s="114">
        <v>15858.619134438391</v>
      </c>
      <c r="CH80" s="114">
        <v>15068.253234900145</v>
      </c>
      <c r="CI80" s="114">
        <v>17976.950664376331</v>
      </c>
      <c r="CJ80" s="114">
        <v>13150.436638197547</v>
      </c>
      <c r="CK80" s="114">
        <v>12854.222384997178</v>
      </c>
      <c r="CL80" s="114">
        <v>8337.8412450176093</v>
      </c>
      <c r="CM80" s="114">
        <v>5892.4587091495596</v>
      </c>
      <c r="CN80" s="114">
        <v>9957.3427009401748</v>
      </c>
      <c r="CO80" s="114">
        <v>9585.4643671830745</v>
      </c>
      <c r="CP80" s="114">
        <v>1518.167543228986</v>
      </c>
      <c r="CQ80" s="114">
        <v>12359.667068962221</v>
      </c>
      <c r="CR80" s="114">
        <v>12298.057239176458</v>
      </c>
      <c r="CS80" s="114">
        <v>12513.883350897147</v>
      </c>
      <c r="CT80" s="114">
        <v>13979.287333855518</v>
      </c>
      <c r="CU80" s="114">
        <v>13403.692878926833</v>
      </c>
      <c r="CV80" s="114">
        <v>13492.704524438199</v>
      </c>
      <c r="CW80" s="114">
        <v>16203.11265769849</v>
      </c>
      <c r="CX80" s="114">
        <v>10086.350946700471</v>
      </c>
      <c r="CY80" s="114">
        <v>12162.545615258643</v>
      </c>
      <c r="CZ80" s="114">
        <v>13431.994264478781</v>
      </c>
      <c r="DA80" s="114">
        <v>8736.8910643635809</v>
      </c>
      <c r="DB80" s="114">
        <v>10353.17514303873</v>
      </c>
      <c r="DC80" s="114">
        <v>9542.596947528471</v>
      </c>
      <c r="DD80" s="114">
        <v>10261.787505452769</v>
      </c>
      <c r="DE80" s="114">
        <v>9244.9116088504416</v>
      </c>
      <c r="DF80" s="114">
        <v>15473.066382781346</v>
      </c>
      <c r="DG80" s="114">
        <v>13962.088129259264</v>
      </c>
      <c r="DH80" s="114">
        <v>17686.521942410771</v>
      </c>
      <c r="DI80" s="114">
        <v>17277.405270240259</v>
      </c>
      <c r="DJ80" s="114">
        <v>8894.1670416481629</v>
      </c>
      <c r="DK80" s="114">
        <v>10346.507761165343</v>
      </c>
      <c r="DL80" s="114">
        <v>16514.108214503474</v>
      </c>
      <c r="DM80" s="114">
        <v>16534.150764097238</v>
      </c>
      <c r="DN80" s="114">
        <v>1085.1677919189319</v>
      </c>
      <c r="DO80" s="114">
        <v>10896.773606679184</v>
      </c>
      <c r="DP80" s="114">
        <v>9504.717255634152</v>
      </c>
      <c r="DQ80" s="114">
        <v>12879.627493814054</v>
      </c>
      <c r="DR80" s="114">
        <v>10457.612546264701</v>
      </c>
      <c r="DS80" s="114">
        <v>8517.7643599607709</v>
      </c>
      <c r="DT80" s="114">
        <v>13928.379514384422</v>
      </c>
      <c r="DU80" s="114">
        <v>16513.021640781411</v>
      </c>
      <c r="DV80" s="114">
        <v>12356.272855150022</v>
      </c>
      <c r="DW80" s="114">
        <v>15335.429975351917</v>
      </c>
      <c r="DX80" s="114">
        <v>9065.3191989692423</v>
      </c>
      <c r="DY80" s="114">
        <v>11400.61501270667</v>
      </c>
      <c r="DZ80" s="114">
        <v>11499.978341720294</v>
      </c>
      <c r="EA80" s="114">
        <v>506.96537445213096</v>
      </c>
      <c r="EB80" s="114">
        <v>9882.7910478062968</v>
      </c>
      <c r="EC80" s="114">
        <v>10558.657399694232</v>
      </c>
      <c r="ED80" s="114">
        <v>13017.512489997693</v>
      </c>
      <c r="EE80" s="114">
        <v>10627.100273163183</v>
      </c>
      <c r="EF80" s="114">
        <v>9218.6858220629056</v>
      </c>
      <c r="EG80" s="114">
        <v>14600.750908682397</v>
      </c>
      <c r="EH80" s="114">
        <v>14999.005581806707</v>
      </c>
      <c r="EI80" s="114">
        <v>14413.11273921029</v>
      </c>
      <c r="EJ80" s="114">
        <v>1336.3813032846533</v>
      </c>
      <c r="EK80" s="114">
        <v>5658.9185650579639</v>
      </c>
      <c r="EL80" s="114">
        <v>3277.0313924247457</v>
      </c>
      <c r="EM80" s="114">
        <v>15319.265363378745</v>
      </c>
      <c r="EN80" s="114">
        <v>10127.919243473325</v>
      </c>
      <c r="EO80" s="114">
        <v>8254.6153494225146</v>
      </c>
      <c r="EP80" s="114">
        <v>13958.345600025932</v>
      </c>
      <c r="EQ80" s="114">
        <v>10863.310956030837</v>
      </c>
      <c r="ER80" s="114">
        <v>10830.169406078045</v>
      </c>
      <c r="ES80" s="114">
        <v>13305.243265514513</v>
      </c>
      <c r="ET80" s="114">
        <v>2986.9344880156227</v>
      </c>
      <c r="EU80" s="114">
        <v>3193.0447937122676</v>
      </c>
      <c r="EV80" s="114">
        <v>3146.4843618578839</v>
      </c>
      <c r="EW80" s="114">
        <v>9885.4444507482658</v>
      </c>
      <c r="EX80" s="114">
        <v>10716.568707954018</v>
      </c>
      <c r="EY80" s="114">
        <v>13630.371391184402</v>
      </c>
      <c r="EZ80" s="114">
        <v>7817.2849198245913</v>
      </c>
      <c r="FA80" s="114">
        <v>10445.226199383043</v>
      </c>
      <c r="FB80" s="114">
        <v>8393.1997549926691</v>
      </c>
      <c r="FC80" s="114">
        <v>17678.906665910145</v>
      </c>
      <c r="FD80" s="114">
        <v>10053.076030186072</v>
      </c>
      <c r="FE80" s="114">
        <v>9943.1782269651212</v>
      </c>
      <c r="FF80" s="114">
        <v>14782.773234571716</v>
      </c>
      <c r="FG80" s="114">
        <v>13506.717335463383</v>
      </c>
      <c r="FH80" s="114">
        <v>13101.547320177628</v>
      </c>
      <c r="FI80" s="114">
        <v>13252.29883873453</v>
      </c>
      <c r="FJ80" s="114">
        <v>8709.4907557526658</v>
      </c>
      <c r="FK80" s="114">
        <v>9150.8346411736511</v>
      </c>
      <c r="FL80" s="114">
        <v>17403.402297724599</v>
      </c>
      <c r="FM80" s="114">
        <v>12890.653889558442</v>
      </c>
      <c r="FN80" s="114">
        <v>3965.7644112855464</v>
      </c>
      <c r="FO80" s="114">
        <v>9635.908851203214</v>
      </c>
      <c r="FP80" s="114">
        <v>9409.7751660086305</v>
      </c>
      <c r="FQ80" s="114">
        <v>12243.955707161702</v>
      </c>
      <c r="FR80" s="114">
        <v>14438.427373754248</v>
      </c>
      <c r="FS80" s="114">
        <v>13745.825649007096</v>
      </c>
      <c r="FT80" s="114">
        <v>14443.422931133855</v>
      </c>
      <c r="FU80" s="114">
        <v>16708.84419005199</v>
      </c>
      <c r="FV80" s="114">
        <v>16087.967779414485</v>
      </c>
      <c r="FW80" s="114">
        <v>9991.5107173054294</v>
      </c>
      <c r="FX80" s="114">
        <v>3142.7801470965724</v>
      </c>
      <c r="FY80" s="114">
        <v>9954.6028123434626</v>
      </c>
      <c r="FZ80" s="114">
        <v>11588.411066457411</v>
      </c>
      <c r="GA80" s="114">
        <v>13286.032777965938</v>
      </c>
      <c r="GB80" s="114">
        <v>13490.286832333906</v>
      </c>
      <c r="GC80" s="114">
        <v>10791.060081300249</v>
      </c>
      <c r="GD80" s="114">
        <v>14235.625241616406</v>
      </c>
      <c r="GE80" s="114">
        <v>8773.7250286994604</v>
      </c>
      <c r="GF80" s="114">
        <v>3562.8862377196047</v>
      </c>
      <c r="GG80" s="114">
        <v>3321.029999897758</v>
      </c>
      <c r="GH80" s="114">
        <v>3611.0818068906487</v>
      </c>
      <c r="GI80" s="114">
        <v>3016.425399834834</v>
      </c>
      <c r="GJ80" s="114">
        <v>6523.1911566957988</v>
      </c>
      <c r="GK80" s="114">
        <v>13476.698532404427</v>
      </c>
      <c r="GL80" s="114">
        <v>2609.7273919919089</v>
      </c>
      <c r="GM80" s="114">
        <v>15715.731328657961</v>
      </c>
      <c r="GN80" s="114">
        <v>14009.584534920574</v>
      </c>
      <c r="GO80" s="114">
        <v>13414.600070031387</v>
      </c>
      <c r="GP80" s="114">
        <v>13746.496161285973</v>
      </c>
      <c r="GQ80" s="114">
        <v>16651.197445047648</v>
      </c>
      <c r="GR80" s="114">
        <v>13693.617052689653</v>
      </c>
      <c r="GS80" s="114">
        <v>9477.6127003848705</v>
      </c>
      <c r="GT80" s="115">
        <v>13500.478403225699</v>
      </c>
    </row>
    <row r="81" spans="2:202" x14ac:dyDescent="0.6">
      <c r="B81" s="106" t="s">
        <v>70</v>
      </c>
      <c r="C81" s="63" t="s">
        <v>461</v>
      </c>
      <c r="D81" s="113">
        <v>8751.005026179655</v>
      </c>
      <c r="E81" s="114">
        <v>3449.1678177495114</v>
      </c>
      <c r="F81" s="114">
        <v>3946.1078097777945</v>
      </c>
      <c r="G81" s="114">
        <v>3551.9904780743991</v>
      </c>
      <c r="H81" s="114">
        <v>5292.7085940388988</v>
      </c>
      <c r="I81" s="114">
        <v>7020.8066255388885</v>
      </c>
      <c r="J81" s="114">
        <v>6625.6636238982956</v>
      </c>
      <c r="K81" s="114">
        <v>16855.900930209507</v>
      </c>
      <c r="L81" s="114">
        <v>5134.893791133446</v>
      </c>
      <c r="M81" s="114">
        <v>7065.4266261037956</v>
      </c>
      <c r="N81" s="114">
        <v>6931.0396811234241</v>
      </c>
      <c r="O81" s="114">
        <v>6944.6947127733547</v>
      </c>
      <c r="P81" s="114">
        <v>10973.500815821297</v>
      </c>
      <c r="Q81" s="114">
        <v>5008.4899322030806</v>
      </c>
      <c r="R81" s="114">
        <v>6112.1874570641057</v>
      </c>
      <c r="S81" s="114">
        <v>4863.753408030484</v>
      </c>
      <c r="T81" s="114">
        <v>8101.5177164822326</v>
      </c>
      <c r="U81" s="114">
        <v>1785.3107238098828</v>
      </c>
      <c r="V81" s="114">
        <v>10788.642506173079</v>
      </c>
      <c r="W81" s="114">
        <v>6643.6236504028066</v>
      </c>
      <c r="X81" s="114">
        <v>4889.3205464108423</v>
      </c>
      <c r="Y81" s="114">
        <v>5659.0824183960594</v>
      </c>
      <c r="Z81" s="114">
        <v>5130.555079616558</v>
      </c>
      <c r="AA81" s="114">
        <v>4822.5102271340611</v>
      </c>
      <c r="AB81" s="114">
        <v>14103.965843316535</v>
      </c>
      <c r="AC81" s="114">
        <v>5130.7197174238172</v>
      </c>
      <c r="AD81" s="114">
        <v>1369.0191601378012</v>
      </c>
      <c r="AE81" s="114">
        <v>4926.5661649841068</v>
      </c>
      <c r="AF81" s="114">
        <v>1245.4611947722906</v>
      </c>
      <c r="AG81" s="114">
        <v>12786.02947263898</v>
      </c>
      <c r="AH81" s="114">
        <v>2625.9630904001961</v>
      </c>
      <c r="AI81" s="114">
        <v>2817.9396594604577</v>
      </c>
      <c r="AJ81" s="114">
        <v>7366.5048754305608</v>
      </c>
      <c r="AK81" s="114">
        <v>7094.2783503853325</v>
      </c>
      <c r="AL81" s="114">
        <v>3558.7478947405643</v>
      </c>
      <c r="AM81" s="114">
        <v>3082.5671773081208</v>
      </c>
      <c r="AN81" s="114">
        <v>7646.6199099362238</v>
      </c>
      <c r="AO81" s="114">
        <v>13436.043841508013</v>
      </c>
      <c r="AP81" s="114">
        <v>12512.854616897461</v>
      </c>
      <c r="AQ81" s="114">
        <v>6696.399209031375</v>
      </c>
      <c r="AR81" s="114">
        <v>6672.2138671508164</v>
      </c>
      <c r="AS81" s="114">
        <v>3533.054683737822</v>
      </c>
      <c r="AT81" s="114">
        <v>3502.343530718641</v>
      </c>
      <c r="AU81" s="114">
        <v>7721.5287822159398</v>
      </c>
      <c r="AV81" s="114">
        <v>1132.1416368270593</v>
      </c>
      <c r="AW81" s="114">
        <v>4889.0934355279978</v>
      </c>
      <c r="AX81" s="114">
        <v>7436.8858355264947</v>
      </c>
      <c r="AY81" s="114">
        <v>5531.6781290140561</v>
      </c>
      <c r="AZ81" s="114">
        <v>5201.9398523641858</v>
      </c>
      <c r="BA81" s="114">
        <v>5606.2769400276429</v>
      </c>
      <c r="BB81" s="114">
        <v>6089.5869463428153</v>
      </c>
      <c r="BC81" s="114">
        <v>5220.3922695682768</v>
      </c>
      <c r="BD81" s="114">
        <v>6118.0242602591306</v>
      </c>
      <c r="BE81" s="114">
        <v>3510.5809833999524</v>
      </c>
      <c r="BF81" s="114">
        <v>7254.2370377889274</v>
      </c>
      <c r="BG81" s="114">
        <v>5165.6890530670344</v>
      </c>
      <c r="BH81" s="114">
        <v>8226.0499578317085</v>
      </c>
      <c r="BI81" s="114">
        <v>2514.111823404332</v>
      </c>
      <c r="BJ81" s="114">
        <v>5680.6692237551342</v>
      </c>
      <c r="BK81" s="114">
        <v>6397.2954853855308</v>
      </c>
      <c r="BL81" s="114">
        <v>6221.3258781722252</v>
      </c>
      <c r="BM81" s="114">
        <v>5693.3125193583855</v>
      </c>
      <c r="BN81" s="114">
        <v>6491.2304637352499</v>
      </c>
      <c r="BO81" s="114">
        <v>4600.0294139751732</v>
      </c>
      <c r="BP81" s="114">
        <v>2711.3458556004121</v>
      </c>
      <c r="BQ81" s="114">
        <v>545.42406712167417</v>
      </c>
      <c r="BR81" s="114">
        <v>6678.8066674503943</v>
      </c>
      <c r="BS81" s="114">
        <v>5358.2132366995365</v>
      </c>
      <c r="BT81" s="114">
        <v>4915.9508018024771</v>
      </c>
      <c r="BU81" s="114">
        <v>4978.0384548360835</v>
      </c>
      <c r="BV81" s="114">
        <v>1544.2642372975877</v>
      </c>
      <c r="BW81" s="114">
        <v>4854.4704504130068</v>
      </c>
      <c r="BX81" s="114">
        <v>5275.926006821127</v>
      </c>
      <c r="BY81" s="114">
        <v>8334.738169345128</v>
      </c>
      <c r="BZ81" s="114" t="s">
        <v>237</v>
      </c>
      <c r="CA81" s="114">
        <v>321.93245761172977</v>
      </c>
      <c r="CB81" s="114">
        <v>4922.3645338089445</v>
      </c>
      <c r="CC81" s="114">
        <v>6393.6328958000104</v>
      </c>
      <c r="CD81" s="114">
        <v>8008.2149799243334</v>
      </c>
      <c r="CE81" s="114">
        <v>5218.066291965426</v>
      </c>
      <c r="CF81" s="114">
        <v>6127.8932612006711</v>
      </c>
      <c r="CG81" s="114">
        <v>9294.0217599760144</v>
      </c>
      <c r="CH81" s="114">
        <v>9578.3865021231231</v>
      </c>
      <c r="CI81" s="114">
        <v>13388.735744060868</v>
      </c>
      <c r="CJ81" s="114">
        <v>7132.737805575106</v>
      </c>
      <c r="CK81" s="114">
        <v>6459.5163690034406</v>
      </c>
      <c r="CL81" s="114">
        <v>4928.0046929656428</v>
      </c>
      <c r="CM81" s="114">
        <v>3343.7818604140261</v>
      </c>
      <c r="CN81" s="114">
        <v>4386.3537240238375</v>
      </c>
      <c r="CO81" s="114">
        <v>4568.7518146207958</v>
      </c>
      <c r="CP81" s="114">
        <v>6847.9965561536237</v>
      </c>
      <c r="CQ81" s="114">
        <v>14281.517454775108</v>
      </c>
      <c r="CR81" s="114">
        <v>5615.6861312156716</v>
      </c>
      <c r="CS81" s="114">
        <v>8842.117756847947</v>
      </c>
      <c r="CT81" s="114">
        <v>5654.4994001204741</v>
      </c>
      <c r="CU81" s="114">
        <v>6746.5435612607089</v>
      </c>
      <c r="CV81" s="114">
        <v>9143.8231778713271</v>
      </c>
      <c r="CW81" s="114">
        <v>12357.575712093741</v>
      </c>
      <c r="CX81" s="114">
        <v>6174.0497340172087</v>
      </c>
      <c r="CY81" s="114">
        <v>5656.748395042935</v>
      </c>
      <c r="CZ81" s="114">
        <v>6115.1543452657261</v>
      </c>
      <c r="DA81" s="114">
        <v>479.87956943495016</v>
      </c>
      <c r="DB81" s="114">
        <v>3754.9220326149616</v>
      </c>
      <c r="DC81" s="114">
        <v>4721.3205080887665</v>
      </c>
      <c r="DD81" s="114">
        <v>6066.2559064925399</v>
      </c>
      <c r="DE81" s="114">
        <v>4812.7614782597966</v>
      </c>
      <c r="DF81" s="114">
        <v>7350.3395952497131</v>
      </c>
      <c r="DG81" s="114">
        <v>5792.5434194996478</v>
      </c>
      <c r="DH81" s="114">
        <v>12671.443910150916</v>
      </c>
      <c r="DI81" s="114">
        <v>9582.0858923265278</v>
      </c>
      <c r="DJ81" s="114">
        <v>731.97883284819477</v>
      </c>
      <c r="DK81" s="114">
        <v>4055.0777859666414</v>
      </c>
      <c r="DL81" s="114">
        <v>8401.2620535914029</v>
      </c>
      <c r="DM81" s="114">
        <v>8423.1160410721204</v>
      </c>
      <c r="DN81" s="114">
        <v>9212.7486109922447</v>
      </c>
      <c r="DO81" s="114">
        <v>5784.4800614383184</v>
      </c>
      <c r="DP81" s="114">
        <v>4331.4250158267359</v>
      </c>
      <c r="DQ81" s="114">
        <v>11387.688334305893</v>
      </c>
      <c r="DR81" s="114">
        <v>4873.3094463157386</v>
      </c>
      <c r="DS81" s="114">
        <v>2832.5558727822581</v>
      </c>
      <c r="DT81" s="114">
        <v>6291.4204473292193</v>
      </c>
      <c r="DU81" s="114">
        <v>11770.42869171494</v>
      </c>
      <c r="DV81" s="114">
        <v>4842.102339613386</v>
      </c>
      <c r="DW81" s="114">
        <v>10376.652317157488</v>
      </c>
      <c r="DX81" s="114">
        <v>5046.1717785467663</v>
      </c>
      <c r="DY81" s="114">
        <v>16837.921488411892</v>
      </c>
      <c r="DZ81" s="114">
        <v>16384.092357210411</v>
      </c>
      <c r="EA81" s="114">
        <v>7928.5188590582384</v>
      </c>
      <c r="EB81" s="114">
        <v>1751.9165462760684</v>
      </c>
      <c r="EC81" s="114">
        <v>2284.2246325137244</v>
      </c>
      <c r="ED81" s="114">
        <v>13157.012833555222</v>
      </c>
      <c r="EE81" s="114">
        <v>4972.7721209194551</v>
      </c>
      <c r="EF81" s="114">
        <v>5937.3853093352682</v>
      </c>
      <c r="EG81" s="114">
        <v>7755.0472787865465</v>
      </c>
      <c r="EH81" s="114">
        <v>8629.5538568234242</v>
      </c>
      <c r="EI81" s="114">
        <v>9126.3609597581199</v>
      </c>
      <c r="EJ81" s="114">
        <v>7207.8209923894165</v>
      </c>
      <c r="EK81" s="114">
        <v>6093.3934928043136</v>
      </c>
      <c r="EL81" s="114">
        <v>7406.5494546412074</v>
      </c>
      <c r="EM81" s="114">
        <v>14347.415103006246</v>
      </c>
      <c r="EN81" s="114">
        <v>5691.8436805351848</v>
      </c>
      <c r="EO81" s="114">
        <v>3268.6743005731005</v>
      </c>
      <c r="EP81" s="114">
        <v>7045.1775448493672</v>
      </c>
      <c r="EQ81" s="114">
        <v>5438.404243628308</v>
      </c>
      <c r="ER81" s="114">
        <v>6802.428353065904</v>
      </c>
      <c r="ES81" s="114">
        <v>4970.8636512216808</v>
      </c>
      <c r="ET81" s="114">
        <v>5355.6005981918834</v>
      </c>
      <c r="EU81" s="114">
        <v>5147.1873675754232</v>
      </c>
      <c r="EV81" s="114">
        <v>5203.4160991488206</v>
      </c>
      <c r="EW81" s="114">
        <v>4553.7694811780921</v>
      </c>
      <c r="EX81" s="114">
        <v>2426.3312487319431</v>
      </c>
      <c r="EY81" s="114">
        <v>6543.9012356197318</v>
      </c>
      <c r="EZ81" s="114">
        <v>697.3152306502808</v>
      </c>
      <c r="FA81" s="114">
        <v>5088.2867815513191</v>
      </c>
      <c r="FB81" s="114">
        <v>115.56268862189954</v>
      </c>
      <c r="FC81" s="114">
        <v>12973.093630088593</v>
      </c>
      <c r="FD81" s="114">
        <v>5176.4733771742176</v>
      </c>
      <c r="FE81" s="114">
        <v>4867.4462801822356</v>
      </c>
      <c r="FF81" s="114">
        <v>6542.2742467725038</v>
      </c>
      <c r="FG81" s="114">
        <v>5931.7952236970796</v>
      </c>
      <c r="FH81" s="114">
        <v>13368.132743531069</v>
      </c>
      <c r="FI81" s="114">
        <v>4994.7172957611328</v>
      </c>
      <c r="FJ81" s="114">
        <v>3582.8806678359892</v>
      </c>
      <c r="FK81" s="114">
        <v>3886.0588237879297</v>
      </c>
      <c r="FL81" s="114">
        <v>10248.415826672897</v>
      </c>
      <c r="FM81" s="114">
        <v>5015.9653325093159</v>
      </c>
      <c r="FN81" s="114">
        <v>4605.0115430828318</v>
      </c>
      <c r="FO81" s="114">
        <v>6147.8897163147922</v>
      </c>
      <c r="FP81" s="114">
        <v>4589.1707710381752</v>
      </c>
      <c r="FQ81" s="114">
        <v>5726.9823270293791</v>
      </c>
      <c r="FR81" s="114">
        <v>13829.690189786448</v>
      </c>
      <c r="FS81" s="114">
        <v>8670.920835162975</v>
      </c>
      <c r="FT81" s="114">
        <v>6115.5107986251005</v>
      </c>
      <c r="FU81" s="114">
        <v>12283.09811444689</v>
      </c>
      <c r="FV81" s="114">
        <v>15487.66008548768</v>
      </c>
      <c r="FW81" s="114">
        <v>1657.1139360735904</v>
      </c>
      <c r="FX81" s="114">
        <v>5255.1232032986645</v>
      </c>
      <c r="FY81" s="114">
        <v>3849.0310634491657</v>
      </c>
      <c r="FZ81" s="114">
        <v>5657.1555524795413</v>
      </c>
      <c r="GA81" s="114">
        <v>7711.0725882182433</v>
      </c>
      <c r="GB81" s="114">
        <v>5167.4961148580514</v>
      </c>
      <c r="GC81" s="114">
        <v>6070.1267592718359</v>
      </c>
      <c r="GD81" s="114">
        <v>7332.9119657205401</v>
      </c>
      <c r="GE81" s="114">
        <v>4836.2749487690398</v>
      </c>
      <c r="GF81" s="114">
        <v>10760.023502718092</v>
      </c>
      <c r="GG81" s="114">
        <v>6865.1946939511663</v>
      </c>
      <c r="GH81" s="114">
        <v>6672.8185242259487</v>
      </c>
      <c r="GI81" s="114">
        <v>7078.7182518991967</v>
      </c>
      <c r="GJ81" s="114">
        <v>6619.6928475424029</v>
      </c>
      <c r="GK81" s="114">
        <v>8711.0440240360349</v>
      </c>
      <c r="GL81" s="114">
        <v>5808.4425100313365</v>
      </c>
      <c r="GM81" s="114">
        <v>12548.890859578256</v>
      </c>
      <c r="GN81" s="114">
        <v>6285.5679859315196</v>
      </c>
      <c r="GO81" s="114">
        <v>5340.1333540529404</v>
      </c>
      <c r="GP81" s="114">
        <v>5721.7346383308013</v>
      </c>
      <c r="GQ81" s="114">
        <v>13024.857237758393</v>
      </c>
      <c r="GR81" s="114">
        <v>16636.704864160827</v>
      </c>
      <c r="GS81" s="114">
        <v>4716.3767720907972</v>
      </c>
      <c r="GT81" s="115">
        <v>5973.8494779171651</v>
      </c>
    </row>
    <row r="82" spans="2:202" x14ac:dyDescent="0.6">
      <c r="B82" s="106" t="s">
        <v>71</v>
      </c>
      <c r="C82" s="63" t="s">
        <v>462</v>
      </c>
      <c r="D82" s="113">
        <v>8798.8216630644547</v>
      </c>
      <c r="E82" s="114">
        <v>3340.7282744017107</v>
      </c>
      <c r="F82" s="114">
        <v>3796.9959941104416</v>
      </c>
      <c r="G82" s="114">
        <v>3863.25584206131</v>
      </c>
      <c r="H82" s="114">
        <v>5027.2011639889461</v>
      </c>
      <c r="I82" s="114">
        <v>7066.6760869049167</v>
      </c>
      <c r="J82" s="114">
        <v>6631.6607630122198</v>
      </c>
      <c r="K82" s="114">
        <v>17167.646472427656</v>
      </c>
      <c r="L82" s="114">
        <v>5025.81451113409</v>
      </c>
      <c r="M82" s="114">
        <v>7075.085461545943</v>
      </c>
      <c r="N82" s="114">
        <v>6639.8924620265934</v>
      </c>
      <c r="O82" s="114">
        <v>7042.1263552348628</v>
      </c>
      <c r="P82" s="114">
        <v>11060.771144876888</v>
      </c>
      <c r="Q82" s="114">
        <v>4762.4806671884826</v>
      </c>
      <c r="R82" s="114">
        <v>6006.6626186331277</v>
      </c>
      <c r="S82" s="114">
        <v>4698.6084866348874</v>
      </c>
      <c r="T82" s="114">
        <v>7832.8910659160711</v>
      </c>
      <c r="U82" s="114">
        <v>2046.5659020403727</v>
      </c>
      <c r="V82" s="114">
        <v>10856.417971171684</v>
      </c>
      <c r="W82" s="114">
        <v>6556.2090521528135</v>
      </c>
      <c r="X82" s="114">
        <v>4813.5529612879209</v>
      </c>
      <c r="Y82" s="114">
        <v>5979.2701314336764</v>
      </c>
      <c r="Z82" s="114">
        <v>5162.8545966109714</v>
      </c>
      <c r="AA82" s="114">
        <v>4869.0141868472319</v>
      </c>
      <c r="AB82" s="114">
        <v>14253.909449699155</v>
      </c>
      <c r="AC82" s="114">
        <v>5078.4236337023231</v>
      </c>
      <c r="AD82" s="114">
        <v>1541.9483226750829</v>
      </c>
      <c r="AE82" s="114">
        <v>5195.6624610184745</v>
      </c>
      <c r="AF82" s="114">
        <v>941.59738235642499</v>
      </c>
      <c r="AG82" s="114">
        <v>12915.646922561629</v>
      </c>
      <c r="AH82" s="114">
        <v>2888.7564108571019</v>
      </c>
      <c r="AI82" s="114">
        <v>3081.2584835042994</v>
      </c>
      <c r="AJ82" s="114">
        <v>7045.6168611415824</v>
      </c>
      <c r="AK82" s="114">
        <v>6772.5930174226232</v>
      </c>
      <c r="AL82" s="114">
        <v>3805.2493096695589</v>
      </c>
      <c r="AM82" s="114">
        <v>3269.1816133042717</v>
      </c>
      <c r="AN82" s="114">
        <v>7647.9657696881641</v>
      </c>
      <c r="AO82" s="114">
        <v>13411.004060271252</v>
      </c>
      <c r="AP82" s="114">
        <v>12462.27117906178</v>
      </c>
      <c r="AQ82" s="114">
        <v>6486.7448457110349</v>
      </c>
      <c r="AR82" s="114">
        <v>6953.7254663343192</v>
      </c>
      <c r="AS82" s="114">
        <v>3828.6037072985887</v>
      </c>
      <c r="AT82" s="114">
        <v>3797.3700421234162</v>
      </c>
      <c r="AU82" s="114">
        <v>7482.3205996355819</v>
      </c>
      <c r="AV82" s="114">
        <v>1427.8460797118571</v>
      </c>
      <c r="AW82" s="114">
        <v>4791.7431589640291</v>
      </c>
      <c r="AX82" s="114">
        <v>7151.3004782370517</v>
      </c>
      <c r="AY82" s="114">
        <v>5554.8220138099423</v>
      </c>
      <c r="AZ82" s="114">
        <v>5076.3273478530627</v>
      </c>
      <c r="BA82" s="114">
        <v>5451.9991819836014</v>
      </c>
      <c r="BB82" s="114">
        <v>6275.8030883878637</v>
      </c>
      <c r="BC82" s="114">
        <v>4963.5874581071739</v>
      </c>
      <c r="BD82" s="114">
        <v>5848.319472584215</v>
      </c>
      <c r="BE82" s="114">
        <v>3805.9599382355209</v>
      </c>
      <c r="BF82" s="114">
        <v>7062.5880759922948</v>
      </c>
      <c r="BG82" s="114">
        <v>5221.5441217928692</v>
      </c>
      <c r="BH82" s="114">
        <v>7969.9714535899684</v>
      </c>
      <c r="BI82" s="114">
        <v>2783.9887589024374</v>
      </c>
      <c r="BJ82" s="114">
        <v>5844.0499924890564</v>
      </c>
      <c r="BK82" s="114">
        <v>6257.8606011800484</v>
      </c>
      <c r="BL82" s="114">
        <v>6540.3231068438954</v>
      </c>
      <c r="BM82" s="114">
        <v>5892.9621328954281</v>
      </c>
      <c r="BN82" s="114">
        <v>6348.7921638365578</v>
      </c>
      <c r="BO82" s="114">
        <v>4432.9640592881324</v>
      </c>
      <c r="BP82" s="114">
        <v>2999.3566647503162</v>
      </c>
      <c r="BQ82" s="114">
        <v>228.15104088846559</v>
      </c>
      <c r="BR82" s="114">
        <v>6676.5973852052402</v>
      </c>
      <c r="BS82" s="114">
        <v>5219.2506472598598</v>
      </c>
      <c r="BT82" s="114">
        <v>4789.6028744885125</v>
      </c>
      <c r="BU82" s="114">
        <v>4831.873791683629</v>
      </c>
      <c r="BV82" s="114">
        <v>1822.8644802778315</v>
      </c>
      <c r="BW82" s="114">
        <v>4836.1250236256792</v>
      </c>
      <c r="BX82" s="114">
        <v>5034.5798439077162</v>
      </c>
      <c r="BY82" s="114">
        <v>8074.721854568902</v>
      </c>
      <c r="BZ82" s="114">
        <v>321.93245761172977</v>
      </c>
      <c r="CA82" s="114" t="s">
        <v>237</v>
      </c>
      <c r="CB82" s="114">
        <v>4714.4659618441437</v>
      </c>
      <c r="CC82" s="114">
        <v>6123.5565463437561</v>
      </c>
      <c r="CD82" s="114">
        <v>7750.6149395534712</v>
      </c>
      <c r="CE82" s="114">
        <v>5123.128157917823</v>
      </c>
      <c r="CF82" s="114">
        <v>5873.9442478409746</v>
      </c>
      <c r="CG82" s="114">
        <v>9421.7283586129179</v>
      </c>
      <c r="CH82" s="114">
        <v>9653.7307834685689</v>
      </c>
      <c r="CI82" s="114">
        <v>13606.561726532625</v>
      </c>
      <c r="CJ82" s="114">
        <v>7173.4634627864507</v>
      </c>
      <c r="CK82" s="114">
        <v>6509.7557682722345</v>
      </c>
      <c r="CL82" s="114">
        <v>4716.8322066667497</v>
      </c>
      <c r="CM82" s="114">
        <v>3022.2945699877387</v>
      </c>
      <c r="CN82" s="114">
        <v>4298.1927030761035</v>
      </c>
      <c r="CO82" s="114">
        <v>4445.1817796916384</v>
      </c>
      <c r="CP82" s="114">
        <v>6579.0722333565818</v>
      </c>
      <c r="CQ82" s="114">
        <v>14162.73121437509</v>
      </c>
      <c r="CR82" s="114">
        <v>5667.173894542052</v>
      </c>
      <c r="CS82" s="114">
        <v>8793.6489661945689</v>
      </c>
      <c r="CT82" s="114">
        <v>5906.4241246903275</v>
      </c>
      <c r="CU82" s="114">
        <v>6823.7724204425831</v>
      </c>
      <c r="CV82" s="114">
        <v>9142.5754759682186</v>
      </c>
      <c r="CW82" s="114">
        <v>12457.061601512292</v>
      </c>
      <c r="CX82" s="114">
        <v>6046.0791262367011</v>
      </c>
      <c r="CY82" s="114">
        <v>5694.2965412212525</v>
      </c>
      <c r="CZ82" s="114">
        <v>6436.7773847474637</v>
      </c>
      <c r="DA82" s="114">
        <v>801.62380886605081</v>
      </c>
      <c r="DB82" s="114">
        <v>3735.1210032780382</v>
      </c>
      <c r="DC82" s="114">
        <v>4590.6561740543702</v>
      </c>
      <c r="DD82" s="114">
        <v>5951.3662571121222</v>
      </c>
      <c r="DE82" s="114">
        <v>4659.19848946608</v>
      </c>
      <c r="DF82" s="114">
        <v>7646.6253285032062</v>
      </c>
      <c r="DG82" s="114">
        <v>6090.9716265407178</v>
      </c>
      <c r="DH82" s="114">
        <v>12848.74787754395</v>
      </c>
      <c r="DI82" s="114">
        <v>9781.2144441457694</v>
      </c>
      <c r="DJ82" s="114">
        <v>865.21673697953565</v>
      </c>
      <c r="DK82" s="114">
        <v>4017.0235772798742</v>
      </c>
      <c r="DL82" s="114">
        <v>8694.0023239057919</v>
      </c>
      <c r="DM82" s="114">
        <v>8715.8726453450945</v>
      </c>
      <c r="DN82" s="114">
        <v>8934.3446045194542</v>
      </c>
      <c r="DO82" s="114">
        <v>5719.4209119754632</v>
      </c>
      <c r="DP82" s="114">
        <v>4208.0876728143221</v>
      </c>
      <c r="DQ82" s="114">
        <v>11318.329578899791</v>
      </c>
      <c r="DR82" s="114">
        <v>4807.889907697614</v>
      </c>
      <c r="DS82" s="114">
        <v>2657.5605958529632</v>
      </c>
      <c r="DT82" s="114">
        <v>6609.3293224168856</v>
      </c>
      <c r="DU82" s="114">
        <v>11885.909362899456</v>
      </c>
      <c r="DV82" s="114">
        <v>5163.9411905054667</v>
      </c>
      <c r="DW82" s="114">
        <v>10448.953455395231</v>
      </c>
      <c r="DX82" s="114">
        <v>4876.8148858591521</v>
      </c>
      <c r="DY82" s="114">
        <v>17009.622590374824</v>
      </c>
      <c r="DZ82" s="114">
        <v>16571.086124568759</v>
      </c>
      <c r="EA82" s="114">
        <v>7678.5493679891015</v>
      </c>
      <c r="EB82" s="114">
        <v>1912.2003219843314</v>
      </c>
      <c r="EC82" s="114">
        <v>2505.0287731790431</v>
      </c>
      <c r="ED82" s="114">
        <v>13080.99324163068</v>
      </c>
      <c r="EE82" s="114">
        <v>4917.0486808395881</v>
      </c>
      <c r="EF82" s="114">
        <v>5763.6703808448292</v>
      </c>
      <c r="EG82" s="114">
        <v>7867.6583103725861</v>
      </c>
      <c r="EH82" s="114">
        <v>8730.2977940630481</v>
      </c>
      <c r="EI82" s="114">
        <v>9177.0753237042099</v>
      </c>
      <c r="EJ82" s="114">
        <v>6973.3820662674871</v>
      </c>
      <c r="EK82" s="114">
        <v>6089.6859038353941</v>
      </c>
      <c r="EL82" s="114">
        <v>7278.0773423761111</v>
      </c>
      <c r="EM82" s="114">
        <v>14421.123608235779</v>
      </c>
      <c r="EN82" s="114">
        <v>5577.3910044449512</v>
      </c>
      <c r="EO82" s="114">
        <v>3064.4468634959871</v>
      </c>
      <c r="EP82" s="114">
        <v>7148.3812946674252</v>
      </c>
      <c r="EQ82" s="114">
        <v>5383.0231969259885</v>
      </c>
      <c r="ER82" s="114">
        <v>6704.7759044094946</v>
      </c>
      <c r="ES82" s="114">
        <v>5232.1617201317804</v>
      </c>
      <c r="ET82" s="114">
        <v>5089.9526871323387</v>
      </c>
      <c r="EU82" s="114">
        <v>4896.1141541873594</v>
      </c>
      <c r="EV82" s="114">
        <v>4956.8901351339009</v>
      </c>
      <c r="EW82" s="114">
        <v>4453.9531236222601</v>
      </c>
      <c r="EX82" s="114">
        <v>2722.1720286878294</v>
      </c>
      <c r="EY82" s="114">
        <v>6650.9079724907342</v>
      </c>
      <c r="EZ82" s="114">
        <v>378.19820497871291</v>
      </c>
      <c r="FA82" s="114">
        <v>5013.9581589005857</v>
      </c>
      <c r="FB82" s="114">
        <v>430.17634767549714</v>
      </c>
      <c r="FC82" s="114">
        <v>13156.433211597934</v>
      </c>
      <c r="FD82" s="114">
        <v>5070.4536788854302</v>
      </c>
      <c r="FE82" s="114">
        <v>4762.3396298179096</v>
      </c>
      <c r="FF82" s="114">
        <v>6771.7220186369877</v>
      </c>
      <c r="FG82" s="114">
        <v>6251.5477790780214</v>
      </c>
      <c r="FH82" s="114">
        <v>13295.981801846188</v>
      </c>
      <c r="FI82" s="114">
        <v>5222.47849634256</v>
      </c>
      <c r="FJ82" s="114">
        <v>3412.3378213927244</v>
      </c>
      <c r="FK82" s="114">
        <v>3745.8343538423951</v>
      </c>
      <c r="FL82" s="114">
        <v>10429.094320414695</v>
      </c>
      <c r="FM82" s="114">
        <v>5178.9099870801028</v>
      </c>
      <c r="FN82" s="114">
        <v>4406.5921077139546</v>
      </c>
      <c r="FO82" s="114">
        <v>5994.1766999300153</v>
      </c>
      <c r="FP82" s="114">
        <v>4452.0026292234306</v>
      </c>
      <c r="FQ82" s="114">
        <v>5767.4240949221612</v>
      </c>
      <c r="FR82" s="114">
        <v>13837.766104390654</v>
      </c>
      <c r="FS82" s="114">
        <v>8695.9686654922371</v>
      </c>
      <c r="FT82" s="114">
        <v>6386.2869455803457</v>
      </c>
      <c r="FU82" s="114">
        <v>12408.139848410161</v>
      </c>
      <c r="FV82" s="114">
        <v>15704.12682421102</v>
      </c>
      <c r="FW82" s="114">
        <v>1923.546905914468</v>
      </c>
      <c r="FX82" s="114">
        <v>5021.1915573994102</v>
      </c>
      <c r="FY82" s="114">
        <v>3782.9459823609595</v>
      </c>
      <c r="FZ82" s="114">
        <v>5648.2307393475348</v>
      </c>
      <c r="GA82" s="114">
        <v>7738.5151097358339</v>
      </c>
      <c r="GB82" s="114">
        <v>5417.9669248380724</v>
      </c>
      <c r="GC82" s="114">
        <v>5989.0597755293929</v>
      </c>
      <c r="GD82" s="114">
        <v>7441.1327614697484</v>
      </c>
      <c r="GE82" s="114">
        <v>4651.7351770433925</v>
      </c>
      <c r="GF82" s="114">
        <v>10445.333993067045</v>
      </c>
      <c r="GG82" s="114">
        <v>6545.6843029377251</v>
      </c>
      <c r="GH82" s="114">
        <v>6351.9010886015376</v>
      </c>
      <c r="GI82" s="114">
        <v>6761.2537284324562</v>
      </c>
      <c r="GJ82" s="114">
        <v>6669.5432269745997</v>
      </c>
      <c r="GK82" s="114">
        <v>8719.5016071469709</v>
      </c>
      <c r="GL82" s="114">
        <v>5574.2515988989835</v>
      </c>
      <c r="GM82" s="114">
        <v>12623.169509386335</v>
      </c>
      <c r="GN82" s="114">
        <v>6446.7726627026577</v>
      </c>
      <c r="GO82" s="114">
        <v>5646.9689025995849</v>
      </c>
      <c r="GP82" s="114">
        <v>6029.8103105055879</v>
      </c>
      <c r="GQ82" s="114">
        <v>13153.603302094534</v>
      </c>
      <c r="GR82" s="114">
        <v>16949.986633987442</v>
      </c>
      <c r="GS82" s="114">
        <v>4581.1341517083747</v>
      </c>
      <c r="GT82" s="115">
        <v>6294.0983406600917</v>
      </c>
    </row>
    <row r="83" spans="2:202" x14ac:dyDescent="0.6">
      <c r="B83" s="106" t="s">
        <v>72</v>
      </c>
      <c r="C83" s="63" t="s">
        <v>463</v>
      </c>
      <c r="D83" s="113">
        <v>12860.225325279063</v>
      </c>
      <c r="E83" s="114">
        <v>7016.8084498661074</v>
      </c>
      <c r="F83" s="114">
        <v>7035.3265481239987</v>
      </c>
      <c r="G83" s="114">
        <v>8074.306933158744</v>
      </c>
      <c r="H83" s="114">
        <v>1248.1597389487806</v>
      </c>
      <c r="I83" s="114">
        <v>4763.1830724134534</v>
      </c>
      <c r="J83" s="114">
        <v>10586.00635370296</v>
      </c>
      <c r="K83" s="114">
        <v>15746.253465033564</v>
      </c>
      <c r="L83" s="114">
        <v>8309.8920674483179</v>
      </c>
      <c r="M83" s="114">
        <v>11011.715518636098</v>
      </c>
      <c r="N83" s="114">
        <v>2893.9328955104429</v>
      </c>
      <c r="O83" s="114">
        <v>11500.0736871887</v>
      </c>
      <c r="P83" s="114">
        <v>15233.165213682136</v>
      </c>
      <c r="Q83" s="114">
        <v>739.70253674251478</v>
      </c>
      <c r="R83" s="114">
        <v>9124.2937889705208</v>
      </c>
      <c r="S83" s="114">
        <v>7518.7569651389194</v>
      </c>
      <c r="T83" s="114">
        <v>3485.9215371180094</v>
      </c>
      <c r="U83" s="114">
        <v>6686.0074398950137</v>
      </c>
      <c r="V83" s="114">
        <v>14887.289732135741</v>
      </c>
      <c r="W83" s="114">
        <v>2752.7218183915197</v>
      </c>
      <c r="X83" s="114">
        <v>8413.4350651143595</v>
      </c>
      <c r="Y83" s="114">
        <v>9672.5693026791705</v>
      </c>
      <c r="Z83" s="114">
        <v>3567.0508003444661</v>
      </c>
      <c r="AA83" s="114">
        <v>3651.6371980246795</v>
      </c>
      <c r="AB83" s="114">
        <v>18571.202282860606</v>
      </c>
      <c r="AC83" s="114">
        <v>8808.8128564934577</v>
      </c>
      <c r="AD83" s="114">
        <v>6256.0254944933786</v>
      </c>
      <c r="AE83" s="114">
        <v>9749.4969559943529</v>
      </c>
      <c r="AF83" s="114">
        <v>3909.8550192778575</v>
      </c>
      <c r="AG83" s="114">
        <v>17253.109856474162</v>
      </c>
      <c r="AH83" s="114">
        <v>7509.8306656970972</v>
      </c>
      <c r="AI83" s="114">
        <v>7697.432155125729</v>
      </c>
      <c r="AJ83" s="114">
        <v>4627.9970017411242</v>
      </c>
      <c r="AK83" s="114">
        <v>4623.4566348757517</v>
      </c>
      <c r="AL83" s="114">
        <v>8462.3326740555276</v>
      </c>
      <c r="AM83" s="114">
        <v>7982.912119412249</v>
      </c>
      <c r="AN83" s="114">
        <v>4605.1185938141862</v>
      </c>
      <c r="AO83" s="114">
        <v>15820.351799948898</v>
      </c>
      <c r="AP83" s="114">
        <v>14861.357328523041</v>
      </c>
      <c r="AQ83" s="114">
        <v>1774.0567746490319</v>
      </c>
      <c r="AR83" s="114">
        <v>11374.31048359381</v>
      </c>
      <c r="AS83" s="114">
        <v>8239.6473003781339</v>
      </c>
      <c r="AT83" s="114">
        <v>8214.7095647664391</v>
      </c>
      <c r="AU83" s="114">
        <v>2871.006376797608</v>
      </c>
      <c r="AV83" s="114">
        <v>5981.7251474918949</v>
      </c>
      <c r="AW83" s="114">
        <v>8224.6979604493063</v>
      </c>
      <c r="AX83" s="114">
        <v>3169.9677176949735</v>
      </c>
      <c r="AY83" s="114">
        <v>9716.5598363029439</v>
      </c>
      <c r="AZ83" s="114">
        <v>8197.312784226513</v>
      </c>
      <c r="BA83" s="114">
        <v>8187.2229700819707</v>
      </c>
      <c r="BB83" s="114">
        <v>10985.640111987428</v>
      </c>
      <c r="BC83" s="114">
        <v>1025.524416953097</v>
      </c>
      <c r="BD83" s="114">
        <v>1807.4091913873413</v>
      </c>
      <c r="BE83" s="114">
        <v>8219.7051762552801</v>
      </c>
      <c r="BF83" s="114">
        <v>2363.3656722837086</v>
      </c>
      <c r="BG83" s="114">
        <v>9575.7018786970802</v>
      </c>
      <c r="BH83" s="114">
        <v>3475.2327898131875</v>
      </c>
      <c r="BI83" s="114">
        <v>7383.166907371964</v>
      </c>
      <c r="BJ83" s="114">
        <v>10528.702116018787</v>
      </c>
      <c r="BK83" s="114">
        <v>8966.0702576210315</v>
      </c>
      <c r="BL83" s="114">
        <v>10244.496783893494</v>
      </c>
      <c r="BM83" s="114">
        <v>10607.413839662167</v>
      </c>
      <c r="BN83" s="114">
        <v>9002.0590722804372</v>
      </c>
      <c r="BO83" s="114">
        <v>7310.6738433272458</v>
      </c>
      <c r="BP83" s="114">
        <v>7505.9881785993748</v>
      </c>
      <c r="BQ83" s="114">
        <v>4625.8769411564026</v>
      </c>
      <c r="BR83" s="114">
        <v>10567.967280935902</v>
      </c>
      <c r="BS83" s="114">
        <v>8175.1285937570519</v>
      </c>
      <c r="BT83" s="114">
        <v>7970.4017772549205</v>
      </c>
      <c r="BU83" s="114">
        <v>7811.8930627569525</v>
      </c>
      <c r="BV83" s="114">
        <v>6419.390659460164</v>
      </c>
      <c r="BW83" s="114">
        <v>8826.3711949672997</v>
      </c>
      <c r="BX83" s="114">
        <v>734.9503430847019</v>
      </c>
      <c r="BY83" s="114">
        <v>3613.8975675119359</v>
      </c>
      <c r="BZ83" s="114">
        <v>4922.3645338089445</v>
      </c>
      <c r="CA83" s="114">
        <v>4714.4659618441437</v>
      </c>
      <c r="CB83" s="114" t="s">
        <v>237</v>
      </c>
      <c r="CC83" s="114">
        <v>2019.3964708890978</v>
      </c>
      <c r="CD83" s="114">
        <v>3280.7144720641363</v>
      </c>
      <c r="CE83" s="114">
        <v>8510.4234050875039</v>
      </c>
      <c r="CF83" s="114">
        <v>7030.3819299749912</v>
      </c>
      <c r="CG83" s="114">
        <v>13942.421648745301</v>
      </c>
      <c r="CH83" s="114">
        <v>13849.004739805987</v>
      </c>
      <c r="CI83" s="114">
        <v>18303.627330897059</v>
      </c>
      <c r="CJ83" s="114">
        <v>11313.196538210475</v>
      </c>
      <c r="CK83" s="114">
        <v>10753.541177280575</v>
      </c>
      <c r="CL83" s="114">
        <v>6982.0075708391169</v>
      </c>
      <c r="CM83" s="114">
        <v>3683.7551262833736</v>
      </c>
      <c r="CN83" s="114">
        <v>7902.596480895817</v>
      </c>
      <c r="CO83" s="114">
        <v>7732.8739770459024</v>
      </c>
      <c r="CP83" s="114">
        <v>2367.9558181527482</v>
      </c>
      <c r="CQ83" s="114">
        <v>14965.734279036298</v>
      </c>
      <c r="CR83" s="114">
        <v>9972.3569289824409</v>
      </c>
      <c r="CS83" s="114">
        <v>12002.86857695399</v>
      </c>
      <c r="CT83" s="114">
        <v>10530.413727225949</v>
      </c>
      <c r="CU83" s="114">
        <v>11194.134826120297</v>
      </c>
      <c r="CV83" s="114">
        <v>12760.56464618793</v>
      </c>
      <c r="CW83" s="114">
        <v>16580.916490676856</v>
      </c>
      <c r="CX83" s="114">
        <v>8926.9623042277126</v>
      </c>
      <c r="CY83" s="114">
        <v>9924.8597784499761</v>
      </c>
      <c r="CZ83" s="114">
        <v>9917.8600818047762</v>
      </c>
      <c r="DA83" s="114">
        <v>5264.1604789579751</v>
      </c>
      <c r="DB83" s="114">
        <v>7858.0352256246751</v>
      </c>
      <c r="DC83" s="114">
        <v>7779.8074323158799</v>
      </c>
      <c r="DD83" s="114">
        <v>8987.4274882276968</v>
      </c>
      <c r="DE83" s="114">
        <v>7610.6965492216386</v>
      </c>
      <c r="DF83" s="114">
        <v>11859.6415514653</v>
      </c>
      <c r="DG83" s="114">
        <v>10353.687191370196</v>
      </c>
      <c r="DH83" s="114">
        <v>17503.854084492279</v>
      </c>
      <c r="DI83" s="114">
        <v>14495.166162391393</v>
      </c>
      <c r="DJ83" s="114">
        <v>5577.3726315580616</v>
      </c>
      <c r="DK83" s="114">
        <v>8000.4000173143995</v>
      </c>
      <c r="DL83" s="114">
        <v>12906.039539276546</v>
      </c>
      <c r="DM83" s="114">
        <v>12926.468698469203</v>
      </c>
      <c r="DN83" s="114">
        <v>4646.8394199382647</v>
      </c>
      <c r="DO83" s="114">
        <v>9251.0991172533977</v>
      </c>
      <c r="DP83" s="114">
        <v>7555.4730913382109</v>
      </c>
      <c r="DQ83" s="114">
        <v>13788.609217643176</v>
      </c>
      <c r="DR83" s="114">
        <v>8486.0838368212062</v>
      </c>
      <c r="DS83" s="114">
        <v>6077.5824659289374</v>
      </c>
      <c r="DT83" s="114">
        <v>10362.974684141982</v>
      </c>
      <c r="DU83" s="114">
        <v>16208.200375471486</v>
      </c>
      <c r="DV83" s="114">
        <v>8774.6514161629948</v>
      </c>
      <c r="DW83" s="114">
        <v>14557.035417544239</v>
      </c>
      <c r="DX83" s="114">
        <v>7599.898829755587</v>
      </c>
      <c r="DY83" s="114">
        <v>13699.114714335563</v>
      </c>
      <c r="DZ83" s="114">
        <v>13562.708077808058</v>
      </c>
      <c r="EA83" s="114">
        <v>3140.8039665432634</v>
      </c>
      <c r="EB83" s="114">
        <v>6621.0196699369681</v>
      </c>
      <c r="EC83" s="114">
        <v>7206.4147036966251</v>
      </c>
      <c r="ED83" s="114">
        <v>14933.47281718247</v>
      </c>
      <c r="EE83" s="114">
        <v>8647.7495737015997</v>
      </c>
      <c r="EF83" s="114">
        <v>8189.131684792811</v>
      </c>
      <c r="EG83" s="114">
        <v>12365.876196987605</v>
      </c>
      <c r="EH83" s="114">
        <v>13137.944454676901</v>
      </c>
      <c r="EI83" s="114">
        <v>13228.282574973249</v>
      </c>
      <c r="EJ83" s="114">
        <v>2344.1901751628448</v>
      </c>
      <c r="EK83" s="114">
        <v>3514.8798720113837</v>
      </c>
      <c r="EL83" s="114">
        <v>2930.8966470280761</v>
      </c>
      <c r="EM83" s="114">
        <v>17689.086569187228</v>
      </c>
      <c r="EN83" s="114">
        <v>8695.4931329652936</v>
      </c>
      <c r="EO83" s="114">
        <v>6059.0152711338005</v>
      </c>
      <c r="EP83" s="114">
        <v>11628.326888902344</v>
      </c>
      <c r="EQ83" s="114">
        <v>9043.9527591327205</v>
      </c>
      <c r="ER83" s="114">
        <v>9767.3837543153313</v>
      </c>
      <c r="ES83" s="114">
        <v>9824.3596312092141</v>
      </c>
      <c r="ET83" s="114">
        <v>1275.5226818331596</v>
      </c>
      <c r="EU83" s="114">
        <v>878.37476177222266</v>
      </c>
      <c r="EV83" s="114">
        <v>803.16823678676099</v>
      </c>
      <c r="EW83" s="114">
        <v>7936.8776599027551</v>
      </c>
      <c r="EX83" s="114">
        <v>7191.3076910159443</v>
      </c>
      <c r="EY83" s="114">
        <v>11162.952995689981</v>
      </c>
      <c r="EZ83" s="114">
        <v>4542.5210974851998</v>
      </c>
      <c r="FA83" s="114">
        <v>8589.4544487255389</v>
      </c>
      <c r="FB83" s="114">
        <v>4958.1632990416228</v>
      </c>
      <c r="FC83" s="114">
        <v>17828.616163627754</v>
      </c>
      <c r="FD83" s="114">
        <v>8372.2477536394017</v>
      </c>
      <c r="FE83" s="114">
        <v>8136.6497461418894</v>
      </c>
      <c r="FF83" s="114">
        <v>11457.445829867715</v>
      </c>
      <c r="FG83" s="114">
        <v>9942.4959792375303</v>
      </c>
      <c r="FH83" s="114">
        <v>15120.051995434425</v>
      </c>
      <c r="FI83" s="114">
        <v>9913.7366242955213</v>
      </c>
      <c r="FJ83" s="114">
        <v>6585.4904907157015</v>
      </c>
      <c r="FK83" s="114">
        <v>7074.6670716697017</v>
      </c>
      <c r="FL83" s="114">
        <v>15120.387913402479</v>
      </c>
      <c r="FM83" s="114">
        <v>9867.1830609557237</v>
      </c>
      <c r="FN83" s="114">
        <v>351.98927946581682</v>
      </c>
      <c r="FO83" s="114">
        <v>8600.7477025837215</v>
      </c>
      <c r="FP83" s="114">
        <v>7616.519129057684</v>
      </c>
      <c r="FQ83" s="114">
        <v>10008.268334456428</v>
      </c>
      <c r="FR83" s="114">
        <v>16508.611861997048</v>
      </c>
      <c r="FS83" s="114">
        <v>12591.104487997427</v>
      </c>
      <c r="FT83" s="114">
        <v>10906.553164260114</v>
      </c>
      <c r="FU83" s="114">
        <v>16759.511899831297</v>
      </c>
      <c r="FV83" s="114">
        <v>19588.676395359333</v>
      </c>
      <c r="FW83" s="114">
        <v>6552.5188645713934</v>
      </c>
      <c r="FX83" s="114">
        <v>593.00074643627408</v>
      </c>
      <c r="FY83" s="114">
        <v>7637.0131997180906</v>
      </c>
      <c r="FZ83" s="114">
        <v>9604.0498180867617</v>
      </c>
      <c r="GA83" s="114">
        <v>11741.729702617484</v>
      </c>
      <c r="GB83" s="114">
        <v>10051.427190107459</v>
      </c>
      <c r="GC83" s="114">
        <v>9338.5106968467371</v>
      </c>
      <c r="GD83" s="114">
        <v>11933.417399778049</v>
      </c>
      <c r="GE83" s="114">
        <v>7270.2892139743471</v>
      </c>
      <c r="GF83" s="114">
        <v>6865.3532580261035</v>
      </c>
      <c r="GG83" s="114">
        <v>4118.903678828874</v>
      </c>
      <c r="GH83" s="114">
        <v>4185.9491545018163</v>
      </c>
      <c r="GI83" s="114">
        <v>4072.3157390228985</v>
      </c>
      <c r="GJ83" s="114">
        <v>4563.8823243729448</v>
      </c>
      <c r="GK83" s="114">
        <v>12474.601342493388</v>
      </c>
      <c r="GL83" s="114">
        <v>1018.8665568042043</v>
      </c>
      <c r="GM83" s="114">
        <v>16467.972658912193</v>
      </c>
      <c r="GN83" s="114">
        <v>11123.499938289142</v>
      </c>
      <c r="GO83" s="114">
        <v>9801.3953964131524</v>
      </c>
      <c r="GP83" s="114">
        <v>10132.938442621275</v>
      </c>
      <c r="GQ83" s="114">
        <v>17453.823766354115</v>
      </c>
      <c r="GR83" s="114">
        <v>15779.577629565169</v>
      </c>
      <c r="GS83" s="114">
        <v>7730.5384622924093</v>
      </c>
      <c r="GT83" s="115">
        <v>9944.9994084018508</v>
      </c>
    </row>
    <row r="84" spans="2:202" x14ac:dyDescent="0.6">
      <c r="B84" s="106" t="s">
        <v>73</v>
      </c>
      <c r="C84" s="63" t="s">
        <v>464</v>
      </c>
      <c r="D84" s="113">
        <v>12869.061995107366</v>
      </c>
      <c r="E84" s="114">
        <v>7514.402825657</v>
      </c>
      <c r="F84" s="114">
        <v>7305.3476494417346</v>
      </c>
      <c r="G84" s="114">
        <v>9820.060205018488</v>
      </c>
      <c r="H84" s="114">
        <v>1106.1051816254428</v>
      </c>
      <c r="I84" s="114">
        <v>6216.1966523369183</v>
      </c>
      <c r="J84" s="114">
        <v>10778.105314203063</v>
      </c>
      <c r="K84" s="114">
        <v>15412.868036894168</v>
      </c>
      <c r="L84" s="114">
        <v>8381.3902007252873</v>
      </c>
      <c r="M84" s="114">
        <v>11140.254180192216</v>
      </c>
      <c r="N84" s="114">
        <v>901.70466981050822</v>
      </c>
      <c r="O84" s="114">
        <v>12075.878950143599</v>
      </c>
      <c r="P84" s="114">
        <v>14989.201250187343</v>
      </c>
      <c r="Q84" s="114">
        <v>1502.6644707796181</v>
      </c>
      <c r="R84" s="114">
        <v>8979.322589993415</v>
      </c>
      <c r="S84" s="114">
        <v>7486.9998515381067</v>
      </c>
      <c r="T84" s="114">
        <v>1709.4557555823369</v>
      </c>
      <c r="U84" s="114">
        <v>8170.0820383689161</v>
      </c>
      <c r="V84" s="114">
        <v>14561.135066463927</v>
      </c>
      <c r="W84" s="114">
        <v>3873.4308343525577</v>
      </c>
      <c r="X84" s="114">
        <v>8647.6439890121073</v>
      </c>
      <c r="Y84" s="114">
        <v>11600.448719276776</v>
      </c>
      <c r="Z84" s="114">
        <v>5427.650959052954</v>
      </c>
      <c r="AA84" s="114">
        <v>5571.3026498077334</v>
      </c>
      <c r="AB84" s="114">
        <v>17347.116041843427</v>
      </c>
      <c r="AC84" s="114">
        <v>9066.5898574730909</v>
      </c>
      <c r="AD84" s="114">
        <v>7593.0864588471713</v>
      </c>
      <c r="AE84" s="114">
        <v>11318.646816114668</v>
      </c>
      <c r="AF84" s="114">
        <v>5202.2256768883672</v>
      </c>
      <c r="AG84" s="114">
        <v>16689.495605226079</v>
      </c>
      <c r="AH84" s="114">
        <v>9012.3129299475295</v>
      </c>
      <c r="AI84" s="114">
        <v>9204.8149161276033</v>
      </c>
      <c r="AJ84" s="114">
        <v>2892.7944600946134</v>
      </c>
      <c r="AK84" s="114">
        <v>3002.6350687507775</v>
      </c>
      <c r="AL84" s="114">
        <v>9917.0798781420162</v>
      </c>
      <c r="AM84" s="114">
        <v>9253.2495231363209</v>
      </c>
      <c r="AN84" s="114">
        <v>5745.2871575562476</v>
      </c>
      <c r="AO84" s="114">
        <v>14307.841448497598</v>
      </c>
      <c r="AP84" s="114">
        <v>13512.512684804375</v>
      </c>
      <c r="AQ84" s="114">
        <v>1575.5976478733501</v>
      </c>
      <c r="AR84" s="114">
        <v>13058.449856513022</v>
      </c>
      <c r="AS84" s="114">
        <v>9897.7749565064951</v>
      </c>
      <c r="AT84" s="114">
        <v>9869.0193988057272</v>
      </c>
      <c r="AU84" s="114">
        <v>1609.6351461649424</v>
      </c>
      <c r="AV84" s="114">
        <v>7519.8227397167502</v>
      </c>
      <c r="AW84" s="114">
        <v>8391.7974009092522</v>
      </c>
      <c r="AX84" s="114">
        <v>1164.1737810653526</v>
      </c>
      <c r="AY84" s="114">
        <v>10168.813425640847</v>
      </c>
      <c r="AZ84" s="114">
        <v>8199.334487297554</v>
      </c>
      <c r="BA84" s="114">
        <v>7992.0154089228108</v>
      </c>
      <c r="BB84" s="114">
        <v>12109.797853727276</v>
      </c>
      <c r="BC84" s="114">
        <v>1219.4089528403306</v>
      </c>
      <c r="BD84" s="114">
        <v>275.68338786140805</v>
      </c>
      <c r="BE84" s="114">
        <v>9876.0643406046293</v>
      </c>
      <c r="BF84" s="114">
        <v>2169.3699893824705</v>
      </c>
      <c r="BG84" s="114">
        <v>10209.60462499258</v>
      </c>
      <c r="BH84" s="114">
        <v>1889.7254627948669</v>
      </c>
      <c r="BI84" s="114">
        <v>8905.8731906978082</v>
      </c>
      <c r="BJ84" s="114">
        <v>11562.988476102064</v>
      </c>
      <c r="BK84" s="114">
        <v>8628.9465880511725</v>
      </c>
      <c r="BL84" s="114">
        <v>12181.059902940771</v>
      </c>
      <c r="BM84" s="114">
        <v>11819.209706076643</v>
      </c>
      <c r="BN84" s="114">
        <v>8631.3441835566227</v>
      </c>
      <c r="BO84" s="114">
        <v>7347.5638532468793</v>
      </c>
      <c r="BP84" s="114">
        <v>9097.9660694654285</v>
      </c>
      <c r="BQ84" s="114">
        <v>5974.4885225127528</v>
      </c>
      <c r="BR84" s="114">
        <v>10714.866048244858</v>
      </c>
      <c r="BS84" s="114">
        <v>8094.5062662812043</v>
      </c>
      <c r="BT84" s="114">
        <v>8041.891277012669</v>
      </c>
      <c r="BU84" s="114">
        <v>7806.6610026873286</v>
      </c>
      <c r="BV84" s="114">
        <v>7937.8604590568857</v>
      </c>
      <c r="BW84" s="114">
        <v>9251.8302217891705</v>
      </c>
      <c r="BX84" s="114">
        <v>1324.0704820586145</v>
      </c>
      <c r="BY84" s="114">
        <v>1971.8951793875265</v>
      </c>
      <c r="BZ84" s="114">
        <v>6393.6328958000104</v>
      </c>
      <c r="CA84" s="114">
        <v>6123.5565463437561</v>
      </c>
      <c r="CB84" s="114">
        <v>2019.3964708890978</v>
      </c>
      <c r="CC84" s="114" t="s">
        <v>237</v>
      </c>
      <c r="CD84" s="114">
        <v>1666.0134294098389</v>
      </c>
      <c r="CE84" s="114">
        <v>8608.09207309048</v>
      </c>
      <c r="CF84" s="114">
        <v>6321.2699599859643</v>
      </c>
      <c r="CG84" s="114">
        <v>14367.796190093715</v>
      </c>
      <c r="CH84" s="114">
        <v>13857.18532963146</v>
      </c>
      <c r="CI84" s="114">
        <v>18637.886112109009</v>
      </c>
      <c r="CJ84" s="114">
        <v>11575.671025876494</v>
      </c>
      <c r="CK84" s="114">
        <v>11169.915351629495</v>
      </c>
      <c r="CL84" s="114">
        <v>6792.6826395242342</v>
      </c>
      <c r="CM84" s="114">
        <v>3995.1420843962615</v>
      </c>
      <c r="CN84" s="114">
        <v>8215.9698948394489</v>
      </c>
      <c r="CO84" s="114">
        <v>7901.167090696883</v>
      </c>
      <c r="CP84" s="114">
        <v>456.37883428889262</v>
      </c>
      <c r="CQ84" s="114">
        <v>13123.297312695362</v>
      </c>
      <c r="CR84" s="114">
        <v>10522.930017822973</v>
      </c>
      <c r="CS84" s="114">
        <v>11507.943360409281</v>
      </c>
      <c r="CT84" s="114">
        <v>12017.58214780193</v>
      </c>
      <c r="CU84" s="114">
        <v>11694.930261830514</v>
      </c>
      <c r="CV84" s="114">
        <v>12426.763869627013</v>
      </c>
      <c r="CW84" s="114">
        <v>15969.351541847422</v>
      </c>
      <c r="CX84" s="114">
        <v>8685.2400577825065</v>
      </c>
      <c r="CY84" s="114">
        <v>10413.189732120265</v>
      </c>
      <c r="CZ84" s="114">
        <v>11886.263483858787</v>
      </c>
      <c r="DA84" s="114">
        <v>6812.1913303272158</v>
      </c>
      <c r="DB84" s="114">
        <v>8492.6197636741308</v>
      </c>
      <c r="DC84" s="114">
        <v>7888.2311076527276</v>
      </c>
      <c r="DD84" s="114">
        <v>8818.7768533717099</v>
      </c>
      <c r="DE84" s="114">
        <v>7627.4044383357941</v>
      </c>
      <c r="DF84" s="114">
        <v>13668.542417242701</v>
      </c>
      <c r="DG84" s="114">
        <v>12117.714114111364</v>
      </c>
      <c r="DH84" s="114">
        <v>17524.832287707235</v>
      </c>
      <c r="DI84" s="114">
        <v>15486.997441774845</v>
      </c>
      <c r="DJ84" s="114">
        <v>6931.1258354412794</v>
      </c>
      <c r="DK84" s="114">
        <v>8525.8381964559157</v>
      </c>
      <c r="DL84" s="114">
        <v>14730.604368278911</v>
      </c>
      <c r="DM84" s="114">
        <v>14752.044794638525</v>
      </c>
      <c r="DN84" s="114">
        <v>2830.1765262140511</v>
      </c>
      <c r="DO84" s="114">
        <v>9326.274813144697</v>
      </c>
      <c r="DP84" s="114">
        <v>7785.8312165600919</v>
      </c>
      <c r="DQ84" s="114">
        <v>12639.98242081936</v>
      </c>
      <c r="DR84" s="114">
        <v>8756.3810954156743</v>
      </c>
      <c r="DS84" s="114">
        <v>6638.455746084649</v>
      </c>
      <c r="DT84" s="114">
        <v>12291.54773259889</v>
      </c>
      <c r="DU84" s="114">
        <v>15937.303734348128</v>
      </c>
      <c r="DV84" s="114">
        <v>10699.45071473011</v>
      </c>
      <c r="DW84" s="114">
        <v>14365.146782458563</v>
      </c>
      <c r="DX84" s="114">
        <v>7504.7269209394481</v>
      </c>
      <c r="DY84" s="114">
        <v>13243.78188348874</v>
      </c>
      <c r="DZ84" s="114">
        <v>13280.740358215207</v>
      </c>
      <c r="EA84" s="114">
        <v>1658.1807467875494</v>
      </c>
      <c r="EB84" s="114">
        <v>7912.23604725515</v>
      </c>
      <c r="EC84" s="114">
        <v>8593.7420885647989</v>
      </c>
      <c r="ED84" s="114">
        <v>13368.140364944995</v>
      </c>
      <c r="EE84" s="114">
        <v>8927.5853070329395</v>
      </c>
      <c r="EF84" s="114">
        <v>7840.4320525036719</v>
      </c>
      <c r="EG84" s="114">
        <v>12918.508727773567</v>
      </c>
      <c r="EH84" s="114">
        <v>13486.845872569231</v>
      </c>
      <c r="EI84" s="114">
        <v>13179.194377832227</v>
      </c>
      <c r="EJ84" s="114">
        <v>1292.6721318209713</v>
      </c>
      <c r="EK84" s="114">
        <v>5098.7930796056125</v>
      </c>
      <c r="EL84" s="114">
        <v>3421.0859992823202</v>
      </c>
      <c r="EM84" s="114">
        <v>16091.519152377465</v>
      </c>
      <c r="EN84" s="114">
        <v>8616.1702738581771</v>
      </c>
      <c r="EO84" s="114">
        <v>6429.8917061146458</v>
      </c>
      <c r="EP84" s="114">
        <v>12221.460783727056</v>
      </c>
      <c r="EQ84" s="114">
        <v>9226.7168991034705</v>
      </c>
      <c r="ER84" s="114">
        <v>9497.9027847793786</v>
      </c>
      <c r="ES84" s="114">
        <v>11354.50595924365</v>
      </c>
      <c r="ET84" s="114">
        <v>1043.3162070070941</v>
      </c>
      <c r="EU84" s="114">
        <v>1332.3775976899581</v>
      </c>
      <c r="EV84" s="114">
        <v>1325.4817654010678</v>
      </c>
      <c r="EW84" s="114">
        <v>8176.960406624039</v>
      </c>
      <c r="EX84" s="114">
        <v>8800.9044396027548</v>
      </c>
      <c r="EY84" s="114">
        <v>11838.409632331319</v>
      </c>
      <c r="EZ84" s="114">
        <v>5854.6206303795025</v>
      </c>
      <c r="FA84" s="114">
        <v>8783.8456051796256</v>
      </c>
      <c r="FB84" s="114">
        <v>6458.2146610671161</v>
      </c>
      <c r="FC84" s="114">
        <v>17776.020050344727</v>
      </c>
      <c r="FD84" s="114">
        <v>8443.6374199462534</v>
      </c>
      <c r="FE84" s="114">
        <v>8285.0795767095424</v>
      </c>
      <c r="FF84" s="114">
        <v>12811.277325393206</v>
      </c>
      <c r="FG84" s="114">
        <v>11876.047522125182</v>
      </c>
      <c r="FH84" s="114">
        <v>13517.976975788157</v>
      </c>
      <c r="FI84" s="114">
        <v>11280.919476205961</v>
      </c>
      <c r="FJ84" s="114">
        <v>6916.0067834876172</v>
      </c>
      <c r="FK84" s="114">
        <v>7382.6405273876517</v>
      </c>
      <c r="FL84" s="114">
        <v>15853.042174985649</v>
      </c>
      <c r="FM84" s="114">
        <v>10944.761647853866</v>
      </c>
      <c r="FN84" s="114">
        <v>2345.2601709571695</v>
      </c>
      <c r="FO84" s="114">
        <v>8271.1849066517498</v>
      </c>
      <c r="FP84" s="114">
        <v>7740.8182943072998</v>
      </c>
      <c r="FQ84" s="114">
        <v>10497.145591346802</v>
      </c>
      <c r="FR84" s="114">
        <v>14960.866079852418</v>
      </c>
      <c r="FS84" s="114">
        <v>12491.480074437146</v>
      </c>
      <c r="FT84" s="114">
        <v>12508.655194529816</v>
      </c>
      <c r="FU84" s="114">
        <v>16379.326512996624</v>
      </c>
      <c r="FV84" s="114">
        <v>17815.945192370909</v>
      </c>
      <c r="FW84" s="114">
        <v>8046.0309408996372</v>
      </c>
      <c r="FX84" s="114">
        <v>1437.0340564601704</v>
      </c>
      <c r="FY84" s="114">
        <v>8134.2046112466696</v>
      </c>
      <c r="FZ84" s="114">
        <v>9912.1482513299452</v>
      </c>
      <c r="GA84" s="114">
        <v>11837.436568196525</v>
      </c>
      <c r="GB84" s="114">
        <v>11528.541245498214</v>
      </c>
      <c r="GC84" s="114">
        <v>9293.2587767890345</v>
      </c>
      <c r="GD84" s="114">
        <v>12516.606417995117</v>
      </c>
      <c r="GE84" s="114">
        <v>7188.6160794319421</v>
      </c>
      <c r="GF84" s="114">
        <v>4864.1215997528807</v>
      </c>
      <c r="GG84" s="114">
        <v>2487.0585336726626</v>
      </c>
      <c r="GH84" s="114">
        <v>2666.4221542774335</v>
      </c>
      <c r="GI84" s="114">
        <v>2327.3206020309244</v>
      </c>
      <c r="GJ84" s="114">
        <v>6123.503441573389</v>
      </c>
      <c r="GK84" s="114">
        <v>12280.681026639159</v>
      </c>
      <c r="GL84" s="114">
        <v>1086.7013842102333</v>
      </c>
      <c r="GM84" s="114">
        <v>15621.298702314518</v>
      </c>
      <c r="GN84" s="114">
        <v>12103.128464489804</v>
      </c>
      <c r="GO84" s="114">
        <v>11602.841841290588</v>
      </c>
      <c r="GP84" s="114">
        <v>11959.328288050534</v>
      </c>
      <c r="GQ84" s="114">
        <v>16763.098328211574</v>
      </c>
      <c r="GR84" s="114">
        <v>15548.84606354991</v>
      </c>
      <c r="GS84" s="114">
        <v>7826.8496123257137</v>
      </c>
      <c r="GT84" s="115">
        <v>11886.228625999254</v>
      </c>
    </row>
    <row r="85" spans="2:202" x14ac:dyDescent="0.6">
      <c r="B85" s="106" t="s">
        <v>74</v>
      </c>
      <c r="C85" s="63" t="s">
        <v>465</v>
      </c>
      <c r="D85" s="113">
        <v>14083.074302341756</v>
      </c>
      <c r="E85" s="114">
        <v>9105.3645913801683</v>
      </c>
      <c r="F85" s="114">
        <v>8837.0041005806943</v>
      </c>
      <c r="G85" s="114">
        <v>11337.681753217857</v>
      </c>
      <c r="H85" s="114">
        <v>2729.2107827078476</v>
      </c>
      <c r="I85" s="114">
        <v>6281.9272741934483</v>
      </c>
      <c r="J85" s="114">
        <v>12182.769346713842</v>
      </c>
      <c r="K85" s="114">
        <v>13797.924629085985</v>
      </c>
      <c r="L85" s="114">
        <v>9809.3000119249591</v>
      </c>
      <c r="M85" s="114">
        <v>12501.52078943682</v>
      </c>
      <c r="N85" s="114">
        <v>1604.9978125019691</v>
      </c>
      <c r="O85" s="114">
        <v>13603.028567105268</v>
      </c>
      <c r="P85" s="114">
        <v>15837.916501557644</v>
      </c>
      <c r="Q85" s="114">
        <v>3009.8490498125448</v>
      </c>
      <c r="R85" s="114">
        <v>10284.294419205818</v>
      </c>
      <c r="S85" s="114">
        <v>8900.9600869169881</v>
      </c>
      <c r="T85" s="114">
        <v>369.53907437010554</v>
      </c>
      <c r="U85" s="114">
        <v>9792.4758483694422</v>
      </c>
      <c r="V85" s="114">
        <v>15401.369696200238</v>
      </c>
      <c r="W85" s="114">
        <v>3961.0584891941157</v>
      </c>
      <c r="X85" s="114">
        <v>10132.61920035492</v>
      </c>
      <c r="Y85" s="114">
        <v>12920.19499586526</v>
      </c>
      <c r="Z85" s="114">
        <v>6072.1632181345276</v>
      </c>
      <c r="AA85" s="114">
        <v>6307.5763239476164</v>
      </c>
      <c r="AB85" s="114">
        <v>16816.942236101</v>
      </c>
      <c r="AC85" s="114">
        <v>10549.392838692518</v>
      </c>
      <c r="AD85" s="114">
        <v>9241.8736928363578</v>
      </c>
      <c r="AE85" s="114">
        <v>12930.38681382112</v>
      </c>
      <c r="AF85" s="114">
        <v>6842.6813183564973</v>
      </c>
      <c r="AG85" s="114">
        <v>16914.900037068179</v>
      </c>
      <c r="AH85" s="114">
        <v>10634.051596034293</v>
      </c>
      <c r="AI85" s="114">
        <v>10826.124856264541</v>
      </c>
      <c r="AJ85" s="114">
        <v>3378.3355707214528</v>
      </c>
      <c r="AK85" s="114">
        <v>3642.6801662523767</v>
      </c>
      <c r="AL85" s="114">
        <v>11554.728744694947</v>
      </c>
      <c r="AM85" s="114">
        <v>10914.957505488026</v>
      </c>
      <c r="AN85" s="114">
        <v>5550.4576597723117</v>
      </c>
      <c r="AO85" s="114">
        <v>14127.482549133854</v>
      </c>
      <c r="AP85" s="114">
        <v>13583.00402596409</v>
      </c>
      <c r="AQ85" s="114">
        <v>1800.1251891867021</v>
      </c>
      <c r="AR85" s="114">
        <v>14625.764716698208</v>
      </c>
      <c r="AS85" s="114">
        <v>11465.955703319269</v>
      </c>
      <c r="AT85" s="114">
        <v>11438.925436749714</v>
      </c>
      <c r="AU85" s="114">
        <v>604.67756869235996</v>
      </c>
      <c r="AV85" s="114">
        <v>9123.0169833001801</v>
      </c>
      <c r="AW85" s="114">
        <v>9858.1884364679754</v>
      </c>
      <c r="AX85" s="114">
        <v>1129.7750139428103</v>
      </c>
      <c r="AY85" s="114">
        <v>11695.884641389679</v>
      </c>
      <c r="AZ85" s="114">
        <v>9603.278691510448</v>
      </c>
      <c r="BA85" s="114">
        <v>9310.7555195666573</v>
      </c>
      <c r="BB85" s="114">
        <v>13770.096579364919</v>
      </c>
      <c r="BC85" s="114">
        <v>2787.9713407449294</v>
      </c>
      <c r="BD85" s="114">
        <v>1931.8048374788839</v>
      </c>
      <c r="BE85" s="114">
        <v>11445.012162716841</v>
      </c>
      <c r="BF85" s="114">
        <v>1851.864293705521</v>
      </c>
      <c r="BG85" s="114">
        <v>11792.847972462507</v>
      </c>
      <c r="BH85" s="114">
        <v>223.71407863077422</v>
      </c>
      <c r="BI85" s="114">
        <v>10521.320099639208</v>
      </c>
      <c r="BJ85" s="114">
        <v>13215.845179906753</v>
      </c>
      <c r="BK85" s="114">
        <v>9844.0376992478414</v>
      </c>
      <c r="BL85" s="114">
        <v>13480.305142218418</v>
      </c>
      <c r="BM85" s="114">
        <v>13484.968370753695</v>
      </c>
      <c r="BN85" s="114">
        <v>9826.8512996823083</v>
      </c>
      <c r="BO85" s="114">
        <v>8794.6637060890844</v>
      </c>
      <c r="BP85" s="114">
        <v>10691.021800077548</v>
      </c>
      <c r="BQ85" s="114">
        <v>7612.086413402315</v>
      </c>
      <c r="BR85" s="114">
        <v>12100.495442646537</v>
      </c>
      <c r="BS85" s="114">
        <v>9464.7393190395596</v>
      </c>
      <c r="BT85" s="114">
        <v>9480.5641538756608</v>
      </c>
      <c r="BU85" s="114">
        <v>9220.8586683477261</v>
      </c>
      <c r="BV85" s="114">
        <v>9549.4693241336208</v>
      </c>
      <c r="BW85" s="114">
        <v>10789.551291726184</v>
      </c>
      <c r="BX85" s="114">
        <v>2758.0428869599959</v>
      </c>
      <c r="BY85" s="114">
        <v>334.24973183312625</v>
      </c>
      <c r="BZ85" s="114">
        <v>8008.2149799243334</v>
      </c>
      <c r="CA85" s="114">
        <v>7750.6149395534712</v>
      </c>
      <c r="CB85" s="114">
        <v>3280.7144720641363</v>
      </c>
      <c r="CC85" s="114">
        <v>1666.0134294098389</v>
      </c>
      <c r="CD85" s="114" t="s">
        <v>237</v>
      </c>
      <c r="CE85" s="114">
        <v>10039.90474832887</v>
      </c>
      <c r="CF85" s="114">
        <v>7429.9623475406688</v>
      </c>
      <c r="CG85" s="114">
        <v>15731.269984483122</v>
      </c>
      <c r="CH85" s="114">
        <v>15003.631582719021</v>
      </c>
      <c r="CI85" s="114">
        <v>18289.77500225079</v>
      </c>
      <c r="CJ85" s="114">
        <v>12985.723143850413</v>
      </c>
      <c r="CK85" s="114">
        <v>12659.250880752828</v>
      </c>
      <c r="CL85" s="114">
        <v>8163.6159779930003</v>
      </c>
      <c r="CM85" s="114">
        <v>5622.2902548658012</v>
      </c>
      <c r="CN85" s="114">
        <v>9739.7298813396174</v>
      </c>
      <c r="CO85" s="114">
        <v>9381.963665000203</v>
      </c>
      <c r="CP85" s="114">
        <v>1218.6375769172273</v>
      </c>
      <c r="CQ85" s="114">
        <v>12607.025330215056</v>
      </c>
      <c r="CR85" s="114">
        <v>12075.57816359557</v>
      </c>
      <c r="CS85" s="114">
        <v>12474.56516955609</v>
      </c>
      <c r="CT85" s="114">
        <v>13656.672326095195</v>
      </c>
      <c r="CU85" s="114">
        <v>13203.402845704144</v>
      </c>
      <c r="CV85" s="114">
        <v>13447.503780031393</v>
      </c>
      <c r="CW85" s="114">
        <v>16348.678686088959</v>
      </c>
      <c r="CX85" s="114">
        <v>9951.0477798927477</v>
      </c>
      <c r="CY85" s="114">
        <v>11947.390772787041</v>
      </c>
      <c r="CZ85" s="114">
        <v>13116.082587220328</v>
      </c>
      <c r="DA85" s="114">
        <v>8407.6070368236906</v>
      </c>
      <c r="DB85" s="114">
        <v>10100.797376615259</v>
      </c>
      <c r="DC85" s="114">
        <v>9346.5076224966961</v>
      </c>
      <c r="DD85" s="114">
        <v>10117.857919287419</v>
      </c>
      <c r="DE85" s="114">
        <v>9056.9568249681233</v>
      </c>
      <c r="DF85" s="114">
        <v>15140.288170831598</v>
      </c>
      <c r="DG85" s="114">
        <v>13627.868740258848</v>
      </c>
      <c r="DH85" s="114">
        <v>17889.285512271344</v>
      </c>
      <c r="DI85" s="114">
        <v>17066.896023112098</v>
      </c>
      <c r="DJ85" s="114">
        <v>8573.9905084472175</v>
      </c>
      <c r="DK85" s="114">
        <v>10106.839829903281</v>
      </c>
      <c r="DL85" s="114">
        <v>16183.463057248766</v>
      </c>
      <c r="DM85" s="114">
        <v>16203.628820718184</v>
      </c>
      <c r="DN85" s="114">
        <v>1396.3876534567064</v>
      </c>
      <c r="DO85" s="114">
        <v>10725.333075716393</v>
      </c>
      <c r="DP85" s="114">
        <v>9292.0861105625972</v>
      </c>
      <c r="DQ85" s="114">
        <v>12984.468138078282</v>
      </c>
      <c r="DR85" s="114">
        <v>10251.883414538601</v>
      </c>
      <c r="DS85" s="114">
        <v>8257.0079656477974</v>
      </c>
      <c r="DT85" s="114">
        <v>13605.222337796351</v>
      </c>
      <c r="DU85" s="114">
        <v>16603.855931368427</v>
      </c>
      <c r="DV85" s="114">
        <v>12029.746191143156</v>
      </c>
      <c r="DW85" s="114">
        <v>15327.112657569938</v>
      </c>
      <c r="DX85" s="114">
        <v>8890.1918179716267</v>
      </c>
      <c r="DY85" s="114">
        <v>11649.731149750278</v>
      </c>
      <c r="DZ85" s="114">
        <v>11731.31720583051</v>
      </c>
      <c r="EA85" s="114">
        <v>243.57821149634862</v>
      </c>
      <c r="EB85" s="114">
        <v>9568.1825432664409</v>
      </c>
      <c r="EC85" s="114">
        <v>10238.932131651363</v>
      </c>
      <c r="ED85" s="114">
        <v>13214.429508525813</v>
      </c>
      <c r="EE85" s="114">
        <v>10422.234075252067</v>
      </c>
      <c r="EF85" s="114">
        <v>9084.675989121637</v>
      </c>
      <c r="EG85" s="114">
        <v>14412.208564287615</v>
      </c>
      <c r="EH85" s="114">
        <v>14859.641066101038</v>
      </c>
      <c r="EI85" s="114">
        <v>14337.796629465432</v>
      </c>
      <c r="EJ85" s="114">
        <v>1026.5061694128506</v>
      </c>
      <c r="EK85" s="114">
        <v>5423.4654295418122</v>
      </c>
      <c r="EL85" s="114">
        <v>3104.7282438534085</v>
      </c>
      <c r="EM85" s="114">
        <v>15588.394496213205</v>
      </c>
      <c r="EN85" s="114">
        <v>9967.8035000782547</v>
      </c>
      <c r="EO85" s="114">
        <v>8010.4129587293946</v>
      </c>
      <c r="EP85" s="114">
        <v>13751.381185808283</v>
      </c>
      <c r="EQ85" s="114">
        <v>10675.363321273027</v>
      </c>
      <c r="ER85" s="114">
        <v>10713.153552356034</v>
      </c>
      <c r="ES85" s="114">
        <v>12979.078416417879</v>
      </c>
      <c r="ET85" s="114">
        <v>2667.0265128707765</v>
      </c>
      <c r="EU85" s="114">
        <v>2863.6357649323827</v>
      </c>
      <c r="EV85" s="114">
        <v>2815.2089224026231</v>
      </c>
      <c r="EW85" s="114">
        <v>9676.4389807032385</v>
      </c>
      <c r="EX85" s="114">
        <v>10385.599958391171</v>
      </c>
      <c r="EY85" s="114">
        <v>13405.47299067741</v>
      </c>
      <c r="EZ85" s="114">
        <v>7497.336950926745</v>
      </c>
      <c r="FA85" s="114">
        <v>10249.818950331142</v>
      </c>
      <c r="FB85" s="114">
        <v>8065.5517717297353</v>
      </c>
      <c r="FC85" s="114">
        <v>17919.641920758178</v>
      </c>
      <c r="FD85" s="114">
        <v>9869.520902203245</v>
      </c>
      <c r="FE85" s="114">
        <v>9747.2541189026961</v>
      </c>
      <c r="FF85" s="114">
        <v>14474.108569571776</v>
      </c>
      <c r="FG85" s="114">
        <v>13183.470231464102</v>
      </c>
      <c r="FH85" s="114">
        <v>13308.232690587127</v>
      </c>
      <c r="FI85" s="114">
        <v>12938.436880682231</v>
      </c>
      <c r="FJ85" s="114">
        <v>8475.0160344833275</v>
      </c>
      <c r="FK85" s="114">
        <v>8924.2290955082881</v>
      </c>
      <c r="FL85" s="114">
        <v>17276.789878443167</v>
      </c>
      <c r="FM85" s="114">
        <v>12604.984117352229</v>
      </c>
      <c r="FN85" s="114">
        <v>3632.6437001467375</v>
      </c>
      <c r="FO85" s="114">
        <v>9506.6261570348324</v>
      </c>
      <c r="FP85" s="114">
        <v>9209.6836559798558</v>
      </c>
      <c r="FQ85" s="114">
        <v>12029.720365988014</v>
      </c>
      <c r="FR85" s="114">
        <v>14669.844675075428</v>
      </c>
      <c r="FS85" s="114">
        <v>13661.218302129308</v>
      </c>
      <c r="FT85" s="114">
        <v>14113.535324613536</v>
      </c>
      <c r="FU85" s="114">
        <v>16849.378783631069</v>
      </c>
      <c r="FV85" s="114">
        <v>16422.213047108726</v>
      </c>
      <c r="FW85" s="114">
        <v>9665.2646699449015</v>
      </c>
      <c r="FX85" s="114">
        <v>2808.7645884109679</v>
      </c>
      <c r="FY85" s="114">
        <v>9714.4173939364009</v>
      </c>
      <c r="FZ85" s="114">
        <v>11392.144817203973</v>
      </c>
      <c r="GA85" s="114">
        <v>13153.428182933689</v>
      </c>
      <c r="GB85" s="114">
        <v>13167.894056412153</v>
      </c>
      <c r="GC85" s="114">
        <v>10636.571928080339</v>
      </c>
      <c r="GD85" s="114">
        <v>14034.886567259724</v>
      </c>
      <c r="GE85" s="114">
        <v>8591.9154337380478</v>
      </c>
      <c r="GF85" s="114">
        <v>3836.198589077776</v>
      </c>
      <c r="GG85" s="114">
        <v>3227.1699719497592</v>
      </c>
      <c r="GH85" s="114">
        <v>3506.23700433151</v>
      </c>
      <c r="GI85" s="114">
        <v>2936.9507404717624</v>
      </c>
      <c r="GJ85" s="114">
        <v>6315.8979027087526</v>
      </c>
      <c r="GK85" s="114">
        <v>13403.370099370506</v>
      </c>
      <c r="GL85" s="114">
        <v>2275.5401619027998</v>
      </c>
      <c r="GM85" s="114">
        <v>15875.243581395764</v>
      </c>
      <c r="GN85" s="114">
        <v>13743.728620311475</v>
      </c>
      <c r="GO85" s="114">
        <v>13080.837929916373</v>
      </c>
      <c r="GP85" s="114">
        <v>13413.612304817061</v>
      </c>
      <c r="GQ85" s="114">
        <v>16859.998617894744</v>
      </c>
      <c r="GR85" s="114">
        <v>13950.232041687472</v>
      </c>
      <c r="GS85" s="114">
        <v>9282.2348774954298</v>
      </c>
      <c r="GT85" s="115">
        <v>13178.576203687413</v>
      </c>
    </row>
    <row r="86" spans="2:202" x14ac:dyDescent="0.6">
      <c r="B86" s="106" t="s">
        <v>76</v>
      </c>
      <c r="C86" s="63" t="s">
        <v>303</v>
      </c>
      <c r="D86" s="113">
        <v>4371.6158617709798</v>
      </c>
      <c r="E86" s="114">
        <v>1785.3288567025079</v>
      </c>
      <c r="F86" s="114">
        <v>1500.3105587900811</v>
      </c>
      <c r="G86" s="114">
        <v>6230.9013985225583</v>
      </c>
      <c r="H86" s="114">
        <v>7939.4483425446588</v>
      </c>
      <c r="I86" s="114">
        <v>12158.040771947413</v>
      </c>
      <c r="J86" s="114">
        <v>2170.5094821367888</v>
      </c>
      <c r="K86" s="114">
        <v>15768.670747583024</v>
      </c>
      <c r="L86" s="114">
        <v>230.98335011690162</v>
      </c>
      <c r="M86" s="114">
        <v>2550.880976329413</v>
      </c>
      <c r="N86" s="114">
        <v>8435.707165490614</v>
      </c>
      <c r="O86" s="114">
        <v>3606.4864255919274</v>
      </c>
      <c r="P86" s="114">
        <v>6725.7194869053274</v>
      </c>
      <c r="Q86" s="114">
        <v>8070.6938983391592</v>
      </c>
      <c r="R86" s="114">
        <v>905.3094832073125</v>
      </c>
      <c r="S86" s="114">
        <v>1140.0104609482969</v>
      </c>
      <c r="T86" s="114">
        <v>9855.9356654956064</v>
      </c>
      <c r="U86" s="114">
        <v>4832.86409999442</v>
      </c>
      <c r="V86" s="114">
        <v>6378.591710267593</v>
      </c>
      <c r="W86" s="114">
        <v>11112.811399874266</v>
      </c>
      <c r="X86" s="114">
        <v>423.71078147578169</v>
      </c>
      <c r="Y86" s="114">
        <v>8003.8976886348837</v>
      </c>
      <c r="Z86" s="114">
        <v>10247.718405549382</v>
      </c>
      <c r="AA86" s="114">
        <v>9974.6102989077881</v>
      </c>
      <c r="AB86" s="114">
        <v>10085.181495555784</v>
      </c>
      <c r="AC86" s="114">
        <v>629.54005789373662</v>
      </c>
      <c r="AD86" s="114">
        <v>4344.5365644719232</v>
      </c>
      <c r="AE86" s="114">
        <v>5696.5317756297527</v>
      </c>
      <c r="AF86" s="114">
        <v>5293.0984412965408</v>
      </c>
      <c r="AG86" s="114">
        <v>8743.4324132534166</v>
      </c>
      <c r="AH86" s="114">
        <v>4891.2079307259482</v>
      </c>
      <c r="AI86" s="114">
        <v>4925.1716310575075</v>
      </c>
      <c r="AJ86" s="114">
        <v>7136.034176276019</v>
      </c>
      <c r="AK86" s="114">
        <v>6782.8273587411732</v>
      </c>
      <c r="AL86" s="114">
        <v>4788.5245888873342</v>
      </c>
      <c r="AM86" s="114">
        <v>3935.0972520184032</v>
      </c>
      <c r="AN86" s="114">
        <v>12610.774885569444</v>
      </c>
      <c r="AO86" s="114">
        <v>8356.5606455996804</v>
      </c>
      <c r="AP86" s="114">
        <v>7366.3960445323655</v>
      </c>
      <c r="AQ86" s="114">
        <v>9882.5417205721333</v>
      </c>
      <c r="AR86" s="114">
        <v>6950.2924164912665</v>
      </c>
      <c r="AS86" s="114">
        <v>5751.2889817790892</v>
      </c>
      <c r="AT86" s="114">
        <v>5726.1576291866322</v>
      </c>
      <c r="AU86" s="114">
        <v>10194.587029156417</v>
      </c>
      <c r="AV86" s="114">
        <v>5158.1998917769488</v>
      </c>
      <c r="AW86" s="114">
        <v>332.25850653297567</v>
      </c>
      <c r="AX86" s="114">
        <v>8944.3764644572602</v>
      </c>
      <c r="AY86" s="114">
        <v>1796.7152494668928</v>
      </c>
      <c r="AZ86" s="114">
        <v>468.85294590457238</v>
      </c>
      <c r="BA86" s="114">
        <v>1014.9699894535461</v>
      </c>
      <c r="BB86" s="114">
        <v>4573.0636091588904</v>
      </c>
      <c r="BC86" s="114">
        <v>8045.9365217931027</v>
      </c>
      <c r="BD86" s="114">
        <v>8423.990814248129</v>
      </c>
      <c r="BE86" s="114">
        <v>5738.1709208937664</v>
      </c>
      <c r="BF86" s="114">
        <v>10577.129521615208</v>
      </c>
      <c r="BG86" s="114">
        <v>2183.6057121093104</v>
      </c>
      <c r="BH86" s="114">
        <v>10232.173627442235</v>
      </c>
      <c r="BI86" s="114">
        <v>4979.1744827872371</v>
      </c>
      <c r="BJ86" s="114">
        <v>3996.9585487078366</v>
      </c>
      <c r="BK86" s="114">
        <v>1373.7353267509252</v>
      </c>
      <c r="BL86" s="114">
        <v>8257.8572606610323</v>
      </c>
      <c r="BM86" s="114">
        <v>4631.6172681053395</v>
      </c>
      <c r="BN86" s="114">
        <v>1481.6371471230266</v>
      </c>
      <c r="BO86" s="114">
        <v>1260.8457630970086</v>
      </c>
      <c r="BP86" s="114">
        <v>5316.0667872575741</v>
      </c>
      <c r="BQ86" s="114">
        <v>5008.6722214531792</v>
      </c>
      <c r="BR86" s="114">
        <v>2114.5466974179199</v>
      </c>
      <c r="BS86" s="114">
        <v>694.98613101783337</v>
      </c>
      <c r="BT86" s="114">
        <v>566.34794040884196</v>
      </c>
      <c r="BU86" s="114">
        <v>822.11036707633991</v>
      </c>
      <c r="BV86" s="114">
        <v>5008.0774694539705</v>
      </c>
      <c r="BW86" s="114">
        <v>1138.2480905724074</v>
      </c>
      <c r="BX86" s="114">
        <v>8334.7929687838459</v>
      </c>
      <c r="BY86" s="114">
        <v>10224.707162893192</v>
      </c>
      <c r="BZ86" s="114">
        <v>5218.066291965426</v>
      </c>
      <c r="CA86" s="114">
        <v>5123.128157917823</v>
      </c>
      <c r="CB86" s="114">
        <v>8510.4234050875039</v>
      </c>
      <c r="CC86" s="114">
        <v>8608.09207309048</v>
      </c>
      <c r="CD86" s="114">
        <v>10039.90474832887</v>
      </c>
      <c r="CE86" s="114" t="s">
        <v>237</v>
      </c>
      <c r="CF86" s="114">
        <v>3073.436938087912</v>
      </c>
      <c r="CG86" s="114">
        <v>5759.7722823396271</v>
      </c>
      <c r="CH86" s="114">
        <v>5375.1551268264657</v>
      </c>
      <c r="CI86" s="114">
        <v>10305.632970440151</v>
      </c>
      <c r="CJ86" s="114">
        <v>2968.0003650935478</v>
      </c>
      <c r="CK86" s="114">
        <v>2634.9423869151392</v>
      </c>
      <c r="CL86" s="114">
        <v>1896.810161004491</v>
      </c>
      <c r="CM86" s="114">
        <v>4848.100493950652</v>
      </c>
      <c r="CN86" s="114">
        <v>834.24825134925072</v>
      </c>
      <c r="CO86" s="114">
        <v>782.56930593354275</v>
      </c>
      <c r="CP86" s="114">
        <v>8953.598160056923</v>
      </c>
      <c r="CQ86" s="114">
        <v>9066.0222394115899</v>
      </c>
      <c r="CR86" s="114">
        <v>2238.895318501653</v>
      </c>
      <c r="CS86" s="114">
        <v>3739.6414152061061</v>
      </c>
      <c r="CT86" s="114">
        <v>5648.9043400364844</v>
      </c>
      <c r="CU86" s="114">
        <v>3190.6293443668956</v>
      </c>
      <c r="CV86" s="114">
        <v>4302.3655566123589</v>
      </c>
      <c r="CW86" s="114">
        <v>8080.1229954398186</v>
      </c>
      <c r="CX86" s="114">
        <v>1083.1059429445929</v>
      </c>
      <c r="CY86" s="114">
        <v>2049.8507186230631</v>
      </c>
      <c r="CZ86" s="114">
        <v>8543.2052886197034</v>
      </c>
      <c r="DA86" s="114">
        <v>5364.9340399503326</v>
      </c>
      <c r="DB86" s="114">
        <v>1721.6224078566761</v>
      </c>
      <c r="DC86" s="114">
        <v>735.96039097456151</v>
      </c>
      <c r="DD86" s="114">
        <v>897.79406337888486</v>
      </c>
      <c r="DE86" s="114">
        <v>984.25707882372035</v>
      </c>
      <c r="DF86" s="114">
        <v>7847.1270132792924</v>
      </c>
      <c r="DG86" s="114">
        <v>6965.0044421944021</v>
      </c>
      <c r="DH86" s="114">
        <v>9178.4265648722976</v>
      </c>
      <c r="DI86" s="114">
        <v>7056.7852443124302</v>
      </c>
      <c r="DJ86" s="114">
        <v>4609.1897535823182</v>
      </c>
      <c r="DK86" s="114">
        <v>1364.3360521197651</v>
      </c>
      <c r="DL86" s="114">
        <v>8412.7913499863407</v>
      </c>
      <c r="DM86" s="114">
        <v>8428.0089584284269</v>
      </c>
      <c r="DN86" s="114">
        <v>10393.568835535803</v>
      </c>
      <c r="DO86" s="114">
        <v>742.29115206518486</v>
      </c>
      <c r="DP86" s="114">
        <v>986.8989333983061</v>
      </c>
      <c r="DQ86" s="114">
        <v>6203.0940541703894</v>
      </c>
      <c r="DR86" s="114">
        <v>539.44630254121</v>
      </c>
      <c r="DS86" s="114">
        <v>2616.0935909640048</v>
      </c>
      <c r="DT86" s="114">
        <v>8211.3998913365249</v>
      </c>
      <c r="DU86" s="114">
        <v>7710.71320218043</v>
      </c>
      <c r="DV86" s="114">
        <v>7746.237475326644</v>
      </c>
      <c r="DW86" s="114">
        <v>6049.1411699212331</v>
      </c>
      <c r="DX86" s="114">
        <v>1175.2341986843849</v>
      </c>
      <c r="DY86" s="114">
        <v>17714.090275729068</v>
      </c>
      <c r="DZ86" s="114">
        <v>17947.962908941368</v>
      </c>
      <c r="EA86" s="114">
        <v>10141.012535233021</v>
      </c>
      <c r="EB86" s="114">
        <v>4099.4333110874441</v>
      </c>
      <c r="EC86" s="114">
        <v>4394.0853481016011</v>
      </c>
      <c r="ED86" s="114">
        <v>7959.1963272409075</v>
      </c>
      <c r="EE86" s="114">
        <v>612.51408932005506</v>
      </c>
      <c r="EF86" s="114">
        <v>1474.7263862667685</v>
      </c>
      <c r="EG86" s="114">
        <v>4376.1264294433286</v>
      </c>
      <c r="EH86" s="114">
        <v>4878.7978940665089</v>
      </c>
      <c r="EI86" s="114">
        <v>4729.0138824539954</v>
      </c>
      <c r="EJ86" s="114">
        <v>9891.3434045759022</v>
      </c>
      <c r="EK86" s="114">
        <v>11074.870008747112</v>
      </c>
      <c r="EL86" s="114">
        <v>11438.359777427484</v>
      </c>
      <c r="EM86" s="114">
        <v>9709.88538103676</v>
      </c>
      <c r="EN86" s="114">
        <v>556.09346229884545</v>
      </c>
      <c r="EO86" s="114">
        <v>2480.1178471496869</v>
      </c>
      <c r="EP86" s="114">
        <v>3755.2452481899836</v>
      </c>
      <c r="EQ86" s="114">
        <v>641.24007560997643</v>
      </c>
      <c r="ER86" s="114">
        <v>1584.3644518596338</v>
      </c>
      <c r="ES86" s="114">
        <v>5539.626809124612</v>
      </c>
      <c r="ET86" s="114">
        <v>7979.8010645766335</v>
      </c>
      <c r="EU86" s="114">
        <v>8089.9101797231078</v>
      </c>
      <c r="EV86" s="114">
        <v>8202.4300234769253</v>
      </c>
      <c r="EW86" s="114">
        <v>670.76532622719458</v>
      </c>
      <c r="EX86" s="114">
        <v>5389.0513661706082</v>
      </c>
      <c r="EY86" s="114">
        <v>3508.2672826990538</v>
      </c>
      <c r="EZ86" s="114">
        <v>4965.5273696522099</v>
      </c>
      <c r="FA86" s="114">
        <v>326.60598585228354</v>
      </c>
      <c r="FB86" s="114">
        <v>5296.3637782141022</v>
      </c>
      <c r="FC86" s="114">
        <v>9502.7356758378628</v>
      </c>
      <c r="FD86" s="114">
        <v>173.40477454661149</v>
      </c>
      <c r="FE86" s="114">
        <v>385.98739438540025</v>
      </c>
      <c r="FF86" s="114">
        <v>5631.4813614692221</v>
      </c>
      <c r="FG86" s="114">
        <v>8138.2407831790824</v>
      </c>
      <c r="FH86" s="114">
        <v>8175.5747979863045</v>
      </c>
      <c r="FI86" s="114">
        <v>4869.0317072393182</v>
      </c>
      <c r="FJ86" s="114">
        <v>1959.9099666562154</v>
      </c>
      <c r="FK86" s="114">
        <v>1489.9951139457705</v>
      </c>
      <c r="FL86" s="114">
        <v>7267.1076243023726</v>
      </c>
      <c r="FM86" s="114">
        <v>3761.8030978279808</v>
      </c>
      <c r="FN86" s="114">
        <v>8365.9281896770008</v>
      </c>
      <c r="FO86" s="114">
        <v>1326.0294693706785</v>
      </c>
      <c r="FP86" s="114">
        <v>896.45984324548783</v>
      </c>
      <c r="FQ86" s="114">
        <v>2119.1466810709421</v>
      </c>
      <c r="FR86" s="114">
        <v>8869.095532643194</v>
      </c>
      <c r="FS86" s="114">
        <v>4080.9328584084942</v>
      </c>
      <c r="FT86" s="114">
        <v>6336.9729794111527</v>
      </c>
      <c r="FU86" s="114">
        <v>8257.3868912078815</v>
      </c>
      <c r="FV86" s="114">
        <v>11907.153853800184</v>
      </c>
      <c r="FW86" s="114">
        <v>4886.9968349290421</v>
      </c>
      <c r="FX86" s="114">
        <v>8428.7370006274759</v>
      </c>
      <c r="FY86" s="114">
        <v>1407.4867678365795</v>
      </c>
      <c r="FZ86" s="114">
        <v>1383.590731489596</v>
      </c>
      <c r="GA86" s="114">
        <v>3272.182568904997</v>
      </c>
      <c r="GB86" s="114">
        <v>5391.4885835729629</v>
      </c>
      <c r="GC86" s="114">
        <v>886.96174524339688</v>
      </c>
      <c r="GD86" s="114">
        <v>4018.7236764635263</v>
      </c>
      <c r="GE86" s="114">
        <v>1451.4222070770738</v>
      </c>
      <c r="GF86" s="114">
        <v>10017.214705341054</v>
      </c>
      <c r="GG86" s="114">
        <v>7020.4024015685236</v>
      </c>
      <c r="GH86" s="114">
        <v>6714.6906390219656</v>
      </c>
      <c r="GI86" s="114">
        <v>7346.2091454851316</v>
      </c>
      <c r="GJ86" s="114">
        <v>11769.341875408134</v>
      </c>
      <c r="GK86" s="114">
        <v>3973.7305274964788</v>
      </c>
      <c r="GL86" s="114">
        <v>8837.7503239223097</v>
      </c>
      <c r="GM86" s="114">
        <v>8045.4816054844769</v>
      </c>
      <c r="GN86" s="114">
        <v>4237.6926924130494</v>
      </c>
      <c r="GO86" s="114">
        <v>7016.5675617391089</v>
      </c>
      <c r="GP86" s="114">
        <v>7295.3207523231749</v>
      </c>
      <c r="GQ86" s="114">
        <v>8944.2683710022684</v>
      </c>
      <c r="GR86" s="114">
        <v>15711.852534655778</v>
      </c>
      <c r="GS86" s="114">
        <v>791.36466510011257</v>
      </c>
      <c r="GT86" s="115">
        <v>8221.2719249623751</v>
      </c>
    </row>
    <row r="87" spans="2:202" x14ac:dyDescent="0.6">
      <c r="B87" s="106" t="s">
        <v>77</v>
      </c>
      <c r="C87" s="63" t="s">
        <v>466</v>
      </c>
      <c r="D87" s="113">
        <v>6654.1630708644461</v>
      </c>
      <c r="E87" s="114">
        <v>3491.8293412103098</v>
      </c>
      <c r="F87" s="114">
        <v>2827.6391521542828</v>
      </c>
      <c r="G87" s="114">
        <v>8580.5112723299007</v>
      </c>
      <c r="H87" s="114">
        <v>6039.6081438267047</v>
      </c>
      <c r="I87" s="114">
        <v>11662.023815388702</v>
      </c>
      <c r="J87" s="114">
        <v>4923.4615532329153</v>
      </c>
      <c r="K87" s="114">
        <v>16615.106576559116</v>
      </c>
      <c r="L87" s="114">
        <v>2870.5835435891836</v>
      </c>
      <c r="M87" s="114">
        <v>5160.8117489959377</v>
      </c>
      <c r="N87" s="114">
        <v>5873.6750403631759</v>
      </c>
      <c r="O87" s="114">
        <v>6539.864048754308</v>
      </c>
      <c r="P87" s="114">
        <v>8668.356923452202</v>
      </c>
      <c r="Q87" s="114">
        <v>6375.8091741966518</v>
      </c>
      <c r="R87" s="114">
        <v>2958.2252382443285</v>
      </c>
      <c r="S87" s="114">
        <v>2135.3636462684117</v>
      </c>
      <c r="T87" s="114">
        <v>7171.6441535074509</v>
      </c>
      <c r="U87" s="114">
        <v>6713.3116744830686</v>
      </c>
      <c r="V87" s="114">
        <v>8242.5397568684857</v>
      </c>
      <c r="W87" s="114">
        <v>9767.8871965180442</v>
      </c>
      <c r="X87" s="114">
        <v>3378.2025844975492</v>
      </c>
      <c r="Y87" s="114">
        <v>10657.5825527047</v>
      </c>
      <c r="Z87" s="114">
        <v>9987.2922870202074</v>
      </c>
      <c r="AA87" s="114">
        <v>9854.9106089511042</v>
      </c>
      <c r="AB87" s="114">
        <v>11586.685216337908</v>
      </c>
      <c r="AC87" s="114">
        <v>3700.9266943247922</v>
      </c>
      <c r="AD87" s="114">
        <v>5987.825638166958</v>
      </c>
      <c r="AE87" s="114">
        <v>8552.8020077292076</v>
      </c>
      <c r="AF87" s="114">
        <v>5459.1439749318324</v>
      </c>
      <c r="AG87" s="114">
        <v>10488.619590577691</v>
      </c>
      <c r="AH87" s="114">
        <v>7133.9414760008394</v>
      </c>
      <c r="AI87" s="114">
        <v>7239.761879579788</v>
      </c>
      <c r="AJ87" s="114">
        <v>4208.5827863967461</v>
      </c>
      <c r="AK87" s="114">
        <v>3877.7906123995731</v>
      </c>
      <c r="AL87" s="114">
        <v>7382.7074400553865</v>
      </c>
      <c r="AM87" s="114">
        <v>6423.1926815418565</v>
      </c>
      <c r="AN87" s="114">
        <v>11634.437296583099</v>
      </c>
      <c r="AO87" s="114">
        <v>8933.0182363886797</v>
      </c>
      <c r="AP87" s="114">
        <v>7909.3970556426548</v>
      </c>
      <c r="AQ87" s="114">
        <v>7840.3599807490182</v>
      </c>
      <c r="AR87" s="114">
        <v>9975.8095053554207</v>
      </c>
      <c r="AS87" s="114">
        <v>8196.1516986234874</v>
      </c>
      <c r="AT87" s="114">
        <v>8164.8804388720782</v>
      </c>
      <c r="AU87" s="114">
        <v>7739.8279077829638</v>
      </c>
      <c r="AV87" s="114">
        <v>6682.9431855056455</v>
      </c>
      <c r="AW87" s="114">
        <v>3076.7790391172707</v>
      </c>
      <c r="AX87" s="114">
        <v>6300.3519192148788</v>
      </c>
      <c r="AY87" s="114">
        <v>4857.5531728957303</v>
      </c>
      <c r="AZ87" s="114">
        <v>2612.118300519398</v>
      </c>
      <c r="BA87" s="114">
        <v>2096.4936813484705</v>
      </c>
      <c r="BB87" s="114">
        <v>7645.3649314256263</v>
      </c>
      <c r="BC87" s="114">
        <v>6218.3021662952015</v>
      </c>
      <c r="BD87" s="114">
        <v>6221.923203735555</v>
      </c>
      <c r="BE87" s="114">
        <v>8177.5556582565405</v>
      </c>
      <c r="BF87" s="114">
        <v>8483.4504843743834</v>
      </c>
      <c r="BG87" s="114">
        <v>5251.5943341416369</v>
      </c>
      <c r="BH87" s="114">
        <v>7586.9016048072144</v>
      </c>
      <c r="BI87" s="114">
        <v>7165.3563551967027</v>
      </c>
      <c r="BJ87" s="114">
        <v>7064.3628623961677</v>
      </c>
      <c r="BK87" s="114">
        <v>2432.6853762936612</v>
      </c>
      <c r="BL87" s="114">
        <v>11024.561230075849</v>
      </c>
      <c r="BM87" s="114">
        <v>7683.1653486681762</v>
      </c>
      <c r="BN87" s="114">
        <v>2404.9614716959095</v>
      </c>
      <c r="BO87" s="114">
        <v>2243.9753422702674</v>
      </c>
      <c r="BP87" s="114">
        <v>7531.0405195459443</v>
      </c>
      <c r="BQ87" s="114">
        <v>5665.1279747940016</v>
      </c>
      <c r="BR87" s="114">
        <v>4811.8715078290197</v>
      </c>
      <c r="BS87" s="114">
        <v>2379.843470786634</v>
      </c>
      <c r="BT87" s="114">
        <v>2661.8795873229014</v>
      </c>
      <c r="BU87" s="114">
        <v>2359.6215586586695</v>
      </c>
      <c r="BV87" s="114">
        <v>6756.0931171508346</v>
      </c>
      <c r="BW87" s="114">
        <v>4170.7810282672963</v>
      </c>
      <c r="BX87" s="114">
        <v>6566.2336295621244</v>
      </c>
      <c r="BY87" s="114">
        <v>7539.7180300251775</v>
      </c>
      <c r="BZ87" s="114">
        <v>6127.8932612006711</v>
      </c>
      <c r="CA87" s="114">
        <v>5873.9442478409746</v>
      </c>
      <c r="CB87" s="114">
        <v>7030.3819299749912</v>
      </c>
      <c r="CC87" s="114">
        <v>6321.2699599859643</v>
      </c>
      <c r="CD87" s="114">
        <v>7429.9623475406688</v>
      </c>
      <c r="CE87" s="114">
        <v>3073.436938087912</v>
      </c>
      <c r="CF87" s="114" t="s">
        <v>237</v>
      </c>
      <c r="CG87" s="114">
        <v>8319.2989310848425</v>
      </c>
      <c r="CH87" s="114">
        <v>7597.6671661225837</v>
      </c>
      <c r="CI87" s="114">
        <v>12371.950738279394</v>
      </c>
      <c r="CJ87" s="114">
        <v>5694.6203996199729</v>
      </c>
      <c r="CK87" s="114">
        <v>5566.4245329560972</v>
      </c>
      <c r="CL87" s="114">
        <v>1495.5236277491194</v>
      </c>
      <c r="CM87" s="114">
        <v>3722.4560998377119</v>
      </c>
      <c r="CN87" s="114">
        <v>3310.2259091093529</v>
      </c>
      <c r="CO87" s="114">
        <v>2807.4452945114244</v>
      </c>
      <c r="CP87" s="114">
        <v>6548.355584149328</v>
      </c>
      <c r="CQ87" s="114">
        <v>8798.8320231515318</v>
      </c>
      <c r="CR87" s="114">
        <v>5302.7763203464901</v>
      </c>
      <c r="CS87" s="114">
        <v>5188.2287850404446</v>
      </c>
      <c r="CT87" s="114">
        <v>8641.8035922713461</v>
      </c>
      <c r="CU87" s="114">
        <v>6118.7005556528075</v>
      </c>
      <c r="CV87" s="114">
        <v>6109.4186070298556</v>
      </c>
      <c r="CW87" s="114">
        <v>9754.9627778240101</v>
      </c>
      <c r="CX87" s="114">
        <v>2585.3919845668802</v>
      </c>
      <c r="CY87" s="114">
        <v>5104.4652227060114</v>
      </c>
      <c r="CZ87" s="114">
        <v>11210.718723084026</v>
      </c>
      <c r="DA87" s="114">
        <v>6501.3132192255343</v>
      </c>
      <c r="DB87" s="114">
        <v>4242.8065376571776</v>
      </c>
      <c r="DC87" s="114">
        <v>2660.9667924696669</v>
      </c>
      <c r="DD87" s="114">
        <v>2791.6659329441786</v>
      </c>
      <c r="DE87" s="114">
        <v>2316.3775133894969</v>
      </c>
      <c r="DF87" s="114">
        <v>10882.903274250446</v>
      </c>
      <c r="DG87" s="114">
        <v>9847.1598410144597</v>
      </c>
      <c r="DH87" s="114">
        <v>11218.115907297299</v>
      </c>
      <c r="DI87" s="114">
        <v>9842.4556454357553</v>
      </c>
      <c r="DJ87" s="114">
        <v>5857.9116452842791</v>
      </c>
      <c r="DK87" s="114">
        <v>3982.8584207239537</v>
      </c>
      <c r="DL87" s="114">
        <v>11485.841033810644</v>
      </c>
      <c r="DM87" s="114">
        <v>11501.170296959113</v>
      </c>
      <c r="DN87" s="114">
        <v>7490.3221646096927</v>
      </c>
      <c r="DO87" s="114">
        <v>3562.156323977355</v>
      </c>
      <c r="DP87" s="114">
        <v>2903.152731385037</v>
      </c>
      <c r="DQ87" s="114">
        <v>6777.9035044339125</v>
      </c>
      <c r="DR87" s="114">
        <v>3523.3009024700527</v>
      </c>
      <c r="DS87" s="114">
        <v>3492.8940153363537</v>
      </c>
      <c r="DT87" s="114">
        <v>11006.856902834983</v>
      </c>
      <c r="DU87" s="114">
        <v>9627.9274522371179</v>
      </c>
      <c r="DV87" s="114">
        <v>10175.678630975728</v>
      </c>
      <c r="DW87" s="114">
        <v>8047.4251186837892</v>
      </c>
      <c r="DX87" s="114">
        <v>1996.1776123021739</v>
      </c>
      <c r="DY87" s="114">
        <v>16795.971125935997</v>
      </c>
      <c r="DZ87" s="114">
        <v>17267.400920676489</v>
      </c>
      <c r="EA87" s="114">
        <v>7586.2076652576161</v>
      </c>
      <c r="EB87" s="114">
        <v>5939.777269209344</v>
      </c>
      <c r="EC87" s="114">
        <v>6529.6882391458257</v>
      </c>
      <c r="ED87" s="114">
        <v>8177.6091080439355</v>
      </c>
      <c r="EE87" s="114">
        <v>3653.1565412331975</v>
      </c>
      <c r="EF87" s="114">
        <v>1734.448827070466</v>
      </c>
      <c r="EG87" s="114">
        <v>7197.292466132616</v>
      </c>
      <c r="EH87" s="114">
        <v>7467.942474966354</v>
      </c>
      <c r="EI87" s="114">
        <v>6922.7115681886462</v>
      </c>
      <c r="EJ87" s="114">
        <v>7583.3997940964946</v>
      </c>
      <c r="EK87" s="114">
        <v>10393.159625526605</v>
      </c>
      <c r="EL87" s="114">
        <v>9654.394889870804</v>
      </c>
      <c r="EM87" s="114">
        <v>10724.22747394265</v>
      </c>
      <c r="EN87" s="114">
        <v>2760.5060336605134</v>
      </c>
      <c r="EO87" s="114">
        <v>2971.971225252491</v>
      </c>
      <c r="EP87" s="114">
        <v>6683.2250052523505</v>
      </c>
      <c r="EQ87" s="114">
        <v>3670.8347058317886</v>
      </c>
      <c r="ER87" s="114">
        <v>3291.0179113092568</v>
      </c>
      <c r="ES87" s="114">
        <v>8422.7475648692762</v>
      </c>
      <c r="ET87" s="114">
        <v>6056.3019080133399</v>
      </c>
      <c r="EU87" s="114">
        <v>6318.4275055619864</v>
      </c>
      <c r="EV87" s="114">
        <v>6433.5124748469079</v>
      </c>
      <c r="EW87" s="114">
        <v>3117.5817189162067</v>
      </c>
      <c r="EX87" s="114">
        <v>7473.1974308087092</v>
      </c>
      <c r="EY87" s="114">
        <v>6517.430997270013</v>
      </c>
      <c r="EZ87" s="114">
        <v>5542.903085238403</v>
      </c>
      <c r="FA87" s="114">
        <v>3383.6106929096686</v>
      </c>
      <c r="FB87" s="114">
        <v>6240.3264429556721</v>
      </c>
      <c r="FC87" s="114">
        <v>11497.051081285857</v>
      </c>
      <c r="FD87" s="114">
        <v>2911.2363315875064</v>
      </c>
      <c r="FE87" s="114">
        <v>2972.2491066530461</v>
      </c>
      <c r="FF87" s="114">
        <v>8701.6946776793793</v>
      </c>
      <c r="FG87" s="114">
        <v>10846.105232180325</v>
      </c>
      <c r="FH87" s="114">
        <v>8395.1212143299545</v>
      </c>
      <c r="FI87" s="114">
        <v>7817.0334403487104</v>
      </c>
      <c r="FJ87" s="114">
        <v>2901.5172989728221</v>
      </c>
      <c r="FK87" s="114">
        <v>2950.0334803549017</v>
      </c>
      <c r="FL87" s="114">
        <v>9863.8389990860887</v>
      </c>
      <c r="FM87" s="114">
        <v>6776.9113119893982</v>
      </c>
      <c r="FN87" s="114">
        <v>7043.3446518025776</v>
      </c>
      <c r="FO87" s="114">
        <v>2122.4774616607519</v>
      </c>
      <c r="FP87" s="114">
        <v>2625.3652435800964</v>
      </c>
      <c r="FQ87" s="114">
        <v>5167.6096469968443</v>
      </c>
      <c r="FR87" s="114">
        <v>9599.5159786484764</v>
      </c>
      <c r="FS87" s="114">
        <v>6239.1676430072757</v>
      </c>
      <c r="FT87" s="114">
        <v>9340.316304947637</v>
      </c>
      <c r="FU87" s="114">
        <v>10103.551828789194</v>
      </c>
      <c r="FV87" s="114">
        <v>13282.288507381678</v>
      </c>
      <c r="FW87" s="114">
        <v>6701.6580508209981</v>
      </c>
      <c r="FX87" s="114">
        <v>6704.8227000111119</v>
      </c>
      <c r="FY87" s="114">
        <v>3725.052798994263</v>
      </c>
      <c r="FZ87" s="114">
        <v>4404.201403774553</v>
      </c>
      <c r="GA87" s="114">
        <v>5754.3894697132364</v>
      </c>
      <c r="GB87" s="114">
        <v>8327.3072569101823</v>
      </c>
      <c r="GC87" s="114">
        <v>3355.5741894851135</v>
      </c>
      <c r="GD87" s="114">
        <v>6907.3301070717253</v>
      </c>
      <c r="GE87" s="114">
        <v>1888.9502061531718</v>
      </c>
      <c r="GF87" s="114">
        <v>6950.4118211929053</v>
      </c>
      <c r="GG87" s="114">
        <v>4219.2942203582434</v>
      </c>
      <c r="GH87" s="114">
        <v>3929.1549901485328</v>
      </c>
      <c r="GI87" s="114">
        <v>4529.4371686960903</v>
      </c>
      <c r="GJ87" s="114">
        <v>11374.969691758983</v>
      </c>
      <c r="GK87" s="114">
        <v>5997.4289471941165</v>
      </c>
      <c r="GL87" s="114">
        <v>6927.4792829181806</v>
      </c>
      <c r="GM87" s="114">
        <v>9514.0860697323515</v>
      </c>
      <c r="GN87" s="114">
        <v>7306.7751028377006</v>
      </c>
      <c r="GO87" s="114">
        <v>9782.6177476643152</v>
      </c>
      <c r="GP87" s="114">
        <v>10111.236021425246</v>
      </c>
      <c r="GQ87" s="114">
        <v>10622.637763258141</v>
      </c>
      <c r="GR87" s="114">
        <v>16740.251789187827</v>
      </c>
      <c r="GS87" s="114">
        <v>2601.394582831253</v>
      </c>
      <c r="GT87" s="115">
        <v>10922.805866921126</v>
      </c>
    </row>
    <row r="88" spans="2:202" x14ac:dyDescent="0.6">
      <c r="B88" s="106" t="s">
        <v>78</v>
      </c>
      <c r="C88" s="63" t="s">
        <v>322</v>
      </c>
      <c r="D88" s="113">
        <v>1731.5886274037396</v>
      </c>
      <c r="E88" s="114">
        <v>6986.7929851654872</v>
      </c>
      <c r="F88" s="114">
        <v>7097.7748590078336</v>
      </c>
      <c r="G88" s="114">
        <v>7226.1484141776464</v>
      </c>
      <c r="H88" s="114">
        <v>13637.150376489626</v>
      </c>
      <c r="I88" s="114">
        <v>15053.541967604508</v>
      </c>
      <c r="J88" s="114">
        <v>3590.3563676399722</v>
      </c>
      <c r="K88" s="114">
        <v>10138.275944724239</v>
      </c>
      <c r="L88" s="114">
        <v>5986.822402705292</v>
      </c>
      <c r="M88" s="114">
        <v>3241.8217734061336</v>
      </c>
      <c r="N88" s="114">
        <v>14137.252264185639</v>
      </c>
      <c r="O88" s="114">
        <v>2442.3808263882302</v>
      </c>
      <c r="P88" s="114">
        <v>1863.4231856156894</v>
      </c>
      <c r="Q88" s="114">
        <v>13675.600221023737</v>
      </c>
      <c r="R88" s="114">
        <v>5448.9715530632293</v>
      </c>
      <c r="S88" s="114">
        <v>6884.6898795489178</v>
      </c>
      <c r="T88" s="114">
        <v>15489.655621326785</v>
      </c>
      <c r="U88" s="114">
        <v>7731.7831279746761</v>
      </c>
      <c r="V88" s="114">
        <v>1922.3874283688688</v>
      </c>
      <c r="W88" s="114">
        <v>15876.344549294632</v>
      </c>
      <c r="X88" s="114">
        <v>5732.4144217748108</v>
      </c>
      <c r="Y88" s="114">
        <v>7047.5710155924562</v>
      </c>
      <c r="Z88" s="114">
        <v>13775.126619738163</v>
      </c>
      <c r="AA88" s="114">
        <v>13414.103475749749</v>
      </c>
      <c r="AB88" s="114">
        <v>4843.9261573905378</v>
      </c>
      <c r="AC88" s="114">
        <v>5314.786061605947</v>
      </c>
      <c r="AD88" s="114">
        <v>7928.187527774865</v>
      </c>
      <c r="AE88" s="114">
        <v>5379.5206349640175</v>
      </c>
      <c r="AF88" s="114">
        <v>10098.378445983075</v>
      </c>
      <c r="AG88" s="114">
        <v>3494.1857390253708</v>
      </c>
      <c r="AH88" s="114">
        <v>7044.8325369592358</v>
      </c>
      <c r="AI88" s="114">
        <v>6893.1543352604276</v>
      </c>
      <c r="AJ88" s="114">
        <v>12484.792487871495</v>
      </c>
      <c r="AK88" s="114">
        <v>12175.603989138946</v>
      </c>
      <c r="AL88" s="114">
        <v>6135.770627658113</v>
      </c>
      <c r="AM88" s="114">
        <v>6265.2809624768906</v>
      </c>
      <c r="AN88" s="114">
        <v>16052.733444837868</v>
      </c>
      <c r="AO88" s="114">
        <v>5030.5495814809019</v>
      </c>
      <c r="AP88" s="114">
        <v>4716.3534342670546</v>
      </c>
      <c r="AQ88" s="114">
        <v>15552.761182611484</v>
      </c>
      <c r="AR88" s="114">
        <v>4700.2278015012371</v>
      </c>
      <c r="AS88" s="114">
        <v>6812.4884619918957</v>
      </c>
      <c r="AT88" s="114">
        <v>6821.1014155353259</v>
      </c>
      <c r="AU88" s="114">
        <v>15948.181567385009</v>
      </c>
      <c r="AV88" s="114">
        <v>8439.7494835435755</v>
      </c>
      <c r="AW88" s="114">
        <v>5979.8394441253422</v>
      </c>
      <c r="AX88" s="114">
        <v>14604.571990595521</v>
      </c>
      <c r="AY88" s="114">
        <v>4272.8673664669795</v>
      </c>
      <c r="AZ88" s="114">
        <v>6173.5190014125537</v>
      </c>
      <c r="BA88" s="114">
        <v>6427.1622795441226</v>
      </c>
      <c r="BB88" s="114">
        <v>3406.2918156560086</v>
      </c>
      <c r="BC88" s="114">
        <v>13712.325505326244</v>
      </c>
      <c r="BD88" s="114">
        <v>14179.400013096194</v>
      </c>
      <c r="BE88" s="114">
        <v>6823.1217301478919</v>
      </c>
      <c r="BF88" s="114">
        <v>16237.594352003529</v>
      </c>
      <c r="BG88" s="114">
        <v>4367.557806247165</v>
      </c>
      <c r="BH88" s="114">
        <v>15900.103915412654</v>
      </c>
      <c r="BI88" s="114">
        <v>7192.9686280159221</v>
      </c>
      <c r="BJ88" s="114">
        <v>3667.9291858483166</v>
      </c>
      <c r="BK88" s="114">
        <v>5893.1967118965358</v>
      </c>
      <c r="BL88" s="114">
        <v>6760.4818654286209</v>
      </c>
      <c r="BM88" s="114">
        <v>3873.159858620405</v>
      </c>
      <c r="BN88" s="114">
        <v>5915.1235573037638</v>
      </c>
      <c r="BO88" s="114">
        <v>7020.2323389559988</v>
      </c>
      <c r="BP88" s="114">
        <v>7236.8327919366302</v>
      </c>
      <c r="BQ88" s="114">
        <v>9455.2566668013205</v>
      </c>
      <c r="BR88" s="114">
        <v>3657.9473182945762</v>
      </c>
      <c r="BS88" s="114">
        <v>6291.734453257307</v>
      </c>
      <c r="BT88" s="114">
        <v>6325.924123304374</v>
      </c>
      <c r="BU88" s="114">
        <v>6564.3942165549461</v>
      </c>
      <c r="BV88" s="114">
        <v>8022.9745740414537</v>
      </c>
      <c r="BW88" s="114">
        <v>5186.9191719661367</v>
      </c>
      <c r="BX88" s="114">
        <v>13957.864132770666</v>
      </c>
      <c r="BY88" s="114">
        <v>15858.619134438391</v>
      </c>
      <c r="BZ88" s="114">
        <v>9294.0217599760144</v>
      </c>
      <c r="CA88" s="114">
        <v>9421.7283586129179</v>
      </c>
      <c r="CB88" s="114">
        <v>13942.421648745301</v>
      </c>
      <c r="CC88" s="114">
        <v>14367.796190093715</v>
      </c>
      <c r="CD88" s="114">
        <v>15731.269984483122</v>
      </c>
      <c r="CE88" s="114">
        <v>5759.7722823396271</v>
      </c>
      <c r="CF88" s="114">
        <v>8319.2989310848425</v>
      </c>
      <c r="CG88" s="114" t="s">
        <v>237</v>
      </c>
      <c r="CH88" s="114">
        <v>1120.2862517569354</v>
      </c>
      <c r="CI88" s="114">
        <v>4615.7350985737821</v>
      </c>
      <c r="CJ88" s="114">
        <v>2792.1831928143702</v>
      </c>
      <c r="CK88" s="114">
        <v>3240.9521051153552</v>
      </c>
      <c r="CL88" s="114">
        <v>7597.1846335424734</v>
      </c>
      <c r="CM88" s="114">
        <v>10495.188222836754</v>
      </c>
      <c r="CN88" s="114">
        <v>6189.5817938618138</v>
      </c>
      <c r="CO88" s="114">
        <v>6473.5135661503509</v>
      </c>
      <c r="CP88" s="114">
        <v>14707.188051908806</v>
      </c>
      <c r="CQ88" s="114">
        <v>6729.856078172199</v>
      </c>
      <c r="CR88" s="114">
        <v>3980.5780589908304</v>
      </c>
      <c r="CS88" s="114">
        <v>3563.9809294490501</v>
      </c>
      <c r="CT88" s="114">
        <v>4567.3123559097285</v>
      </c>
      <c r="CU88" s="114">
        <v>2760.2861307495641</v>
      </c>
      <c r="CV88" s="114">
        <v>2613.652127001877</v>
      </c>
      <c r="CW88" s="114">
        <v>3106.0277551819877</v>
      </c>
      <c r="CX88" s="114">
        <v>5780.285057273546</v>
      </c>
      <c r="CY88" s="114">
        <v>4047.186368681927</v>
      </c>
      <c r="CZ88" s="114">
        <v>7258.7115811364656</v>
      </c>
      <c r="DA88" s="114">
        <v>9087.267061100818</v>
      </c>
      <c r="DB88" s="114">
        <v>6093.9561278324863</v>
      </c>
      <c r="DC88" s="114">
        <v>6480.6926777283334</v>
      </c>
      <c r="DD88" s="114">
        <v>5614.8983033651321</v>
      </c>
      <c r="DE88" s="114">
        <v>6741.292160418554</v>
      </c>
      <c r="DF88" s="114">
        <v>5029.2483497893236</v>
      </c>
      <c r="DG88" s="114">
        <v>5669.1307801234916</v>
      </c>
      <c r="DH88" s="114">
        <v>3572.6916950404939</v>
      </c>
      <c r="DI88" s="114">
        <v>1676.5743929031944</v>
      </c>
      <c r="DJ88" s="114">
        <v>8572.8741066835246</v>
      </c>
      <c r="DK88" s="114">
        <v>5979.7024654463612</v>
      </c>
      <c r="DL88" s="114">
        <v>4675.1615662798367</v>
      </c>
      <c r="DM88" s="114">
        <v>4673.7132760445429</v>
      </c>
      <c r="DN88" s="114">
        <v>15670.39922727243</v>
      </c>
      <c r="DO88" s="114">
        <v>5045.6458679007419</v>
      </c>
      <c r="DP88" s="114">
        <v>6601.2685760954182</v>
      </c>
      <c r="DQ88" s="114">
        <v>4434.3900262318302</v>
      </c>
      <c r="DR88" s="114">
        <v>5630.7185351370927</v>
      </c>
      <c r="DS88" s="114">
        <v>7915.0833046393855</v>
      </c>
      <c r="DT88" s="114">
        <v>6623.572760225049</v>
      </c>
      <c r="DU88" s="114">
        <v>2484.4761822065079</v>
      </c>
      <c r="DV88" s="114">
        <v>7616.6928752405365</v>
      </c>
      <c r="DW88" s="114">
        <v>1563.8621291103082</v>
      </c>
      <c r="DX88" s="114">
        <v>6876.271591260921</v>
      </c>
      <c r="DY88" s="114">
        <v>12297.56351939181</v>
      </c>
      <c r="DZ88" s="114">
        <v>12334.685312861751</v>
      </c>
      <c r="EA88" s="114">
        <v>15863.169683455963</v>
      </c>
      <c r="EB88" s="114">
        <v>7543.5743005481818</v>
      </c>
      <c r="EC88" s="114">
        <v>7122.5014285659609</v>
      </c>
      <c r="ED88" s="114">
        <v>5470.6618261862031</v>
      </c>
      <c r="EE88" s="114">
        <v>5460.2618501868719</v>
      </c>
      <c r="EF88" s="114">
        <v>6646.9499241055573</v>
      </c>
      <c r="EG88" s="114">
        <v>1578.3563715112741</v>
      </c>
      <c r="EH88" s="114">
        <v>881.9555343558394</v>
      </c>
      <c r="EI88" s="114">
        <v>1593.2581758351764</v>
      </c>
      <c r="EJ88" s="114">
        <v>15647.716435546366</v>
      </c>
      <c r="EK88" s="114">
        <v>14866.354096450812</v>
      </c>
      <c r="EL88" s="114">
        <v>16699.213018842343</v>
      </c>
      <c r="EM88" s="114">
        <v>5134.9454936893781</v>
      </c>
      <c r="EN88" s="114">
        <v>5778.7546691223997</v>
      </c>
      <c r="EO88" s="114">
        <v>8023.9784799831996</v>
      </c>
      <c r="EP88" s="114">
        <v>2315.5851021193566</v>
      </c>
      <c r="EQ88" s="114">
        <v>5142.7481515749478</v>
      </c>
      <c r="ER88" s="114">
        <v>5028.5136112457967</v>
      </c>
      <c r="ES88" s="114">
        <v>5211.8478389480379</v>
      </c>
      <c r="ET88" s="114">
        <v>13683.633996148683</v>
      </c>
      <c r="EU88" s="114">
        <v>13729.919430893278</v>
      </c>
      <c r="EV88" s="114">
        <v>13834.257272172405</v>
      </c>
      <c r="EW88" s="114">
        <v>6208.5269648253461</v>
      </c>
      <c r="EX88" s="114">
        <v>7541.0781947144733</v>
      </c>
      <c r="EY88" s="114">
        <v>2792.1288242651908</v>
      </c>
      <c r="EZ88" s="114">
        <v>9508.9858145389317</v>
      </c>
      <c r="FA88" s="114">
        <v>5588.8492094796056</v>
      </c>
      <c r="FB88" s="114">
        <v>9295.3679798678095</v>
      </c>
      <c r="FC88" s="114">
        <v>3903.1573014571213</v>
      </c>
      <c r="FD88" s="114">
        <v>5924.7100775202534</v>
      </c>
      <c r="FE88" s="114">
        <v>6085.2480727683696</v>
      </c>
      <c r="FF88" s="114">
        <v>3555.169839144547</v>
      </c>
      <c r="FG88" s="114">
        <v>6921.8755174874987</v>
      </c>
      <c r="FH88" s="114">
        <v>5550.0219268338169</v>
      </c>
      <c r="FI88" s="114">
        <v>4746.1925356938473</v>
      </c>
      <c r="FJ88" s="114">
        <v>7513.305286237196</v>
      </c>
      <c r="FK88" s="114">
        <v>7031.7017963420749</v>
      </c>
      <c r="FL88" s="114">
        <v>1546.9707311323029</v>
      </c>
      <c r="FM88" s="114">
        <v>4316.7606052850069</v>
      </c>
      <c r="FN88" s="114">
        <v>13699.805801999468</v>
      </c>
      <c r="FO88" s="114">
        <v>6226.2953908308036</v>
      </c>
      <c r="FP88" s="114">
        <v>6629.8035148713961</v>
      </c>
      <c r="FQ88" s="114">
        <v>3962.6501510790595</v>
      </c>
      <c r="FR88" s="114">
        <v>5034.9466489115421</v>
      </c>
      <c r="FS88" s="114">
        <v>2183.1685941373826</v>
      </c>
      <c r="FT88" s="114">
        <v>4672.0025814270448</v>
      </c>
      <c r="FU88" s="114">
        <v>2989.1113921120359</v>
      </c>
      <c r="FV88" s="114">
        <v>6499.0215130547913</v>
      </c>
      <c r="FW88" s="114">
        <v>7864.8257859653631</v>
      </c>
      <c r="FX88" s="114">
        <v>14022.157339430296</v>
      </c>
      <c r="FY88" s="114">
        <v>6358.4168892221733</v>
      </c>
      <c r="FZ88" s="114">
        <v>4473.5942698811268</v>
      </c>
      <c r="GA88" s="114">
        <v>2577.8433814891682</v>
      </c>
      <c r="GB88" s="114">
        <v>4896.4855418920333</v>
      </c>
      <c r="GC88" s="114">
        <v>5105.0167188958994</v>
      </c>
      <c r="GD88" s="114">
        <v>2011.4242243362582</v>
      </c>
      <c r="GE88" s="114">
        <v>7186.6806930237608</v>
      </c>
      <c r="GF88" s="114">
        <v>13991.429790386064</v>
      </c>
      <c r="GG88" s="114">
        <v>12538.56524035198</v>
      </c>
      <c r="GH88" s="114">
        <v>12247.538182203602</v>
      </c>
      <c r="GI88" s="114">
        <v>12846.875756952042</v>
      </c>
      <c r="GJ88" s="114">
        <v>14729.734142531614</v>
      </c>
      <c r="GK88" s="114">
        <v>2486.503496057961</v>
      </c>
      <c r="GL88" s="114">
        <v>14498.344019078901</v>
      </c>
      <c r="GM88" s="114">
        <v>3408.1203163794207</v>
      </c>
      <c r="GN88" s="114">
        <v>3071.5215344199287</v>
      </c>
      <c r="GO88" s="114">
        <v>6207.9130574992205</v>
      </c>
      <c r="GP88" s="114">
        <v>6115.0375210639904</v>
      </c>
      <c r="GQ88" s="114">
        <v>3732.4922283522387</v>
      </c>
      <c r="GR88" s="114">
        <v>10037.982145520169</v>
      </c>
      <c r="GS88" s="114">
        <v>6541.6345796435589</v>
      </c>
      <c r="GT88" s="115">
        <v>6984.1709568442748</v>
      </c>
    </row>
    <row r="89" spans="2:202" x14ac:dyDescent="0.6">
      <c r="B89" s="106" t="s">
        <v>78</v>
      </c>
      <c r="C89" s="63" t="s">
        <v>467</v>
      </c>
      <c r="D89" s="113">
        <v>1005.406444693341</v>
      </c>
      <c r="E89" s="114">
        <v>6842.0072225892545</v>
      </c>
      <c r="F89" s="114">
        <v>6822.4986028361482</v>
      </c>
      <c r="G89" s="114">
        <v>7989.2320153697219</v>
      </c>
      <c r="H89" s="114">
        <v>13302.840413808661</v>
      </c>
      <c r="I89" s="114">
        <v>15926.259235309979</v>
      </c>
      <c r="J89" s="114">
        <v>3263.047397603149</v>
      </c>
      <c r="K89" s="114">
        <v>10401.690310522938</v>
      </c>
      <c r="L89" s="114">
        <v>5588.1820882400252</v>
      </c>
      <c r="M89" s="114">
        <v>2840.8269766641806</v>
      </c>
      <c r="N89" s="114">
        <v>13471.193553538729</v>
      </c>
      <c r="O89" s="114">
        <v>2659.1469532726828</v>
      </c>
      <c r="P89" s="114">
        <v>1422.4400070046049</v>
      </c>
      <c r="Q89" s="114">
        <v>13445.070532713553</v>
      </c>
      <c r="R89" s="114">
        <v>4890.9687125812497</v>
      </c>
      <c r="S89" s="114">
        <v>6440.8177229187731</v>
      </c>
      <c r="T89" s="114">
        <v>14713.156419001827</v>
      </c>
      <c r="U89" s="114">
        <v>8184.7035920253447</v>
      </c>
      <c r="V89" s="114">
        <v>1216.5409593539166</v>
      </c>
      <c r="W89" s="114">
        <v>16207.422420782566</v>
      </c>
      <c r="X89" s="114">
        <v>5440.112577239981</v>
      </c>
      <c r="Y89" s="114">
        <v>8057.6488732941825</v>
      </c>
      <c r="Z89" s="114">
        <v>14417.576156865473</v>
      </c>
      <c r="AA89" s="114">
        <v>14058.915887574711</v>
      </c>
      <c r="AB89" s="114">
        <v>4795.1141413055975</v>
      </c>
      <c r="AC89" s="114">
        <v>5040.942509352828</v>
      </c>
      <c r="AD89" s="114">
        <v>8248.9962431125732</v>
      </c>
      <c r="AE89" s="114">
        <v>6203.4124121322102</v>
      </c>
      <c r="AF89" s="114">
        <v>10206.932263808349</v>
      </c>
      <c r="AG89" s="114">
        <v>3417.8169127664055</v>
      </c>
      <c r="AH89" s="114">
        <v>7589.5980371645328</v>
      </c>
      <c r="AI89" s="114">
        <v>7459.9264320599386</v>
      </c>
      <c r="AJ89" s="114">
        <v>11651.743318388544</v>
      </c>
      <c r="AK89" s="114">
        <v>11368.218298375807</v>
      </c>
      <c r="AL89" s="114">
        <v>6745.9020302003482</v>
      </c>
      <c r="AM89" s="114">
        <v>6698.6232896506699</v>
      </c>
      <c r="AN89" s="114">
        <v>16879.934701698076</v>
      </c>
      <c r="AO89" s="114">
        <v>4260.8322847674435</v>
      </c>
      <c r="AP89" s="114">
        <v>3777.6035626138487</v>
      </c>
      <c r="AQ89" s="114">
        <v>15243.245315030135</v>
      </c>
      <c r="AR89" s="114">
        <v>5735.5310199870801</v>
      </c>
      <c r="AS89" s="114">
        <v>7534.243976022346</v>
      </c>
      <c r="AT89" s="114">
        <v>7537.8564139965183</v>
      </c>
      <c r="AU89" s="114">
        <v>15337.172280316259</v>
      </c>
      <c r="AV89" s="114">
        <v>8861.0801372619408</v>
      </c>
      <c r="AW89" s="114">
        <v>5643.0642237268848</v>
      </c>
      <c r="AX89" s="114">
        <v>13880.829471498364</v>
      </c>
      <c r="AY89" s="114">
        <v>4182.7862184185697</v>
      </c>
      <c r="AZ89" s="114">
        <v>5734.3281020744153</v>
      </c>
      <c r="BA89" s="114">
        <v>5876.4044132055533</v>
      </c>
      <c r="BB89" s="114">
        <v>4107.6415585978857</v>
      </c>
      <c r="BC89" s="114">
        <v>13417.864960116698</v>
      </c>
      <c r="BD89" s="114">
        <v>13711.634236273021</v>
      </c>
      <c r="BE89" s="114">
        <v>7541.7199060165676</v>
      </c>
      <c r="BF89" s="114">
        <v>15934.348171778078</v>
      </c>
      <c r="BG89" s="114">
        <v>4437.9699878595848</v>
      </c>
      <c r="BH89" s="114">
        <v>15139.817644673298</v>
      </c>
      <c r="BI89" s="114">
        <v>7738.7169106235951</v>
      </c>
      <c r="BJ89" s="114">
        <v>4222.2032328854584</v>
      </c>
      <c r="BK89" s="114">
        <v>5231.2926897917996</v>
      </c>
      <c r="BL89" s="114">
        <v>7809.5887412061338</v>
      </c>
      <c r="BM89" s="114">
        <v>4579.3654882002647</v>
      </c>
      <c r="BN89" s="114">
        <v>5233.5312741252783</v>
      </c>
      <c r="BO89" s="114">
        <v>6616.6356758411957</v>
      </c>
      <c r="BP89" s="114">
        <v>7841.0746861528769</v>
      </c>
      <c r="BQ89" s="114">
        <v>9647.8862444081642</v>
      </c>
      <c r="BR89" s="114">
        <v>3284.7060680405521</v>
      </c>
      <c r="BS89" s="114">
        <v>5804.8174008419292</v>
      </c>
      <c r="BT89" s="114">
        <v>5932.1823647043475</v>
      </c>
      <c r="BU89" s="114">
        <v>6128.9514988145538</v>
      </c>
      <c r="BV89" s="114">
        <v>8472.9851844612185</v>
      </c>
      <c r="BW89" s="114">
        <v>5041.5201303280737</v>
      </c>
      <c r="BX89" s="114">
        <v>13709.941505632689</v>
      </c>
      <c r="BY89" s="114">
        <v>15068.253234900145</v>
      </c>
      <c r="BZ89" s="114">
        <v>9578.3865021231231</v>
      </c>
      <c r="CA89" s="114">
        <v>9653.7307834685689</v>
      </c>
      <c r="CB89" s="114">
        <v>13849.004739805987</v>
      </c>
      <c r="CC89" s="114">
        <v>13857.18532963146</v>
      </c>
      <c r="CD89" s="114">
        <v>15003.631582719021</v>
      </c>
      <c r="CE89" s="114">
        <v>5375.1551268264657</v>
      </c>
      <c r="CF89" s="114">
        <v>7597.6671661225837</v>
      </c>
      <c r="CG89" s="114">
        <v>1120.2862517569354</v>
      </c>
      <c r="CH89" s="114" t="s">
        <v>237</v>
      </c>
      <c r="CI89" s="114">
        <v>4952.1324659293896</v>
      </c>
      <c r="CJ89" s="114">
        <v>2553.0863933195456</v>
      </c>
      <c r="CK89" s="114">
        <v>3168.556558275005</v>
      </c>
      <c r="CL89" s="114">
        <v>7089.3696949873311</v>
      </c>
      <c r="CM89" s="114">
        <v>10220.619555468347</v>
      </c>
      <c r="CN89" s="114">
        <v>5946.7140529056342</v>
      </c>
      <c r="CO89" s="114">
        <v>6139.7807657464537</v>
      </c>
      <c r="CP89" s="114">
        <v>14130.587729259247</v>
      </c>
      <c r="CQ89" s="114">
        <v>5861.9480787670964</v>
      </c>
      <c r="CR89" s="114">
        <v>4000.1142649032463</v>
      </c>
      <c r="CS89" s="114">
        <v>2574.1756209581549</v>
      </c>
      <c r="CT89" s="114">
        <v>5434.352134210224</v>
      </c>
      <c r="CU89" s="114">
        <v>2832.0807169402669</v>
      </c>
      <c r="CV89" s="114">
        <v>1593.8458453337525</v>
      </c>
      <c r="CW89" s="114">
        <v>2834.1353702811966</v>
      </c>
      <c r="CX89" s="114">
        <v>5173.0621348247223</v>
      </c>
      <c r="CY89" s="114">
        <v>4002.2415303015318</v>
      </c>
      <c r="CZ89" s="114">
        <v>8306.1791323052585</v>
      </c>
      <c r="DA89" s="114">
        <v>9447.5467961096674</v>
      </c>
      <c r="DB89" s="114">
        <v>6066.5062919734773</v>
      </c>
      <c r="DC89" s="114">
        <v>6111.1084046964743</v>
      </c>
      <c r="DD89" s="114">
        <v>5047.9836286947766</v>
      </c>
      <c r="DE89" s="114">
        <v>6321.8578534720255</v>
      </c>
      <c r="DF89" s="114">
        <v>6123.574697342684</v>
      </c>
      <c r="DG89" s="114">
        <v>6651.0555385540374</v>
      </c>
      <c r="DH89" s="114">
        <v>3808.5571798664864</v>
      </c>
      <c r="DI89" s="114">
        <v>2740.244866438863</v>
      </c>
      <c r="DJ89" s="114">
        <v>8846.407669559605</v>
      </c>
      <c r="DK89" s="114">
        <v>5881.8748581785212</v>
      </c>
      <c r="DL89" s="114">
        <v>5795.4383177848704</v>
      </c>
      <c r="DM89" s="114">
        <v>5793.9993376406628</v>
      </c>
      <c r="DN89" s="114">
        <v>14710.040386672621</v>
      </c>
      <c r="DO89" s="114">
        <v>4633.7941251664279</v>
      </c>
      <c r="DP89" s="114">
        <v>6304.824822626776</v>
      </c>
      <c r="DQ89" s="114">
        <v>3356.1583285444622</v>
      </c>
      <c r="DR89" s="114">
        <v>5363.8376222600709</v>
      </c>
      <c r="DS89" s="114">
        <v>7780.7798905450345</v>
      </c>
      <c r="DT89" s="114">
        <v>7675.6880328697653</v>
      </c>
      <c r="DU89" s="114">
        <v>2360.8348174880712</v>
      </c>
      <c r="DV89" s="114">
        <v>8561.0083277816284</v>
      </c>
      <c r="DW89" s="114">
        <v>799.38093784549881</v>
      </c>
      <c r="DX89" s="114">
        <v>6397.0474657004497</v>
      </c>
      <c r="DY89" s="114">
        <v>12481.458550574969</v>
      </c>
      <c r="DZ89" s="114">
        <v>12606.497418198627</v>
      </c>
      <c r="EA89" s="114">
        <v>15174.971052221772</v>
      </c>
      <c r="EB89" s="114">
        <v>7866.8979799964218</v>
      </c>
      <c r="EC89" s="114">
        <v>7560.9982594345602</v>
      </c>
      <c r="ED89" s="114">
        <v>4555.4252963931813</v>
      </c>
      <c r="EE89" s="114">
        <v>5201.4422964694704</v>
      </c>
      <c r="EF89" s="114">
        <v>6017.3968566547583</v>
      </c>
      <c r="EG89" s="114">
        <v>1956.0161536315088</v>
      </c>
      <c r="EH89" s="114">
        <v>1069.9266142944332</v>
      </c>
      <c r="EI89" s="114">
        <v>678.60967748845383</v>
      </c>
      <c r="EJ89" s="114">
        <v>15146.264521085053</v>
      </c>
      <c r="EK89" s="114">
        <v>15501.433894993521</v>
      </c>
      <c r="EL89" s="114">
        <v>16771.967984064435</v>
      </c>
      <c r="EM89" s="114">
        <v>4770.0068329183896</v>
      </c>
      <c r="EN89" s="114">
        <v>5277.1371520301773</v>
      </c>
      <c r="EO89" s="114">
        <v>7793.2406059927571</v>
      </c>
      <c r="EP89" s="114">
        <v>2579.5190504823436</v>
      </c>
      <c r="EQ89" s="114">
        <v>4813.2306157495168</v>
      </c>
      <c r="ER89" s="114">
        <v>4360.4740430596185</v>
      </c>
      <c r="ES89" s="114">
        <v>6021.2310127132187</v>
      </c>
      <c r="ET89" s="114">
        <v>13340.15389260327</v>
      </c>
      <c r="EU89" s="114">
        <v>13464.712795712536</v>
      </c>
      <c r="EV89" s="114">
        <v>13577.473425175458</v>
      </c>
      <c r="EW89" s="114">
        <v>5918.8590884608211</v>
      </c>
      <c r="EX89" s="114">
        <v>8125.9144146472127</v>
      </c>
      <c r="EY89" s="114">
        <v>3082.0884892397698</v>
      </c>
      <c r="EZ89" s="114">
        <v>9676.1783148837585</v>
      </c>
      <c r="FA89" s="114">
        <v>5269.0743236322623</v>
      </c>
      <c r="FB89" s="114">
        <v>9599.3037843778511</v>
      </c>
      <c r="FC89" s="114">
        <v>4130.0300980161519</v>
      </c>
      <c r="FD89" s="114">
        <v>5525.0598353330397</v>
      </c>
      <c r="FE89" s="114">
        <v>5737.0427347813547</v>
      </c>
      <c r="FF89" s="114">
        <v>4473.4036656078242</v>
      </c>
      <c r="FG89" s="114">
        <v>7952.0005432627468</v>
      </c>
      <c r="FH89" s="114">
        <v>4664.6421927855345</v>
      </c>
      <c r="FI89" s="114">
        <v>5464.3767640876122</v>
      </c>
      <c r="FJ89" s="114">
        <v>7267.5980865398042</v>
      </c>
      <c r="FK89" s="114">
        <v>6777.9574156141498</v>
      </c>
      <c r="FL89" s="114">
        <v>2401.5738641444436</v>
      </c>
      <c r="FM89" s="114">
        <v>4813.895057905338</v>
      </c>
      <c r="FN89" s="114">
        <v>13665.454269940477</v>
      </c>
      <c r="FO89" s="114">
        <v>5586.8738012443737</v>
      </c>
      <c r="FP89" s="114">
        <v>6270.9724934374253</v>
      </c>
      <c r="FQ89" s="114">
        <v>3923.0743666826879</v>
      </c>
      <c r="FR89" s="114">
        <v>4405.2017186414378</v>
      </c>
      <c r="FS89" s="114">
        <v>1366.7380777098494</v>
      </c>
      <c r="FT89" s="114">
        <v>5635.5866305887785</v>
      </c>
      <c r="FU89" s="114">
        <v>2913.2612658588546</v>
      </c>
      <c r="FV89" s="114">
        <v>6581.7140344414938</v>
      </c>
      <c r="FW89" s="114">
        <v>8311.2838329581027</v>
      </c>
      <c r="FX89" s="114">
        <v>13802.876541492695</v>
      </c>
      <c r="FY89" s="114">
        <v>6230.0923022819434</v>
      </c>
      <c r="FZ89" s="114">
        <v>4249.1051615293363</v>
      </c>
      <c r="GA89" s="114">
        <v>2110.8910829324436</v>
      </c>
      <c r="GB89" s="114">
        <v>5700.7318265262502</v>
      </c>
      <c r="GC89" s="114">
        <v>4604.7057818923731</v>
      </c>
      <c r="GD89" s="114">
        <v>2324.3375467853321</v>
      </c>
      <c r="GE89" s="114">
        <v>6722.6669389416857</v>
      </c>
      <c r="GF89" s="114">
        <v>12887.94868242853</v>
      </c>
      <c r="GG89" s="114">
        <v>11776.883545680173</v>
      </c>
      <c r="GH89" s="114">
        <v>11501.536152822091</v>
      </c>
      <c r="GI89" s="114">
        <v>12067.713016475333</v>
      </c>
      <c r="GJ89" s="114">
        <v>15565.873172001895</v>
      </c>
      <c r="GK89" s="114">
        <v>1602.2641850057162</v>
      </c>
      <c r="GL89" s="114">
        <v>14207.973122988258</v>
      </c>
      <c r="GM89" s="114">
        <v>2970.9894957190759</v>
      </c>
      <c r="GN89" s="114">
        <v>3677.472721617622</v>
      </c>
      <c r="GO89" s="114">
        <v>7161.7670767760874</v>
      </c>
      <c r="GP89" s="114">
        <v>7107.2535956848224</v>
      </c>
      <c r="GQ89" s="114">
        <v>3636.9931837851673</v>
      </c>
      <c r="GR89" s="114">
        <v>10337.244473706045</v>
      </c>
      <c r="GS89" s="114">
        <v>6165.4945291408458</v>
      </c>
      <c r="GT89" s="115">
        <v>8018.4101698204177</v>
      </c>
    </row>
    <row r="90" spans="2:202" x14ac:dyDescent="0.6">
      <c r="B90" s="106" t="s">
        <v>79</v>
      </c>
      <c r="C90" s="63" t="s">
        <v>310</v>
      </c>
      <c r="D90" s="113">
        <v>5956.0888454759706</v>
      </c>
      <c r="E90" s="114">
        <v>11599.813338281741</v>
      </c>
      <c r="F90" s="114">
        <v>11701.247588321274</v>
      </c>
      <c r="G90" s="114">
        <v>10262.91338821667</v>
      </c>
      <c r="H90" s="114">
        <v>18243.347692899602</v>
      </c>
      <c r="I90" s="114">
        <v>15092.896284993874</v>
      </c>
      <c r="J90" s="114">
        <v>8148.3868391837977</v>
      </c>
      <c r="K90" s="114">
        <v>5524.6496526318206</v>
      </c>
      <c r="L90" s="114">
        <v>10524.636780655597</v>
      </c>
      <c r="M90" s="114">
        <v>7754.8314625917837</v>
      </c>
      <c r="N90" s="114">
        <v>17872.248231949867</v>
      </c>
      <c r="O90" s="114">
        <v>7024.0007411337092</v>
      </c>
      <c r="P90" s="114">
        <v>3721.1356747151231</v>
      </c>
      <c r="Q90" s="114">
        <v>18267.574193389311</v>
      </c>
      <c r="R90" s="114">
        <v>9838.7742308910128</v>
      </c>
      <c r="S90" s="114">
        <v>11390.684577381084</v>
      </c>
      <c r="T90" s="114">
        <v>17996.626795270156</v>
      </c>
      <c r="U90" s="114">
        <v>11619.435904989294</v>
      </c>
      <c r="V90" s="114">
        <v>4137.1118453067138</v>
      </c>
      <c r="W90" s="114">
        <v>17463.725349446479</v>
      </c>
      <c r="X90" s="114">
        <v>10324.00386097774</v>
      </c>
      <c r="Y90" s="114">
        <v>8801.5549189864432</v>
      </c>
      <c r="Z90" s="114">
        <v>15607.006946181047</v>
      </c>
      <c r="AA90" s="114">
        <v>15396.099434166845</v>
      </c>
      <c r="AB90" s="114">
        <v>1517.7458310490176</v>
      </c>
      <c r="AC90" s="114">
        <v>9910.2681622739165</v>
      </c>
      <c r="AD90" s="114">
        <v>12068.477408444729</v>
      </c>
      <c r="AE90" s="114">
        <v>8558.5935392444808</v>
      </c>
      <c r="AF90" s="114">
        <v>14444.411502623223</v>
      </c>
      <c r="AG90" s="114">
        <v>1948.3905119481285</v>
      </c>
      <c r="AH90" s="114">
        <v>10794.057711100211</v>
      </c>
      <c r="AI90" s="114">
        <v>10606.289829234585</v>
      </c>
      <c r="AJ90" s="114">
        <v>15794.793395959461</v>
      </c>
      <c r="AK90" s="114">
        <v>15654.910722275872</v>
      </c>
      <c r="AL90" s="114">
        <v>9842.4021480415595</v>
      </c>
      <c r="AM90" s="114">
        <v>10345.031239005799</v>
      </c>
      <c r="AN90" s="114">
        <v>15628.77118316801</v>
      </c>
      <c r="AO90" s="114">
        <v>4446.7633046752244</v>
      </c>
      <c r="AP90" s="114">
        <v>5173.885224624175</v>
      </c>
      <c r="AQ90" s="114">
        <v>19815.518526340718</v>
      </c>
      <c r="AR90" s="114">
        <v>6963.3123547912028</v>
      </c>
      <c r="AS90" s="114">
        <v>10076.312743835182</v>
      </c>
      <c r="AT90" s="114">
        <v>10100.493134908002</v>
      </c>
      <c r="AU90" s="114">
        <v>18804.653221713859</v>
      </c>
      <c r="AV90" s="114">
        <v>12322.230922306808</v>
      </c>
      <c r="AW90" s="114">
        <v>10553.846510713882</v>
      </c>
      <c r="AX90" s="114">
        <v>17912.270209999217</v>
      </c>
      <c r="AY90" s="114">
        <v>8888.0532930689078</v>
      </c>
      <c r="AZ90" s="114">
        <v>10681.688220473356</v>
      </c>
      <c r="BA90" s="114">
        <v>10820.806756606764</v>
      </c>
      <c r="BB90" s="114">
        <v>7355.7126624557422</v>
      </c>
      <c r="BC90" s="114">
        <v>18328.054697953863</v>
      </c>
      <c r="BD90" s="114">
        <v>18589.4480392189</v>
      </c>
      <c r="BE90" s="114">
        <v>10095.871475924421</v>
      </c>
      <c r="BF90" s="114">
        <v>19143.662818477678</v>
      </c>
      <c r="BG90" s="114">
        <v>8944.9183482515909</v>
      </c>
      <c r="BH90" s="114">
        <v>18133.240627361924</v>
      </c>
      <c r="BI90" s="114">
        <v>10920.478005281328</v>
      </c>
      <c r="BJ90" s="114">
        <v>7837.8786402297555</v>
      </c>
      <c r="BK90" s="114">
        <v>10132.576104915506</v>
      </c>
      <c r="BL90" s="114">
        <v>8248.2544580716531</v>
      </c>
      <c r="BM90" s="114">
        <v>7718.7688190846984</v>
      </c>
      <c r="BN90" s="114">
        <v>10120.641510500827</v>
      </c>
      <c r="BO90" s="114">
        <v>11558.780283856484</v>
      </c>
      <c r="BP90" s="114">
        <v>10799.935952715145</v>
      </c>
      <c r="BQ90" s="114">
        <v>13707.242468786526</v>
      </c>
      <c r="BR90" s="114">
        <v>8193.1556889055064</v>
      </c>
      <c r="BS90" s="114">
        <v>10756.94027440376</v>
      </c>
      <c r="BT90" s="114">
        <v>10868.622976656181</v>
      </c>
      <c r="BU90" s="114">
        <v>11076.768906513924</v>
      </c>
      <c r="BV90" s="114">
        <v>11884.800674990998</v>
      </c>
      <c r="BW90" s="114">
        <v>9802.6520804316242</v>
      </c>
      <c r="BX90" s="114">
        <v>18555.010234411478</v>
      </c>
      <c r="BY90" s="114">
        <v>17976.950664376331</v>
      </c>
      <c r="BZ90" s="114">
        <v>13388.735744060868</v>
      </c>
      <c r="CA90" s="114">
        <v>13606.561726532625</v>
      </c>
      <c r="CB90" s="114">
        <v>18303.627330897059</v>
      </c>
      <c r="CC90" s="114">
        <v>18637.886112109009</v>
      </c>
      <c r="CD90" s="114">
        <v>18289.77500225079</v>
      </c>
      <c r="CE90" s="114">
        <v>10305.632970440151</v>
      </c>
      <c r="CF90" s="114">
        <v>12371.950738279394</v>
      </c>
      <c r="CG90" s="114">
        <v>4615.7350985737821</v>
      </c>
      <c r="CH90" s="114">
        <v>4952.1324659293896</v>
      </c>
      <c r="CI90" s="114" t="s">
        <v>237</v>
      </c>
      <c r="CJ90" s="114">
        <v>7371.9073757343494</v>
      </c>
      <c r="CK90" s="114">
        <v>7856.5420608097129</v>
      </c>
      <c r="CL90" s="114">
        <v>12037.970133484587</v>
      </c>
      <c r="CM90" s="114">
        <v>15108.275019497669</v>
      </c>
      <c r="CN90" s="114">
        <v>10797.634541945297</v>
      </c>
      <c r="CO90" s="114">
        <v>11051.64183608808</v>
      </c>
      <c r="CP90" s="114">
        <v>18653.873603160799</v>
      </c>
      <c r="CQ90" s="114">
        <v>5805.9054197326668</v>
      </c>
      <c r="CR90" s="114">
        <v>8581.6022800026203</v>
      </c>
      <c r="CS90" s="114">
        <v>7187.6419554648173</v>
      </c>
      <c r="CT90" s="114">
        <v>7773.6810204646099</v>
      </c>
      <c r="CU90" s="114">
        <v>7368.6985934755394</v>
      </c>
      <c r="CV90" s="114">
        <v>6297.3154186902339</v>
      </c>
      <c r="CW90" s="114">
        <v>2670.2199711345274</v>
      </c>
      <c r="CX90" s="114">
        <v>10104.458540785768</v>
      </c>
      <c r="CY90" s="114">
        <v>8659.4174065980751</v>
      </c>
      <c r="CZ90" s="114">
        <v>8621.1866530027255</v>
      </c>
      <c r="DA90" s="114">
        <v>13040.129736094499</v>
      </c>
      <c r="DB90" s="114">
        <v>10682.254200091464</v>
      </c>
      <c r="DC90" s="114">
        <v>11039.488659022674</v>
      </c>
      <c r="DD90" s="114">
        <v>9993.1669919242613</v>
      </c>
      <c r="DE90" s="114">
        <v>11266.997322438527</v>
      </c>
      <c r="DF90" s="114">
        <v>6538.4234302042714</v>
      </c>
      <c r="DG90" s="114">
        <v>8005.8829816238722</v>
      </c>
      <c r="DH90" s="114">
        <v>1161.9825897142202</v>
      </c>
      <c r="DI90" s="114">
        <v>3844.6969725280128</v>
      </c>
      <c r="DJ90" s="114">
        <v>12747.947877322475</v>
      </c>
      <c r="DK90" s="114">
        <v>10589.229154647339</v>
      </c>
      <c r="DL90" s="114">
        <v>5517.506131933701</v>
      </c>
      <c r="DM90" s="114">
        <v>5498.1524795654323</v>
      </c>
      <c r="DN90" s="114">
        <v>16895.010544339224</v>
      </c>
      <c r="DO90" s="114">
        <v>9569.3295825297228</v>
      </c>
      <c r="DP90" s="114">
        <v>11195.791485547797</v>
      </c>
      <c r="DQ90" s="114">
        <v>6005.9863461356936</v>
      </c>
      <c r="DR90" s="114">
        <v>10230.148350212576</v>
      </c>
      <c r="DS90" s="114">
        <v>12522.490247007643</v>
      </c>
      <c r="DT90" s="114">
        <v>8120.9050139510819</v>
      </c>
      <c r="DU90" s="114">
        <v>2746.0262467541052</v>
      </c>
      <c r="DV90" s="114">
        <v>9684.9385524316458</v>
      </c>
      <c r="DW90" s="114">
        <v>4370.5415014515447</v>
      </c>
      <c r="DX90" s="114">
        <v>11349.179150559237</v>
      </c>
      <c r="DY90" s="114">
        <v>7682.2543896708812</v>
      </c>
      <c r="DZ90" s="114">
        <v>7728.2438391948226</v>
      </c>
      <c r="EA90" s="114">
        <v>18481.222449248871</v>
      </c>
      <c r="EB90" s="114">
        <v>11710.020422578356</v>
      </c>
      <c r="EC90" s="114">
        <v>11106.613138692695</v>
      </c>
      <c r="ED90" s="114">
        <v>5387.4075318872583</v>
      </c>
      <c r="EE90" s="114">
        <v>10061.105798097882</v>
      </c>
      <c r="EF90" s="114">
        <v>10926.203784342377</v>
      </c>
      <c r="EG90" s="114">
        <v>6157.3331095432759</v>
      </c>
      <c r="EH90" s="114">
        <v>5473.8463526392961</v>
      </c>
      <c r="EI90" s="114">
        <v>5620.6667681936324</v>
      </c>
      <c r="EJ90" s="114">
        <v>19313.300680790868</v>
      </c>
      <c r="EK90" s="114">
        <v>16124.474814170433</v>
      </c>
      <c r="EL90" s="114">
        <v>17968.735600603242</v>
      </c>
      <c r="EM90" s="114">
        <v>2790.0214727372809</v>
      </c>
      <c r="EN90" s="114">
        <v>10229.263446747791</v>
      </c>
      <c r="EO90" s="114">
        <v>12638.487126051848</v>
      </c>
      <c r="EP90" s="114">
        <v>6886.378634405206</v>
      </c>
      <c r="EQ90" s="114">
        <v>9714.9360564930412</v>
      </c>
      <c r="ER90" s="114">
        <v>9274.513847324195</v>
      </c>
      <c r="ES90" s="114">
        <v>8480.860895241065</v>
      </c>
      <c r="ET90" s="114">
        <v>18285.198755307578</v>
      </c>
      <c r="EU90" s="114">
        <v>18340.029612370814</v>
      </c>
      <c r="EV90" s="114">
        <v>18439.308429450011</v>
      </c>
      <c r="EW90" s="114">
        <v>10803.579970551938</v>
      </c>
      <c r="EX90" s="114">
        <v>11115.454896333607</v>
      </c>
      <c r="EY90" s="114">
        <v>7321.9086570284016</v>
      </c>
      <c r="EZ90" s="114">
        <v>13799.448778353981</v>
      </c>
      <c r="FA90" s="114">
        <v>10168.474350696248</v>
      </c>
      <c r="FB90" s="114">
        <v>13349.842193052353</v>
      </c>
      <c r="FC90" s="114">
        <v>875.70161772268852</v>
      </c>
      <c r="FD90" s="114">
        <v>10461.537722774738</v>
      </c>
      <c r="FE90" s="114">
        <v>10654.023718696906</v>
      </c>
      <c r="FF90" s="114">
        <v>6848.6424877946674</v>
      </c>
      <c r="FG90" s="114">
        <v>8542.2596836010453</v>
      </c>
      <c r="FH90" s="114">
        <v>5257.3877905547088</v>
      </c>
      <c r="FI90" s="114">
        <v>8394.4130544679538</v>
      </c>
      <c r="FJ90" s="114">
        <v>12124.824355520763</v>
      </c>
      <c r="FK90" s="114">
        <v>11640.312809478788</v>
      </c>
      <c r="FL90" s="114">
        <v>3281.0441932970184</v>
      </c>
      <c r="FM90" s="114">
        <v>8492.6967669151763</v>
      </c>
      <c r="FN90" s="114">
        <v>17967.543074335797</v>
      </c>
      <c r="FO90" s="114">
        <v>10496.325687483128</v>
      </c>
      <c r="FP90" s="114">
        <v>11195.568675236322</v>
      </c>
      <c r="FQ90" s="114">
        <v>8574.7454799904535</v>
      </c>
      <c r="FR90" s="114">
        <v>3829.949091979543</v>
      </c>
      <c r="FS90" s="114">
        <v>6300.7978877418172</v>
      </c>
      <c r="FT90" s="114">
        <v>7409.3616033969365</v>
      </c>
      <c r="FU90" s="114">
        <v>2274.7550728150254</v>
      </c>
      <c r="FV90" s="114">
        <v>2099.0776527774087</v>
      </c>
      <c r="FW90" s="114">
        <v>11752.595249075572</v>
      </c>
      <c r="FX90" s="114">
        <v>18591.06619071672</v>
      </c>
      <c r="FY90" s="114">
        <v>10971.191147212601</v>
      </c>
      <c r="FZ90" s="114">
        <v>9077.3058167602703</v>
      </c>
      <c r="GA90" s="114">
        <v>7035.3546752493685</v>
      </c>
      <c r="GB90" s="114">
        <v>8252.2466776431993</v>
      </c>
      <c r="GC90" s="114">
        <v>9556.4648135145253</v>
      </c>
      <c r="GD90" s="114">
        <v>6581.8229704880077</v>
      </c>
      <c r="GE90" s="114">
        <v>11674.626283008838</v>
      </c>
      <c r="GF90" s="114">
        <v>14478.498378031332</v>
      </c>
      <c r="GG90" s="114">
        <v>16164.994913104198</v>
      </c>
      <c r="GH90" s="114">
        <v>15974.261348672035</v>
      </c>
      <c r="GI90" s="114">
        <v>16349.812953749808</v>
      </c>
      <c r="GJ90" s="114">
        <v>15142.354719241124</v>
      </c>
      <c r="GK90" s="114">
        <v>6484.1920803935</v>
      </c>
      <c r="GL90" s="114">
        <v>19109.054898113762</v>
      </c>
      <c r="GM90" s="114">
        <v>3019.4288625516783</v>
      </c>
      <c r="GN90" s="114">
        <v>7253.658600399529</v>
      </c>
      <c r="GO90" s="114">
        <v>8571.7773628809555</v>
      </c>
      <c r="GP90" s="114">
        <v>8257.5709790916917</v>
      </c>
      <c r="GQ90" s="114">
        <v>1880.8106220811601</v>
      </c>
      <c r="GR90" s="114">
        <v>5432.1617076217344</v>
      </c>
      <c r="GS90" s="114">
        <v>11096.719703982675</v>
      </c>
      <c r="GT90" s="115">
        <v>8550.1865140181853</v>
      </c>
    </row>
    <row r="91" spans="2:202" x14ac:dyDescent="0.6">
      <c r="B91" s="106" t="s">
        <v>80</v>
      </c>
      <c r="C91" s="63" t="s">
        <v>468</v>
      </c>
      <c r="D91" s="113">
        <v>1627.9037153439924</v>
      </c>
      <c r="E91" s="114">
        <v>4296.7952842396598</v>
      </c>
      <c r="F91" s="114">
        <v>4330.3706934072734</v>
      </c>
      <c r="G91" s="114">
        <v>6312.9229071155187</v>
      </c>
      <c r="H91" s="114">
        <v>10872.126553094087</v>
      </c>
      <c r="I91" s="114">
        <v>13963.495577045938</v>
      </c>
      <c r="J91" s="114">
        <v>803.2596443880617</v>
      </c>
      <c r="K91" s="114">
        <v>12889.746343569164</v>
      </c>
      <c r="L91" s="114">
        <v>3195.6934715635539</v>
      </c>
      <c r="M91" s="114">
        <v>560.473314525045</v>
      </c>
      <c r="N91" s="114">
        <v>11381.287584161428</v>
      </c>
      <c r="O91" s="114">
        <v>1042.9259574223906</v>
      </c>
      <c r="P91" s="114">
        <v>3972.2531131100045</v>
      </c>
      <c r="Q91" s="114">
        <v>10955.985436608622</v>
      </c>
      <c r="R91" s="114">
        <v>2742.8767149987316</v>
      </c>
      <c r="S91" s="114">
        <v>4097.080792550666</v>
      </c>
      <c r="T91" s="114">
        <v>12779.464566452596</v>
      </c>
      <c r="U91" s="114">
        <v>5943.1302207700319</v>
      </c>
      <c r="V91" s="114">
        <v>3708.4488526226578</v>
      </c>
      <c r="W91" s="114">
        <v>13686.1271483978</v>
      </c>
      <c r="X91" s="114">
        <v>2952.3305225872627</v>
      </c>
      <c r="Y91" s="114">
        <v>7188.8983277315201</v>
      </c>
      <c r="Z91" s="114">
        <v>12183.190707334188</v>
      </c>
      <c r="AA91" s="114">
        <v>11843.649815558334</v>
      </c>
      <c r="AB91" s="114">
        <v>7347.1106345099597</v>
      </c>
      <c r="AC91" s="114">
        <v>2538.5066223197432</v>
      </c>
      <c r="AD91" s="114">
        <v>5861.4755653177563</v>
      </c>
      <c r="AE91" s="114">
        <v>4871.3911416027049</v>
      </c>
      <c r="AF91" s="114">
        <v>7670.1487874093564</v>
      </c>
      <c r="AG91" s="114">
        <v>5967.7565670109734</v>
      </c>
      <c r="AH91" s="114">
        <v>5510.378323810819</v>
      </c>
      <c r="AI91" s="114">
        <v>5425.3341241118233</v>
      </c>
      <c r="AJ91" s="114">
        <v>9902.2828444368861</v>
      </c>
      <c r="AK91" s="114">
        <v>9566.830424303198</v>
      </c>
      <c r="AL91" s="114">
        <v>4844.3366891624346</v>
      </c>
      <c r="AM91" s="114">
        <v>4505.6411944639731</v>
      </c>
      <c r="AN91" s="114">
        <v>14736.091425353072</v>
      </c>
      <c r="AO91" s="114">
        <v>6395.5528950053367</v>
      </c>
      <c r="AP91" s="114">
        <v>5618.4182420406487</v>
      </c>
      <c r="AQ91" s="114">
        <v>12808.139308236279</v>
      </c>
      <c r="AR91" s="114">
        <v>5278.2890390161729</v>
      </c>
      <c r="AS91" s="114">
        <v>5798.7516493576541</v>
      </c>
      <c r="AT91" s="114">
        <v>5790.830296304508</v>
      </c>
      <c r="AU91" s="114">
        <v>13161.498140645856</v>
      </c>
      <c r="AV91" s="114">
        <v>6556.9045927325715</v>
      </c>
      <c r="AW91" s="114">
        <v>3190.5816998659348</v>
      </c>
      <c r="AX91" s="114">
        <v>11874.134465245654</v>
      </c>
      <c r="AY91" s="114">
        <v>1636.8082521083736</v>
      </c>
      <c r="AZ91" s="114">
        <v>3388.2763798896085</v>
      </c>
      <c r="BA91" s="114">
        <v>3688.9214542290156</v>
      </c>
      <c r="BB91" s="114">
        <v>2860.1812045045504</v>
      </c>
      <c r="BC91" s="114">
        <v>10962.62862419526</v>
      </c>
      <c r="BD91" s="114">
        <v>11388.409855968504</v>
      </c>
      <c r="BE91" s="114">
        <v>5798.5033803283595</v>
      </c>
      <c r="BF91" s="114">
        <v>13501.888540684544</v>
      </c>
      <c r="BG91" s="114">
        <v>1975.9343868397434</v>
      </c>
      <c r="BH91" s="114">
        <v>13170.272538541605</v>
      </c>
      <c r="BI91" s="114">
        <v>5652.2532689800519</v>
      </c>
      <c r="BJ91" s="114">
        <v>2585.0752287251698</v>
      </c>
      <c r="BK91" s="114">
        <v>3281.6077526399104</v>
      </c>
      <c r="BL91" s="114">
        <v>7174.4779096587408</v>
      </c>
      <c r="BM91" s="114">
        <v>3215.5593381259473</v>
      </c>
      <c r="BN91" s="114">
        <v>3329.1169959988774</v>
      </c>
      <c r="BO91" s="114">
        <v>4228.1551889305701</v>
      </c>
      <c r="BP91" s="114">
        <v>5847.0481458866443</v>
      </c>
      <c r="BQ91" s="114">
        <v>7146.8424269482784</v>
      </c>
      <c r="BR91" s="114">
        <v>890.70170645694088</v>
      </c>
      <c r="BS91" s="114">
        <v>3521.0100389088147</v>
      </c>
      <c r="BT91" s="114">
        <v>3533.9692730449433</v>
      </c>
      <c r="BU91" s="114">
        <v>3776.4883549402152</v>
      </c>
      <c r="BV91" s="114">
        <v>6216.2326107447734</v>
      </c>
      <c r="BW91" s="114">
        <v>2490.3727969602892</v>
      </c>
      <c r="BX91" s="114">
        <v>11230.764263467869</v>
      </c>
      <c r="BY91" s="114">
        <v>13150.436638197547</v>
      </c>
      <c r="BZ91" s="114">
        <v>7132.737805575106</v>
      </c>
      <c r="CA91" s="114">
        <v>7173.4634627864507</v>
      </c>
      <c r="CB91" s="114">
        <v>11313.196538210475</v>
      </c>
      <c r="CC91" s="114">
        <v>11575.671025876494</v>
      </c>
      <c r="CD91" s="114">
        <v>12985.723143850413</v>
      </c>
      <c r="CE91" s="114">
        <v>2968.0003650935478</v>
      </c>
      <c r="CF91" s="114">
        <v>5694.6203996199729</v>
      </c>
      <c r="CG91" s="114">
        <v>2792.1831928143702</v>
      </c>
      <c r="CH91" s="114">
        <v>2553.0863933195456</v>
      </c>
      <c r="CI91" s="114">
        <v>7371.9073757343494</v>
      </c>
      <c r="CJ91" s="114" t="s">
        <v>237</v>
      </c>
      <c r="CK91" s="114">
        <v>689.20868026362905</v>
      </c>
      <c r="CL91" s="114">
        <v>4822.9773654563805</v>
      </c>
      <c r="CM91" s="114">
        <v>7741.0088647729517</v>
      </c>
      <c r="CN91" s="114">
        <v>3432.1199446441283</v>
      </c>
      <c r="CO91" s="114">
        <v>3686.2512287753011</v>
      </c>
      <c r="CP91" s="114">
        <v>11920.216801299319</v>
      </c>
      <c r="CQ91" s="114">
        <v>7688.4947224615853</v>
      </c>
      <c r="CR91" s="114">
        <v>1523.0914276406138</v>
      </c>
      <c r="CS91" s="114">
        <v>2362.5699010555945</v>
      </c>
      <c r="CT91" s="114">
        <v>4352.0616297051429</v>
      </c>
      <c r="CU91" s="114">
        <v>749.64765944874512</v>
      </c>
      <c r="CV91" s="114">
        <v>2143.1013528720387</v>
      </c>
      <c r="CW91" s="114">
        <v>5381.954712297601</v>
      </c>
      <c r="CX91" s="114">
        <v>3109.2538926560483</v>
      </c>
      <c r="CY91" s="114">
        <v>1479.1953955904553</v>
      </c>
      <c r="CZ91" s="114">
        <v>7612.5998292051972</v>
      </c>
      <c r="DA91" s="114">
        <v>7065.4416995606971</v>
      </c>
      <c r="DB91" s="114">
        <v>3519.0491743397647</v>
      </c>
      <c r="DC91" s="114">
        <v>3688.9950522584813</v>
      </c>
      <c r="DD91" s="114">
        <v>2910.7340433763188</v>
      </c>
      <c r="DE91" s="114">
        <v>3950.5949166318806</v>
      </c>
      <c r="DF91" s="114">
        <v>6018.146550598206</v>
      </c>
      <c r="DG91" s="114">
        <v>5809.1330081604729</v>
      </c>
      <c r="DH91" s="114">
        <v>6273.618933724948</v>
      </c>
      <c r="DI91" s="114">
        <v>4161.857272480449</v>
      </c>
      <c r="DJ91" s="114">
        <v>6406.3519371636739</v>
      </c>
      <c r="DK91" s="114">
        <v>3328.8528409190753</v>
      </c>
      <c r="DL91" s="114">
        <v>6208.0959181773587</v>
      </c>
      <c r="DM91" s="114">
        <v>6217.1127623360508</v>
      </c>
      <c r="DN91" s="114">
        <v>13184.880018515876</v>
      </c>
      <c r="DO91" s="114">
        <v>2262.0474769948678</v>
      </c>
      <c r="DP91" s="114">
        <v>3824.016746520731</v>
      </c>
      <c r="DQ91" s="114">
        <v>4712.3741748530701</v>
      </c>
      <c r="DR91" s="114">
        <v>2859.1136872907555</v>
      </c>
      <c r="DS91" s="114">
        <v>5236.1965066072171</v>
      </c>
      <c r="DT91" s="114">
        <v>7072.5948060622022</v>
      </c>
      <c r="DU91" s="114">
        <v>4907.7841112063525</v>
      </c>
      <c r="DV91" s="114">
        <v>7369.8987952573207</v>
      </c>
      <c r="DW91" s="114">
        <v>3318.3950680882967</v>
      </c>
      <c r="DX91" s="114">
        <v>4097.5270876020768</v>
      </c>
      <c r="DY91" s="114">
        <v>15013.260501760646</v>
      </c>
      <c r="DZ91" s="114">
        <v>15098.18256156819</v>
      </c>
      <c r="EA91" s="114">
        <v>13097.908665932926</v>
      </c>
      <c r="EB91" s="114">
        <v>5492.6264342910499</v>
      </c>
      <c r="EC91" s="114">
        <v>5328.4355608038668</v>
      </c>
      <c r="ED91" s="114">
        <v>6373.9024256577759</v>
      </c>
      <c r="EE91" s="114">
        <v>2690.9466889735759</v>
      </c>
      <c r="EF91" s="114">
        <v>3968.4645633630653</v>
      </c>
      <c r="EG91" s="114">
        <v>1505.152716976306</v>
      </c>
      <c r="EH91" s="114">
        <v>1912.3183163345939</v>
      </c>
      <c r="EI91" s="114">
        <v>2008.3440056420138</v>
      </c>
      <c r="EJ91" s="114">
        <v>12856.574676477612</v>
      </c>
      <c r="EK91" s="114">
        <v>13206.633203362138</v>
      </c>
      <c r="EL91" s="114">
        <v>14223.336448973492</v>
      </c>
      <c r="EM91" s="114">
        <v>7260.2423970268883</v>
      </c>
      <c r="EN91" s="114">
        <v>3022.612905545072</v>
      </c>
      <c r="EO91" s="114">
        <v>5281.4802555521192</v>
      </c>
      <c r="EP91" s="114">
        <v>1144.2058105803776</v>
      </c>
      <c r="EQ91" s="114">
        <v>2352.0156752227276</v>
      </c>
      <c r="ER91" s="114">
        <v>2486.812586416781</v>
      </c>
      <c r="ES91" s="114">
        <v>4672.5619954125978</v>
      </c>
      <c r="ET91" s="114">
        <v>10915.798479003384</v>
      </c>
      <c r="EU91" s="114">
        <v>10993.233753701821</v>
      </c>
      <c r="EV91" s="114">
        <v>11102.128792137528</v>
      </c>
      <c r="EW91" s="114">
        <v>3431.6887679112042</v>
      </c>
      <c r="EX91" s="114">
        <v>6081.1599927736725</v>
      </c>
      <c r="EY91" s="114">
        <v>1313.0214678166005</v>
      </c>
      <c r="EZ91" s="114">
        <v>7163.2943227196274</v>
      </c>
      <c r="FA91" s="114">
        <v>2801.1859818397575</v>
      </c>
      <c r="FB91" s="114">
        <v>7167.495313261923</v>
      </c>
      <c r="FC91" s="114">
        <v>6603.1163356772131</v>
      </c>
      <c r="FD91" s="114">
        <v>3133.8235614050623</v>
      </c>
      <c r="FE91" s="114">
        <v>3294.74904971551</v>
      </c>
      <c r="FF91" s="114">
        <v>3768.2692835168655</v>
      </c>
      <c r="FG91" s="114">
        <v>7195.090100254587</v>
      </c>
      <c r="FH91" s="114">
        <v>6545.9609599710848</v>
      </c>
      <c r="FI91" s="114">
        <v>3956.9549965691222</v>
      </c>
      <c r="FJ91" s="114">
        <v>4760.9480955910567</v>
      </c>
      <c r="FK91" s="114">
        <v>4273.3099497756248</v>
      </c>
      <c r="FL91" s="114">
        <v>4304.7024061415104</v>
      </c>
      <c r="FM91" s="114">
        <v>2926.7451755119741</v>
      </c>
      <c r="FN91" s="114">
        <v>11117.854488758796</v>
      </c>
      <c r="FO91" s="114">
        <v>3572.4448288099411</v>
      </c>
      <c r="FP91" s="114">
        <v>3839.2266754921666</v>
      </c>
      <c r="FQ91" s="114">
        <v>1406.5252249037981</v>
      </c>
      <c r="FR91" s="114">
        <v>6711.215430913654</v>
      </c>
      <c r="FS91" s="114">
        <v>1558.9320254357733</v>
      </c>
      <c r="FT91" s="114">
        <v>4863.4529450790096</v>
      </c>
      <c r="FU91" s="114">
        <v>5459.8634721651497</v>
      </c>
      <c r="FV91" s="114">
        <v>9121.562796046901</v>
      </c>
      <c r="FW91" s="114">
        <v>6056.4587469959733</v>
      </c>
      <c r="FX91" s="114">
        <v>11310.485218704034</v>
      </c>
      <c r="FY91" s="114">
        <v>3680.1226415566966</v>
      </c>
      <c r="FZ91" s="114">
        <v>1713.7625813497527</v>
      </c>
      <c r="GA91" s="114">
        <v>621.42028551819942</v>
      </c>
      <c r="GB91" s="114">
        <v>4384.875945810878</v>
      </c>
      <c r="GC91" s="114">
        <v>2364.3621426582808</v>
      </c>
      <c r="GD91" s="114">
        <v>1272.2841371177281</v>
      </c>
      <c r="GE91" s="114">
        <v>4401.9781709634271</v>
      </c>
      <c r="GF91" s="114">
        <v>12211.82578386036</v>
      </c>
      <c r="GG91" s="114">
        <v>9871.7783243364993</v>
      </c>
      <c r="GH91" s="114">
        <v>9570.8980165629837</v>
      </c>
      <c r="GI91" s="114">
        <v>10191.851843336721</v>
      </c>
      <c r="GJ91" s="114">
        <v>13561.346889417979</v>
      </c>
      <c r="GK91" s="114">
        <v>1675.7819388980888</v>
      </c>
      <c r="GL91" s="114">
        <v>11754.57721954819</v>
      </c>
      <c r="GM91" s="114">
        <v>5473.9320408845442</v>
      </c>
      <c r="GN91" s="114">
        <v>2341.2926161807691</v>
      </c>
      <c r="GO91" s="114">
        <v>6144.4157326834529</v>
      </c>
      <c r="GP91" s="114">
        <v>6255.7139427671436</v>
      </c>
      <c r="GQ91" s="114">
        <v>6189.1014914780544</v>
      </c>
      <c r="GR91" s="114">
        <v>12803.841684731557</v>
      </c>
      <c r="GS91" s="114">
        <v>3749.6676452472111</v>
      </c>
      <c r="GT91" s="115">
        <v>7277.1673788230737</v>
      </c>
    </row>
    <row r="92" spans="2:202" x14ac:dyDescent="0.6">
      <c r="B92" s="106" t="s">
        <v>81</v>
      </c>
      <c r="C92" s="63" t="s">
        <v>469</v>
      </c>
      <c r="D92" s="113">
        <v>2291.5526329155896</v>
      </c>
      <c r="E92" s="114">
        <v>3751.8018838539892</v>
      </c>
      <c r="F92" s="114">
        <v>3867.9498713862736</v>
      </c>
      <c r="G92" s="114">
        <v>5687.3611994830935</v>
      </c>
      <c r="H92" s="114">
        <v>10397.137523122323</v>
      </c>
      <c r="I92" s="114">
        <v>13275.431980611158</v>
      </c>
      <c r="J92" s="114">
        <v>767.24551083009521</v>
      </c>
      <c r="K92" s="114">
        <v>13378.764659323439</v>
      </c>
      <c r="L92" s="114">
        <v>2865.6765827254744</v>
      </c>
      <c r="M92" s="114">
        <v>916.72191355130792</v>
      </c>
      <c r="N92" s="114">
        <v>11058.682370338722</v>
      </c>
      <c r="O92" s="114">
        <v>979.05227152164366</v>
      </c>
      <c r="P92" s="114">
        <v>4590.5548851163112</v>
      </c>
      <c r="Q92" s="114">
        <v>10441.338749530945</v>
      </c>
      <c r="R92" s="114">
        <v>2629.4940670764308</v>
      </c>
      <c r="S92" s="114">
        <v>3773.3569221041271</v>
      </c>
      <c r="T92" s="114">
        <v>12486.653005144979</v>
      </c>
      <c r="U92" s="114">
        <v>5254.3957953796762</v>
      </c>
      <c r="V92" s="114">
        <v>4352.4554153297713</v>
      </c>
      <c r="W92" s="114">
        <v>13045.465174285609</v>
      </c>
      <c r="X92" s="114">
        <v>2529.2330797446348</v>
      </c>
      <c r="Y92" s="114">
        <v>6710.2468098641411</v>
      </c>
      <c r="Z92" s="114">
        <v>11495.337045265642</v>
      </c>
      <c r="AA92" s="114">
        <v>11155.069682861211</v>
      </c>
      <c r="AB92" s="114">
        <v>7940.0231852866655</v>
      </c>
      <c r="AC92" s="114">
        <v>2111.099705471057</v>
      </c>
      <c r="AD92" s="114">
        <v>5177.3136018022788</v>
      </c>
      <c r="AE92" s="114">
        <v>4344.3049170554896</v>
      </c>
      <c r="AF92" s="114">
        <v>7038.3831485636356</v>
      </c>
      <c r="AG92" s="114">
        <v>6558.4050825838858</v>
      </c>
      <c r="AH92" s="114">
        <v>4833.5548988322853</v>
      </c>
      <c r="AI92" s="114">
        <v>4753.9324315990725</v>
      </c>
      <c r="AJ92" s="114">
        <v>9735.6811377901231</v>
      </c>
      <c r="AK92" s="114">
        <v>9388.210222847707</v>
      </c>
      <c r="AL92" s="114">
        <v>4197.109360406821</v>
      </c>
      <c r="AM92" s="114">
        <v>3821.8680675936243</v>
      </c>
      <c r="AN92" s="114">
        <v>14048.491559580245</v>
      </c>
      <c r="AO92" s="114">
        <v>7084.4919795736896</v>
      </c>
      <c r="AP92" s="114">
        <v>6304.0797970957628</v>
      </c>
      <c r="AQ92" s="114">
        <v>12313.71238852478</v>
      </c>
      <c r="AR92" s="114">
        <v>4960.7667000717738</v>
      </c>
      <c r="AS92" s="114">
        <v>5168.9214804340181</v>
      </c>
      <c r="AT92" s="114">
        <v>5159.1074980010208</v>
      </c>
      <c r="AU92" s="114">
        <v>12774.657967768529</v>
      </c>
      <c r="AV92" s="114">
        <v>5868.1633009710558</v>
      </c>
      <c r="AW92" s="114">
        <v>2801.110795872165</v>
      </c>
      <c r="AX92" s="114">
        <v>11574.308430316849</v>
      </c>
      <c r="AY92" s="114">
        <v>1037.9594906143118</v>
      </c>
      <c r="AZ92" s="114">
        <v>3089.5037388212754</v>
      </c>
      <c r="BA92" s="114">
        <v>3488.4920678361414</v>
      </c>
      <c r="BB92" s="114">
        <v>2468.9461495728001</v>
      </c>
      <c r="BC92" s="114">
        <v>10471.575754384612</v>
      </c>
      <c r="BD92" s="114">
        <v>10965.559634884126</v>
      </c>
      <c r="BE92" s="114">
        <v>5167.3456879139212</v>
      </c>
      <c r="BF92" s="114">
        <v>13001.805127902988</v>
      </c>
      <c r="BG92" s="114">
        <v>1294.724423791879</v>
      </c>
      <c r="BH92" s="114">
        <v>12856.224485620085</v>
      </c>
      <c r="BI92" s="114">
        <v>4974.1184306703344</v>
      </c>
      <c r="BJ92" s="114">
        <v>2084.7191905406789</v>
      </c>
      <c r="BK92" s="114">
        <v>3242.2804129796773</v>
      </c>
      <c r="BL92" s="114">
        <v>6749.5371782418406</v>
      </c>
      <c r="BM92" s="114">
        <v>2755.5435248129429</v>
      </c>
      <c r="BN92" s="114">
        <v>3309.7229998791777</v>
      </c>
      <c r="BO92" s="114">
        <v>3865.730937758462</v>
      </c>
      <c r="BP92" s="114">
        <v>5178.2005263555202</v>
      </c>
      <c r="BQ92" s="114">
        <v>6491.2230241311927</v>
      </c>
      <c r="BR92" s="114">
        <v>915.30434350641838</v>
      </c>
      <c r="BS92" s="114">
        <v>3263.7164248781619</v>
      </c>
      <c r="BT92" s="114">
        <v>3185.0375224409786</v>
      </c>
      <c r="BU92" s="114">
        <v>3456.9324179769415</v>
      </c>
      <c r="BV92" s="114">
        <v>5527.1197065261904</v>
      </c>
      <c r="BW92" s="114">
        <v>1946.3686336821463</v>
      </c>
      <c r="BX92" s="114">
        <v>10721.633231412488</v>
      </c>
      <c r="BY92" s="114">
        <v>12854.222384997178</v>
      </c>
      <c r="BZ92" s="114">
        <v>6459.5163690034406</v>
      </c>
      <c r="CA92" s="114">
        <v>6509.7557682722345</v>
      </c>
      <c r="CB92" s="114">
        <v>10753.541177280575</v>
      </c>
      <c r="CC92" s="114">
        <v>11169.915351629495</v>
      </c>
      <c r="CD92" s="114">
        <v>12659.250880752828</v>
      </c>
      <c r="CE92" s="114">
        <v>2634.9423869151392</v>
      </c>
      <c r="CF92" s="114">
        <v>5566.4245329560972</v>
      </c>
      <c r="CG92" s="114">
        <v>3240.9521051153552</v>
      </c>
      <c r="CH92" s="114">
        <v>3168.556558275005</v>
      </c>
      <c r="CI92" s="114">
        <v>7856.5420608097129</v>
      </c>
      <c r="CJ92" s="114">
        <v>689.20868026362905</v>
      </c>
      <c r="CK92" s="114" t="s">
        <v>237</v>
      </c>
      <c r="CL92" s="114">
        <v>4530.850818462829</v>
      </c>
      <c r="CM92" s="114">
        <v>7254.7913521357768</v>
      </c>
      <c r="CN92" s="114">
        <v>2957.1693422401972</v>
      </c>
      <c r="CO92" s="114">
        <v>3279.7112936140361</v>
      </c>
      <c r="CP92" s="114">
        <v>11540.387516310668</v>
      </c>
      <c r="CQ92" s="114">
        <v>8366.5940595797347</v>
      </c>
      <c r="CR92" s="114">
        <v>843.84854641267134</v>
      </c>
      <c r="CS92" s="114">
        <v>2955.3827229665048</v>
      </c>
      <c r="CT92" s="114">
        <v>3908.7048824320432</v>
      </c>
      <c r="CU92" s="114">
        <v>558.26719314781133</v>
      </c>
      <c r="CV92" s="114">
        <v>2825.1718084335789</v>
      </c>
      <c r="CW92" s="114">
        <v>6002.1048735707736</v>
      </c>
      <c r="CX92" s="114">
        <v>3019.1573641060372</v>
      </c>
      <c r="CY92" s="114">
        <v>835.42943425722626</v>
      </c>
      <c r="CZ92" s="114">
        <v>7163.7995567512953</v>
      </c>
      <c r="DA92" s="114">
        <v>6382.0860945741615</v>
      </c>
      <c r="DB92" s="114">
        <v>2907.6790584217742</v>
      </c>
      <c r="DC92" s="114">
        <v>3313.0748894245994</v>
      </c>
      <c r="DD92" s="114">
        <v>2790.6187466256433</v>
      </c>
      <c r="DE92" s="114">
        <v>3610.1853037339397</v>
      </c>
      <c r="DF92" s="114">
        <v>5763.2113634430871</v>
      </c>
      <c r="DG92" s="114">
        <v>5372.6204640412843</v>
      </c>
      <c r="DH92" s="114">
        <v>6793.413704642121</v>
      </c>
      <c r="DI92" s="114">
        <v>4424.3478566530803</v>
      </c>
      <c r="DJ92" s="114">
        <v>5730.9936586094846</v>
      </c>
      <c r="DK92" s="114">
        <v>2754.1845259543975</v>
      </c>
      <c r="DL92" s="114">
        <v>6085.2698170772192</v>
      </c>
      <c r="DM92" s="114">
        <v>6096.7853832933733</v>
      </c>
      <c r="DN92" s="114">
        <v>13012.216326193711</v>
      </c>
      <c r="DO92" s="114">
        <v>2012.7663182657225</v>
      </c>
      <c r="DP92" s="114">
        <v>3384.4663623329302</v>
      </c>
      <c r="DQ92" s="114">
        <v>5378.5284378411097</v>
      </c>
      <c r="DR92" s="114">
        <v>2415.2149668645679</v>
      </c>
      <c r="DS92" s="114">
        <v>4685.9832941711493</v>
      </c>
      <c r="DT92" s="114">
        <v>6657.8031438307971</v>
      </c>
      <c r="DU92" s="114">
        <v>5497.5308513335067</v>
      </c>
      <c r="DV92" s="114">
        <v>6819.7981811516074</v>
      </c>
      <c r="DW92" s="114">
        <v>3952.2386067817461</v>
      </c>
      <c r="DX92" s="114">
        <v>3805.8266212064918</v>
      </c>
      <c r="DY92" s="114">
        <v>15537.028058054932</v>
      </c>
      <c r="DZ92" s="114">
        <v>15568.836767852754</v>
      </c>
      <c r="EA92" s="114">
        <v>12748.226928399481</v>
      </c>
      <c r="EB92" s="114">
        <v>4806.7412530092743</v>
      </c>
      <c r="EC92" s="114">
        <v>4640.5071706162444</v>
      </c>
      <c r="ED92" s="114">
        <v>7056.1725700185407</v>
      </c>
      <c r="EE92" s="114">
        <v>2244.0397637476012</v>
      </c>
      <c r="EF92" s="114">
        <v>3835.1628728391793</v>
      </c>
      <c r="EG92" s="114">
        <v>1754.7902749425371</v>
      </c>
      <c r="EH92" s="114">
        <v>2392.2043602008698</v>
      </c>
      <c r="EI92" s="114">
        <v>2668.0532474053448</v>
      </c>
      <c r="EJ92" s="114">
        <v>12429.745671748029</v>
      </c>
      <c r="EK92" s="114">
        <v>12522.943572845434</v>
      </c>
      <c r="EL92" s="114">
        <v>13634.687550146076</v>
      </c>
      <c r="EM92" s="114">
        <v>7914.6726867882262</v>
      </c>
      <c r="EN92" s="114">
        <v>2814.099992516783</v>
      </c>
      <c r="EO92" s="114">
        <v>4783.3434251188664</v>
      </c>
      <c r="EP92" s="114">
        <v>1126.1020530552692</v>
      </c>
      <c r="EQ92" s="114">
        <v>1994.0428151018054</v>
      </c>
      <c r="ER92" s="114">
        <v>2560.7031387574957</v>
      </c>
      <c r="ES92" s="114">
        <v>4147.5411895580019</v>
      </c>
      <c r="ET92" s="114">
        <v>10444.252548938424</v>
      </c>
      <c r="EU92" s="114">
        <v>10491.078056557872</v>
      </c>
      <c r="EV92" s="114">
        <v>10596.547821258984</v>
      </c>
      <c r="EW92" s="114">
        <v>2994.2728782120039</v>
      </c>
      <c r="EX92" s="114">
        <v>5405.5130328502937</v>
      </c>
      <c r="EY92" s="114">
        <v>998.91214792603807</v>
      </c>
      <c r="EZ92" s="114">
        <v>6513.6476995495341</v>
      </c>
      <c r="FA92" s="114">
        <v>2409.8223993656952</v>
      </c>
      <c r="FB92" s="114">
        <v>6491.4808766087372</v>
      </c>
      <c r="FC92" s="114">
        <v>7124.4684884731196</v>
      </c>
      <c r="FD92" s="114">
        <v>2807.8070670851225</v>
      </c>
      <c r="FE92" s="114">
        <v>2912.3025505878741</v>
      </c>
      <c r="FF92" s="114">
        <v>3468.4720464139518</v>
      </c>
      <c r="FG92" s="114">
        <v>6741.4820315579691</v>
      </c>
      <c r="FH92" s="114">
        <v>7230.4942844778961</v>
      </c>
      <c r="FI92" s="114">
        <v>3416.5655082475623</v>
      </c>
      <c r="FJ92" s="114">
        <v>4274.965519332045</v>
      </c>
      <c r="FK92" s="114">
        <v>3796.660920249325</v>
      </c>
      <c r="FL92" s="114">
        <v>4683.2225972578581</v>
      </c>
      <c r="FM92" s="114">
        <v>2324.8077770829368</v>
      </c>
      <c r="FN92" s="114">
        <v>10540.490766718078</v>
      </c>
      <c r="FO92" s="114">
        <v>3479.3805013829465</v>
      </c>
      <c r="FP92" s="114">
        <v>3449.8338405681866</v>
      </c>
      <c r="FQ92" s="114">
        <v>754.97656629171377</v>
      </c>
      <c r="FR92" s="114">
        <v>7393.9580345480936</v>
      </c>
      <c r="FS92" s="114">
        <v>2247.7830108056573</v>
      </c>
      <c r="FT92" s="114">
        <v>4480.2855034823997</v>
      </c>
      <c r="FU92" s="114">
        <v>6046.5136194130682</v>
      </c>
      <c r="FV92" s="114">
        <v>9685.1515124329053</v>
      </c>
      <c r="FW92" s="114">
        <v>5367.4153185312352</v>
      </c>
      <c r="FX92" s="114">
        <v>10791.187348947502</v>
      </c>
      <c r="FY92" s="114">
        <v>3125.0017866276339</v>
      </c>
      <c r="FZ92" s="114">
        <v>1267.1060707545985</v>
      </c>
      <c r="GA92" s="114">
        <v>1305.731013415281</v>
      </c>
      <c r="GB92" s="114">
        <v>3878.102141783952</v>
      </c>
      <c r="GC92" s="114">
        <v>2220.5739704259909</v>
      </c>
      <c r="GD92" s="114">
        <v>1383.8564744026173</v>
      </c>
      <c r="GE92" s="114">
        <v>4085.690663702665</v>
      </c>
      <c r="GF92" s="114">
        <v>12317.945780937276</v>
      </c>
      <c r="GG92" s="114">
        <v>9647.9950941440748</v>
      </c>
      <c r="GH92" s="114">
        <v>9342.9319066743337</v>
      </c>
      <c r="GI92" s="114">
        <v>9972.9542484178546</v>
      </c>
      <c r="GJ92" s="114">
        <v>12872.95077951828</v>
      </c>
      <c r="GK92" s="114">
        <v>2359.4187979029398</v>
      </c>
      <c r="GL92" s="114">
        <v>11258.668807410691</v>
      </c>
      <c r="GM92" s="114">
        <v>6121.069635210999</v>
      </c>
      <c r="GN92" s="114">
        <v>1982.7026369773582</v>
      </c>
      <c r="GO92" s="114">
        <v>5656.6134319828334</v>
      </c>
      <c r="GP92" s="114">
        <v>5803.807765434115</v>
      </c>
      <c r="GQ92" s="114">
        <v>6785.1821246722457</v>
      </c>
      <c r="GR92" s="114">
        <v>13274.846442513131</v>
      </c>
      <c r="GS92" s="114">
        <v>3377.6338156479346</v>
      </c>
      <c r="GT92" s="115">
        <v>6825.2164875104127</v>
      </c>
    </row>
    <row r="93" spans="2:202" x14ac:dyDescent="0.6">
      <c r="B93" s="106" t="s">
        <v>82</v>
      </c>
      <c r="C93" s="63" t="s">
        <v>306</v>
      </c>
      <c r="D93" s="113">
        <v>6089.3015022738018</v>
      </c>
      <c r="E93" s="114">
        <v>1999.9867330317998</v>
      </c>
      <c r="F93" s="114">
        <v>1332.7325900220685</v>
      </c>
      <c r="G93" s="114">
        <v>7100.3295117321049</v>
      </c>
      <c r="H93" s="114">
        <v>6233.3109360001745</v>
      </c>
      <c r="I93" s="114">
        <v>11221.448124023455</v>
      </c>
      <c r="J93" s="114">
        <v>4019.7455473864134</v>
      </c>
      <c r="K93" s="114">
        <v>17208.610391253693</v>
      </c>
      <c r="L93" s="114">
        <v>1666.8385779448051</v>
      </c>
      <c r="M93" s="114">
        <v>4355.9777284270403</v>
      </c>
      <c r="N93" s="114">
        <v>6558.7689069318913</v>
      </c>
      <c r="O93" s="114">
        <v>5503.2955652765404</v>
      </c>
      <c r="P93" s="114">
        <v>8351.0397791373071</v>
      </c>
      <c r="Q93" s="114">
        <v>6443.3059103718824</v>
      </c>
      <c r="R93" s="114">
        <v>2199.2303975322866</v>
      </c>
      <c r="S93" s="114">
        <v>771.2896441471006</v>
      </c>
      <c r="T93" s="114">
        <v>7967.9774881768008</v>
      </c>
      <c r="U93" s="114">
        <v>5281.6200659415181</v>
      </c>
      <c r="V93" s="114">
        <v>7962.5547830040632</v>
      </c>
      <c r="W93" s="114">
        <v>9707.9190342492711</v>
      </c>
      <c r="X93" s="114">
        <v>2085.223693884368</v>
      </c>
      <c r="Y93" s="114">
        <v>9162.3232532416459</v>
      </c>
      <c r="Z93" s="114">
        <v>9385.6306831658057</v>
      </c>
      <c r="AA93" s="114">
        <v>9185.1424690479871</v>
      </c>
      <c r="AB93" s="114">
        <v>11589.195676550167</v>
      </c>
      <c r="AC93" s="114">
        <v>2471.4554163031521</v>
      </c>
      <c r="AD93" s="114">
        <v>4585.9592962249271</v>
      </c>
      <c r="AE93" s="114">
        <v>7078.6345521545336</v>
      </c>
      <c r="AF93" s="114">
        <v>4506.1341398686236</v>
      </c>
      <c r="AG93" s="114">
        <v>10324.654634371334</v>
      </c>
      <c r="AH93" s="114">
        <v>5655.5077233277652</v>
      </c>
      <c r="AI93" s="114">
        <v>5755.1791821345441</v>
      </c>
      <c r="AJ93" s="114">
        <v>5260.2576012823502</v>
      </c>
      <c r="AK93" s="114">
        <v>4903.7009515944919</v>
      </c>
      <c r="AL93" s="114">
        <v>5887.4932154543976</v>
      </c>
      <c r="AM93" s="114">
        <v>4927.6802127155188</v>
      </c>
      <c r="AN93" s="114">
        <v>11429.635109455454</v>
      </c>
      <c r="AO93" s="114">
        <v>9352.864985634189</v>
      </c>
      <c r="AP93" s="114">
        <v>8313.0892736090391</v>
      </c>
      <c r="AQ93" s="114">
        <v>8161.2682214333463</v>
      </c>
      <c r="AR93" s="114">
        <v>8565.2350713245523</v>
      </c>
      <c r="AS93" s="114">
        <v>6705.9811420653741</v>
      </c>
      <c r="AT93" s="114">
        <v>6675.0127334397957</v>
      </c>
      <c r="AU93" s="114">
        <v>8351.8452274220544</v>
      </c>
      <c r="AV93" s="114">
        <v>5325.8358306929495</v>
      </c>
      <c r="AW93" s="114">
        <v>1782.138587437207</v>
      </c>
      <c r="AX93" s="114">
        <v>7058.2014882259427</v>
      </c>
      <c r="AY93" s="114">
        <v>3664.3329340598807</v>
      </c>
      <c r="AZ93" s="114">
        <v>1443.8036129430852</v>
      </c>
      <c r="BA93" s="114">
        <v>1220.2927170451508</v>
      </c>
      <c r="BB93" s="114">
        <v>6339.238148673151</v>
      </c>
      <c r="BC93" s="114">
        <v>6367.8742386044905</v>
      </c>
      <c r="BD93" s="114">
        <v>6629.7176631249067</v>
      </c>
      <c r="BE93" s="114">
        <v>6687.6876893509616</v>
      </c>
      <c r="BF93" s="114">
        <v>8848.1388648075226</v>
      </c>
      <c r="BG93" s="114">
        <v>3958.2907688593054</v>
      </c>
      <c r="BH93" s="114">
        <v>8350.9866025531355</v>
      </c>
      <c r="BI93" s="114">
        <v>5693.5740887492702</v>
      </c>
      <c r="BJ93" s="114">
        <v>5741.7086547056815</v>
      </c>
      <c r="BK93" s="114">
        <v>1987.309181221719</v>
      </c>
      <c r="BL93" s="114">
        <v>9531.1090367305787</v>
      </c>
      <c r="BM93" s="114">
        <v>6320.7721296119635</v>
      </c>
      <c r="BN93" s="114">
        <v>2031.0456553894869</v>
      </c>
      <c r="BO93" s="114">
        <v>785.11716690984395</v>
      </c>
      <c r="BP93" s="114">
        <v>6059.0338643546684</v>
      </c>
      <c r="BQ93" s="114">
        <v>4531.5639855172876</v>
      </c>
      <c r="BR93" s="114">
        <v>3941.8621033485088</v>
      </c>
      <c r="BS93" s="114">
        <v>1305.4565468944447</v>
      </c>
      <c r="BT93" s="114">
        <v>1366.3180434184219</v>
      </c>
      <c r="BU93" s="114">
        <v>1077.1906253080022</v>
      </c>
      <c r="BV93" s="114">
        <v>5350.642887362259</v>
      </c>
      <c r="BW93" s="114">
        <v>2858.2419499372663</v>
      </c>
      <c r="BX93" s="114">
        <v>6685.1260635062499</v>
      </c>
      <c r="BY93" s="114">
        <v>8337.8412450176093</v>
      </c>
      <c r="BZ93" s="114">
        <v>4928.0046929656428</v>
      </c>
      <c r="CA93" s="114">
        <v>4716.8322066667497</v>
      </c>
      <c r="CB93" s="114">
        <v>6982.0075708391169</v>
      </c>
      <c r="CC93" s="114">
        <v>6792.6826395242342</v>
      </c>
      <c r="CD93" s="114">
        <v>8163.6159779930003</v>
      </c>
      <c r="CE93" s="114">
        <v>1896.810161004491</v>
      </c>
      <c r="CF93" s="114">
        <v>1495.5236277491194</v>
      </c>
      <c r="CG93" s="114">
        <v>7597.1846335424734</v>
      </c>
      <c r="CH93" s="114">
        <v>7089.3696949873311</v>
      </c>
      <c r="CI93" s="114">
        <v>12037.970133484587</v>
      </c>
      <c r="CJ93" s="114">
        <v>4822.9773654563805</v>
      </c>
      <c r="CK93" s="114">
        <v>4530.850818462829</v>
      </c>
      <c r="CL93" s="114" t="s">
        <v>237</v>
      </c>
      <c r="CM93" s="114">
        <v>3326.5531122623488</v>
      </c>
      <c r="CN93" s="114">
        <v>1890.131581016032</v>
      </c>
      <c r="CO93" s="114">
        <v>1401.2139844632504</v>
      </c>
      <c r="CP93" s="114">
        <v>7111.9884481512254</v>
      </c>
      <c r="CQ93" s="114">
        <v>9597.7871662946054</v>
      </c>
      <c r="CR93" s="114">
        <v>4095.292972611569</v>
      </c>
      <c r="CS93" s="114">
        <v>5023.0544811355549</v>
      </c>
      <c r="CT93" s="114">
        <v>7216.6855884583965</v>
      </c>
      <c r="CU93" s="114">
        <v>5087.177633973829</v>
      </c>
      <c r="CV93" s="114">
        <v>5800.0579553851367</v>
      </c>
      <c r="CW93" s="114">
        <v>9617.3869313057858</v>
      </c>
      <c r="CX93" s="114">
        <v>1952.4739643214709</v>
      </c>
      <c r="CY93" s="114">
        <v>3921.2853119654401</v>
      </c>
      <c r="CZ93" s="114">
        <v>9715.501886548489</v>
      </c>
      <c r="DA93" s="114">
        <v>5244.2103430569387</v>
      </c>
      <c r="DB93" s="114">
        <v>2766.9327997271375</v>
      </c>
      <c r="DC93" s="114">
        <v>1291.4295634949556</v>
      </c>
      <c r="DD93" s="114">
        <v>2045.4812572361143</v>
      </c>
      <c r="DE93" s="114">
        <v>950.56372002614842</v>
      </c>
      <c r="DF93" s="114">
        <v>9476.4198996670184</v>
      </c>
      <c r="DG93" s="114">
        <v>8372.6535131242363</v>
      </c>
      <c r="DH93" s="114">
        <v>10884.12077506405</v>
      </c>
      <c r="DI93" s="114">
        <v>8948.5719610334327</v>
      </c>
      <c r="DJ93" s="114">
        <v>4546.2367903953218</v>
      </c>
      <c r="DK93" s="114">
        <v>2531.6963918097804</v>
      </c>
      <c r="DL93" s="114">
        <v>10159.381933223096</v>
      </c>
      <c r="DM93" s="114">
        <v>10176.328910947273</v>
      </c>
      <c r="DN93" s="114">
        <v>8501.0648432962462</v>
      </c>
      <c r="DO93" s="114">
        <v>2561.7192768862596</v>
      </c>
      <c r="DP93" s="114">
        <v>1448.082836473026</v>
      </c>
      <c r="DQ93" s="114">
        <v>7125.1991655251913</v>
      </c>
      <c r="DR93" s="114">
        <v>2225.2218689022748</v>
      </c>
      <c r="DS93" s="114">
        <v>2134.4313696581312</v>
      </c>
      <c r="DT93" s="114">
        <v>9515.530905772519</v>
      </c>
      <c r="DU93" s="114">
        <v>9344.197241771235</v>
      </c>
      <c r="DV93" s="114">
        <v>8694.6781850837724</v>
      </c>
      <c r="DW93" s="114">
        <v>7684.2117179332699</v>
      </c>
      <c r="DX93" s="114">
        <v>727.48414119317135</v>
      </c>
      <c r="DY93" s="114">
        <v>18196.396050189996</v>
      </c>
      <c r="DZ93" s="114">
        <v>18677.888699033694</v>
      </c>
      <c r="EA93" s="114">
        <v>8275.5480891649822</v>
      </c>
      <c r="EB93" s="114">
        <v>4500.0846638205985</v>
      </c>
      <c r="EC93" s="114">
        <v>5057.4138013601505</v>
      </c>
      <c r="ED93" s="114">
        <v>8742.5086278253311</v>
      </c>
      <c r="EE93" s="114">
        <v>2380.5692229286306</v>
      </c>
      <c r="EF93" s="114">
        <v>1236.1786786791406</v>
      </c>
      <c r="EG93" s="114">
        <v>6264.798372678425</v>
      </c>
      <c r="EH93" s="114">
        <v>6716.0397003151984</v>
      </c>
      <c r="EI93" s="114">
        <v>6417.8306539118948</v>
      </c>
      <c r="EJ93" s="114">
        <v>8084.8261240320362</v>
      </c>
      <c r="EK93" s="114">
        <v>10004.479277821192</v>
      </c>
      <c r="EL93" s="114">
        <v>9844.0262514471178</v>
      </c>
      <c r="EM93" s="114">
        <v>10974.198903921681</v>
      </c>
      <c r="EN93" s="114">
        <v>1823.5931994295358</v>
      </c>
      <c r="EO93" s="114">
        <v>1660.0201097546833</v>
      </c>
      <c r="EP93" s="114">
        <v>5652.0532731501198</v>
      </c>
      <c r="EQ93" s="114">
        <v>2538.0207137316547</v>
      </c>
      <c r="ER93" s="114">
        <v>2793.8565791868446</v>
      </c>
      <c r="ES93" s="114">
        <v>6955.5599304167044</v>
      </c>
      <c r="ET93" s="114">
        <v>6266.2986105803921</v>
      </c>
      <c r="EU93" s="114">
        <v>6433.6432708969651</v>
      </c>
      <c r="EV93" s="114">
        <v>6549.6767765802169</v>
      </c>
      <c r="EW93" s="114">
        <v>1726.3785018250603</v>
      </c>
      <c r="EX93" s="114">
        <v>6018.6200865912824</v>
      </c>
      <c r="EY93" s="114">
        <v>5394.6921967268017</v>
      </c>
      <c r="EZ93" s="114">
        <v>4431.9665106318771</v>
      </c>
      <c r="FA93" s="114">
        <v>2151.4385955327357</v>
      </c>
      <c r="FB93" s="114">
        <v>5033.7282298300943</v>
      </c>
      <c r="FC93" s="114">
        <v>11196.766745978361</v>
      </c>
      <c r="FD93" s="114">
        <v>1723.571262340583</v>
      </c>
      <c r="FE93" s="114">
        <v>1668.4506646859099</v>
      </c>
      <c r="FF93" s="114">
        <v>7374.4528075094586</v>
      </c>
      <c r="FG93" s="114">
        <v>9350.7220849121895</v>
      </c>
      <c r="FH93" s="114">
        <v>8966.4543794212441</v>
      </c>
      <c r="FI93" s="114">
        <v>6375.6987981246366</v>
      </c>
      <c r="FJ93" s="114">
        <v>1455.4308125227492</v>
      </c>
      <c r="FK93" s="114">
        <v>1454.6978768544877</v>
      </c>
      <c r="FL93" s="114">
        <v>9125.9097120718179</v>
      </c>
      <c r="FM93" s="114">
        <v>5385.3627220032158</v>
      </c>
      <c r="FN93" s="114">
        <v>6902.9435055226895</v>
      </c>
      <c r="FO93" s="114">
        <v>1625.3131775940849</v>
      </c>
      <c r="FP93" s="114">
        <v>1209.4944891010873</v>
      </c>
      <c r="FQ93" s="114">
        <v>3995.3454383631511</v>
      </c>
      <c r="FR93" s="114">
        <v>9963.4604852440898</v>
      </c>
      <c r="FS93" s="114">
        <v>5737.3133792774952</v>
      </c>
      <c r="FT93" s="114">
        <v>7916.9009715334469</v>
      </c>
      <c r="FU93" s="114">
        <v>9871.6262573464028</v>
      </c>
      <c r="FV93" s="114">
        <v>13400.670183986811</v>
      </c>
      <c r="FW93" s="114">
        <v>5281.9165879137981</v>
      </c>
      <c r="FX93" s="114">
        <v>6798.3583192223741</v>
      </c>
      <c r="FY93" s="114">
        <v>2245.7110826402391</v>
      </c>
      <c r="FZ93" s="114">
        <v>3278.6007094756624</v>
      </c>
      <c r="GA93" s="114">
        <v>5045.0536335335228</v>
      </c>
      <c r="GB93" s="114">
        <v>6877.2066628324146</v>
      </c>
      <c r="GC93" s="114">
        <v>2500.6429108165025</v>
      </c>
      <c r="GD93" s="114">
        <v>5914.187796720742</v>
      </c>
      <c r="GE93" s="114">
        <v>462.91915154878467</v>
      </c>
      <c r="GF93" s="114">
        <v>8319.9657554895639</v>
      </c>
      <c r="GG93" s="114">
        <v>5125.4982404468847</v>
      </c>
      <c r="GH93" s="114">
        <v>4819.5727063823442</v>
      </c>
      <c r="GI93" s="114">
        <v>5451.6019151678365</v>
      </c>
      <c r="GJ93" s="114">
        <v>10877.226563099388</v>
      </c>
      <c r="GK93" s="114">
        <v>5564.3979319025866</v>
      </c>
      <c r="GL93" s="114">
        <v>7145.7399301745063</v>
      </c>
      <c r="GM93" s="114">
        <v>9488.1066499272511</v>
      </c>
      <c r="GN93" s="114">
        <v>6059.3392309078617</v>
      </c>
      <c r="GO93" s="114">
        <v>8291.2727693876786</v>
      </c>
      <c r="GP93" s="114">
        <v>8624.2364233041953</v>
      </c>
      <c r="GQ93" s="114">
        <v>10500.976149330472</v>
      </c>
      <c r="GR93" s="114">
        <v>17233.000608082923</v>
      </c>
      <c r="GS93" s="114">
        <v>1225.292774487868</v>
      </c>
      <c r="GT93" s="115">
        <v>9427.3294595983934</v>
      </c>
    </row>
    <row r="94" spans="2:202" x14ac:dyDescent="0.6">
      <c r="B94" s="106" t="s">
        <v>83</v>
      </c>
      <c r="C94" s="63" t="s">
        <v>470</v>
      </c>
      <c r="D94" s="113">
        <v>9218.759176476924</v>
      </c>
      <c r="E94" s="114">
        <v>3532.5662332265752</v>
      </c>
      <c r="F94" s="114">
        <v>3411.0903236360173</v>
      </c>
      <c r="G94" s="114">
        <v>6799.2326275457599</v>
      </c>
      <c r="H94" s="114">
        <v>3142.3931755019908</v>
      </c>
      <c r="I94" s="114">
        <v>7994.6741861349137</v>
      </c>
      <c r="J94" s="114">
        <v>6975.4598774547467</v>
      </c>
      <c r="K94" s="114">
        <v>19396.579004661948</v>
      </c>
      <c r="L94" s="114">
        <v>4640.268606924923</v>
      </c>
      <c r="M94" s="114">
        <v>7383.7723895184963</v>
      </c>
      <c r="N94" s="114">
        <v>4158.9196269117501</v>
      </c>
      <c r="O94" s="114">
        <v>8116.305512999762</v>
      </c>
      <c r="P94" s="114">
        <v>11569.555350392135</v>
      </c>
      <c r="Q94" s="114">
        <v>3224.8647594230201</v>
      </c>
      <c r="R94" s="114">
        <v>5440.9224491302684</v>
      </c>
      <c r="S94" s="114">
        <v>3835.0025217878615</v>
      </c>
      <c r="T94" s="114">
        <v>5565.3116551703151</v>
      </c>
      <c r="U94" s="114">
        <v>4814.5276266075052</v>
      </c>
      <c r="V94" s="114">
        <v>11209.416869544664</v>
      </c>
      <c r="W94" s="114">
        <v>6384.6320644121424</v>
      </c>
      <c r="X94" s="114">
        <v>4793.1352797846012</v>
      </c>
      <c r="Y94" s="114">
        <v>8972.2156487943685</v>
      </c>
      <c r="Z94" s="114">
        <v>6266.7053299991931</v>
      </c>
      <c r="AA94" s="114">
        <v>6133.5912736292248</v>
      </c>
      <c r="AB94" s="114">
        <v>14892.253385245431</v>
      </c>
      <c r="AC94" s="114">
        <v>5203.3447340767862</v>
      </c>
      <c r="AD94" s="114">
        <v>4081.3679556077714</v>
      </c>
      <c r="AE94" s="114">
        <v>7799.6805645189816</v>
      </c>
      <c r="AF94" s="114">
        <v>2206.4457368377848</v>
      </c>
      <c r="AG94" s="114">
        <v>13581.175213692546</v>
      </c>
      <c r="AH94" s="114">
        <v>5589.5094919156172</v>
      </c>
      <c r="AI94" s="114">
        <v>5770.2550097588619</v>
      </c>
      <c r="AJ94" s="114">
        <v>4064.2212252969557</v>
      </c>
      <c r="AK94" s="114">
        <v>3770.8207498293536</v>
      </c>
      <c r="AL94" s="114">
        <v>6342.8596484155996</v>
      </c>
      <c r="AM94" s="114">
        <v>5513.7399168842348</v>
      </c>
      <c r="AN94" s="114">
        <v>8115.8014475335403</v>
      </c>
      <c r="AO94" s="114">
        <v>12594.613437161097</v>
      </c>
      <c r="AP94" s="114">
        <v>11556.162360235396</v>
      </c>
      <c r="AQ94" s="114">
        <v>5067.9826170655624</v>
      </c>
      <c r="AR94" s="114">
        <v>9588.0990922563014</v>
      </c>
      <c r="AS94" s="114">
        <v>6665.0350731367307</v>
      </c>
      <c r="AT94" s="114">
        <v>6631.5266096305104</v>
      </c>
      <c r="AU94" s="114">
        <v>5595.5254251039996</v>
      </c>
      <c r="AV94" s="114">
        <v>4364.0534659939749</v>
      </c>
      <c r="AW94" s="114">
        <v>4578.1791038916326</v>
      </c>
      <c r="AX94" s="114">
        <v>4713.2837178313248</v>
      </c>
      <c r="AY94" s="114">
        <v>6228.2484379985945</v>
      </c>
      <c r="AZ94" s="114">
        <v>4517.0158479801748</v>
      </c>
      <c r="BA94" s="114">
        <v>4513.6411548426195</v>
      </c>
      <c r="BB94" s="114">
        <v>8169.2438387201246</v>
      </c>
      <c r="BC94" s="114">
        <v>3222.2469916218524</v>
      </c>
      <c r="BD94" s="114">
        <v>3760.925142324837</v>
      </c>
      <c r="BE94" s="114">
        <v>6642.0320488729249</v>
      </c>
      <c r="BF94" s="114">
        <v>5761.091158273628</v>
      </c>
      <c r="BG94" s="114">
        <v>6223.0278592747936</v>
      </c>
      <c r="BH94" s="114">
        <v>5841.9318357098909</v>
      </c>
      <c r="BI94" s="114">
        <v>5528.1314319346729</v>
      </c>
      <c r="BJ94" s="114">
        <v>7600.8468529164984</v>
      </c>
      <c r="BK94" s="114">
        <v>5312.6002085862747</v>
      </c>
      <c r="BL94" s="114">
        <v>9518.5800834544916</v>
      </c>
      <c r="BM94" s="114">
        <v>7927.2462040157061</v>
      </c>
      <c r="BN94" s="114">
        <v>5357.5735151156987</v>
      </c>
      <c r="BO94" s="114">
        <v>3629.3845672702755</v>
      </c>
      <c r="BP94" s="114">
        <v>5823.60908217424</v>
      </c>
      <c r="BQ94" s="114">
        <v>2799.4890342957037</v>
      </c>
      <c r="BR94" s="114">
        <v>6941.0692144572076</v>
      </c>
      <c r="BS94" s="114">
        <v>4491.452580768233</v>
      </c>
      <c r="BT94" s="114">
        <v>4298.0145211239351</v>
      </c>
      <c r="BU94" s="114">
        <v>4129.4918568835064</v>
      </c>
      <c r="BV94" s="114">
        <v>4676.3044562359255</v>
      </c>
      <c r="BW94" s="114">
        <v>5310.7854763046944</v>
      </c>
      <c r="BX94" s="114">
        <v>3493.7460316985844</v>
      </c>
      <c r="BY94" s="114">
        <v>5892.4587091495596</v>
      </c>
      <c r="BZ94" s="114">
        <v>3343.7818604140261</v>
      </c>
      <c r="CA94" s="114">
        <v>3022.2945699877387</v>
      </c>
      <c r="CB94" s="114">
        <v>3683.7551262833736</v>
      </c>
      <c r="CC94" s="114">
        <v>3995.1420843962615</v>
      </c>
      <c r="CD94" s="114">
        <v>5622.2902548658012</v>
      </c>
      <c r="CE94" s="114">
        <v>4848.100493950652</v>
      </c>
      <c r="CF94" s="114">
        <v>3722.4560998377119</v>
      </c>
      <c r="CG94" s="114">
        <v>10495.188222836754</v>
      </c>
      <c r="CH94" s="114">
        <v>10220.619555468347</v>
      </c>
      <c r="CI94" s="114">
        <v>15108.275019497669</v>
      </c>
      <c r="CJ94" s="114">
        <v>7741.0088647729517</v>
      </c>
      <c r="CK94" s="114">
        <v>7254.7913521357768</v>
      </c>
      <c r="CL94" s="114">
        <v>3326.5531122623488</v>
      </c>
      <c r="CM94" s="114" t="s">
        <v>237</v>
      </c>
      <c r="CN94" s="114">
        <v>4311.2016945012338</v>
      </c>
      <c r="CO94" s="114">
        <v>4080.981142608744</v>
      </c>
      <c r="CP94" s="114">
        <v>4415.161395562126</v>
      </c>
      <c r="CQ94" s="114">
        <v>12502.181060062683</v>
      </c>
      <c r="CR94" s="114">
        <v>6555.5837634352047</v>
      </c>
      <c r="CS94" s="114">
        <v>8343.5194072788581</v>
      </c>
      <c r="CT94" s="114">
        <v>8344.876899196448</v>
      </c>
      <c r="CU94" s="114">
        <v>7754.215728495612</v>
      </c>
      <c r="CV94" s="114">
        <v>9077.1280310252878</v>
      </c>
      <c r="CW94" s="114">
        <v>12897.460371777514</v>
      </c>
      <c r="CX94" s="114">
        <v>5253.6557295131206</v>
      </c>
      <c r="CY94" s="114">
        <v>6462.8901027267866</v>
      </c>
      <c r="CZ94" s="114">
        <v>9447.1447110350782</v>
      </c>
      <c r="DA94" s="114">
        <v>3821.7672185567144</v>
      </c>
      <c r="DB94" s="114">
        <v>4498.5329395701528</v>
      </c>
      <c r="DC94" s="114">
        <v>4112.9800076242545</v>
      </c>
      <c r="DD94" s="114">
        <v>5305.5466635810517</v>
      </c>
      <c r="DE94" s="114">
        <v>3929.0791327167526</v>
      </c>
      <c r="DF94" s="114">
        <v>10394.427919455531</v>
      </c>
      <c r="DG94" s="114">
        <v>8891.399390603643</v>
      </c>
      <c r="DH94" s="114">
        <v>14011.145778235374</v>
      </c>
      <c r="DI94" s="114">
        <v>11492.186940411964</v>
      </c>
      <c r="DJ94" s="114">
        <v>3544.8476552804809</v>
      </c>
      <c r="DK94" s="114">
        <v>4547.1544816014584</v>
      </c>
      <c r="DL94" s="114">
        <v>11382.145695101281</v>
      </c>
      <c r="DM94" s="114">
        <v>11403.608859933287</v>
      </c>
      <c r="DN94" s="114">
        <v>6485.8510869119591</v>
      </c>
      <c r="DO94" s="114">
        <v>5590.3743666790806</v>
      </c>
      <c r="DP94" s="114">
        <v>3922.4622174850515</v>
      </c>
      <c r="DQ94" s="114">
        <v>10385.182357970483</v>
      </c>
      <c r="DR94" s="114">
        <v>4882.018371713968</v>
      </c>
      <c r="DS94" s="114">
        <v>2643.3806135029008</v>
      </c>
      <c r="DT94" s="114">
        <v>9575.9710337059751</v>
      </c>
      <c r="DU94" s="114">
        <v>12557.539663955164</v>
      </c>
      <c r="DV94" s="114">
        <v>8179.4451082985588</v>
      </c>
      <c r="DW94" s="114">
        <v>10893.355252390063</v>
      </c>
      <c r="DX94" s="114">
        <v>3918.5169525715764</v>
      </c>
      <c r="DY94" s="114">
        <v>17223.957746301308</v>
      </c>
      <c r="DZ94" s="114">
        <v>17190.893826576645</v>
      </c>
      <c r="EA94" s="114">
        <v>5646.8822181702835</v>
      </c>
      <c r="EB94" s="114">
        <v>4302.2225723761758</v>
      </c>
      <c r="EC94" s="114">
        <v>5041.7580175815283</v>
      </c>
      <c r="ED94" s="114">
        <v>11886.108368771633</v>
      </c>
      <c r="EE94" s="114">
        <v>5050.0878588723454</v>
      </c>
      <c r="EF94" s="114">
        <v>4555.7936014432971</v>
      </c>
      <c r="EG94" s="114">
        <v>8974.9661100890098</v>
      </c>
      <c r="EH94" s="114">
        <v>9634.4407133036275</v>
      </c>
      <c r="EI94" s="114">
        <v>9577.0659838719803</v>
      </c>
      <c r="EJ94" s="114">
        <v>5198.9393987536832</v>
      </c>
      <c r="EK94" s="114">
        <v>6742.7611137155982</v>
      </c>
      <c r="EL94" s="114">
        <v>6597.2830414448945</v>
      </c>
      <c r="EM94" s="114">
        <v>14289.421832583781</v>
      </c>
      <c r="EN94" s="114">
        <v>5011.9341759018653</v>
      </c>
      <c r="EO94" s="114">
        <v>2471.4929183611503</v>
      </c>
      <c r="EP94" s="114">
        <v>8258.7056741317792</v>
      </c>
      <c r="EQ94" s="114">
        <v>5412.056355107361</v>
      </c>
      <c r="ER94" s="114">
        <v>6091.2167625186848</v>
      </c>
      <c r="ES94" s="114">
        <v>7777.526887393833</v>
      </c>
      <c r="ET94" s="114">
        <v>3189.9856265105541</v>
      </c>
      <c r="EU94" s="114">
        <v>3253.252100622225</v>
      </c>
      <c r="EV94" s="114">
        <v>3363.3939893729189</v>
      </c>
      <c r="EW94" s="114">
        <v>4312.7869305404984</v>
      </c>
      <c r="EX94" s="114">
        <v>5598.0870795716401</v>
      </c>
      <c r="EY94" s="114">
        <v>7855.1217212373667</v>
      </c>
      <c r="EZ94" s="114">
        <v>2647.4255482565136</v>
      </c>
      <c r="FA94" s="114">
        <v>4956.3036290514938</v>
      </c>
      <c r="FB94" s="114">
        <v>3451.9206514978737</v>
      </c>
      <c r="FC94" s="114">
        <v>14338.921243045341</v>
      </c>
      <c r="FD94" s="114">
        <v>4703.1203752209685</v>
      </c>
      <c r="FE94" s="114">
        <v>4483.5768675927966</v>
      </c>
      <c r="FF94" s="114">
        <v>8977.0447196200294</v>
      </c>
      <c r="FG94" s="114">
        <v>9238.9313161073769</v>
      </c>
      <c r="FH94" s="114">
        <v>12105.978678454929</v>
      </c>
      <c r="FI94" s="114">
        <v>7524.2030659075572</v>
      </c>
      <c r="FJ94" s="114">
        <v>2983.4657713886868</v>
      </c>
      <c r="FK94" s="114">
        <v>3468.7084954140237</v>
      </c>
      <c r="FL94" s="114">
        <v>11902.000645389224</v>
      </c>
      <c r="FM94" s="114">
        <v>7009.1477034306345</v>
      </c>
      <c r="FN94" s="114">
        <v>3581.4369080599436</v>
      </c>
      <c r="FO94" s="114">
        <v>4951.8120537745599</v>
      </c>
      <c r="FP94" s="114">
        <v>3951.6406510254528</v>
      </c>
      <c r="FQ94" s="114">
        <v>6547.5427115424591</v>
      </c>
      <c r="FR94" s="114">
        <v>13236.126673969497</v>
      </c>
      <c r="FS94" s="114">
        <v>8923.7839029411316</v>
      </c>
      <c r="FT94" s="114">
        <v>8951.5582191303583</v>
      </c>
      <c r="FU94" s="114">
        <v>13102.197506883471</v>
      </c>
      <c r="FV94" s="114">
        <v>16715.255574567942</v>
      </c>
      <c r="FW94" s="114">
        <v>4723.5632706848428</v>
      </c>
      <c r="FX94" s="114">
        <v>3582.3951688734037</v>
      </c>
      <c r="FY94" s="114">
        <v>4158.4775205085343</v>
      </c>
      <c r="FZ94" s="114">
        <v>6031.9010181184194</v>
      </c>
      <c r="GA94" s="114">
        <v>8111.7519763735181</v>
      </c>
      <c r="GB94" s="114">
        <v>7873.3186036395837</v>
      </c>
      <c r="GC94" s="114">
        <v>5658.8316711235066</v>
      </c>
      <c r="GD94" s="114">
        <v>8559.4905756618246</v>
      </c>
      <c r="GE94" s="114">
        <v>3589.5909869135153</v>
      </c>
      <c r="GF94" s="114">
        <v>7534.7269399395764</v>
      </c>
      <c r="GG94" s="114">
        <v>3598.9846684003196</v>
      </c>
      <c r="GH94" s="114">
        <v>3374.4025562870324</v>
      </c>
      <c r="GI94" s="114">
        <v>3852.227887506936</v>
      </c>
      <c r="GJ94" s="114">
        <v>7683.3173223600234</v>
      </c>
      <c r="GK94" s="114">
        <v>8794.8359620436113</v>
      </c>
      <c r="GL94" s="114">
        <v>4013.6832854298823</v>
      </c>
      <c r="GM94" s="114">
        <v>12802.179194655568</v>
      </c>
      <c r="GN94" s="114">
        <v>8121.4442026230918</v>
      </c>
      <c r="GO94" s="114">
        <v>8524.2391925201118</v>
      </c>
      <c r="GP94" s="114">
        <v>8911.8640183268781</v>
      </c>
      <c r="GQ94" s="114">
        <v>13773.728524394272</v>
      </c>
      <c r="GR94" s="114">
        <v>19463.237178077801</v>
      </c>
      <c r="GS94" s="114">
        <v>4060.7407143921273</v>
      </c>
      <c r="GT94" s="115">
        <v>9286.8369074162019</v>
      </c>
    </row>
    <row r="95" spans="2:202" x14ac:dyDescent="0.6">
      <c r="B95" s="106" t="s">
        <v>84</v>
      </c>
      <c r="C95" s="63" t="s">
        <v>325</v>
      </c>
      <c r="D95" s="113">
        <v>4959.7026267635429</v>
      </c>
      <c r="E95" s="114">
        <v>977.81044339020082</v>
      </c>
      <c r="F95" s="114">
        <v>910.9511772537918</v>
      </c>
      <c r="G95" s="114">
        <v>5564.8872104179636</v>
      </c>
      <c r="H95" s="114">
        <v>7449.4293544206912</v>
      </c>
      <c r="I95" s="114">
        <v>11349.536037226246</v>
      </c>
      <c r="J95" s="114">
        <v>2683.7612079346968</v>
      </c>
      <c r="K95" s="114">
        <v>16320.724044547582</v>
      </c>
      <c r="L95" s="114">
        <v>794.31855839864193</v>
      </c>
      <c r="M95" s="114">
        <v>3110.4180862421917</v>
      </c>
      <c r="N95" s="114">
        <v>8154.2075665103794</v>
      </c>
      <c r="O95" s="114">
        <v>3867.3938819675027</v>
      </c>
      <c r="P95" s="114">
        <v>7338.2483616333411</v>
      </c>
      <c r="Q95" s="114">
        <v>7524.0239045504004</v>
      </c>
      <c r="R95" s="114">
        <v>1737.621732366003</v>
      </c>
      <c r="S95" s="114">
        <v>1174.870640890493</v>
      </c>
      <c r="T95" s="114">
        <v>9596.6140955301526</v>
      </c>
      <c r="U95" s="114">
        <v>4046.098724388009</v>
      </c>
      <c r="V95" s="114">
        <v>7019.1508780492877</v>
      </c>
      <c r="W95" s="114">
        <v>10422.067779590576</v>
      </c>
      <c r="X95" s="114">
        <v>536.28495176279318</v>
      </c>
      <c r="Y95" s="114">
        <v>7464.2798179290339</v>
      </c>
      <c r="Z95" s="114">
        <v>9439.2680934305536</v>
      </c>
      <c r="AA95" s="114">
        <v>9159.1698140986937</v>
      </c>
      <c r="AB95" s="114">
        <v>10722.007442056602</v>
      </c>
      <c r="AC95" s="114">
        <v>906.62805820514677</v>
      </c>
      <c r="AD95" s="114">
        <v>3524.8609476699703</v>
      </c>
      <c r="AE95" s="114">
        <v>5256.0330341177769</v>
      </c>
      <c r="AF95" s="114">
        <v>4512.8158300269297</v>
      </c>
      <c r="AG95" s="114">
        <v>9356.6993440231799</v>
      </c>
      <c r="AH95" s="114">
        <v>4176.8408778271214</v>
      </c>
      <c r="AI95" s="114">
        <v>4230.8944034778169</v>
      </c>
      <c r="AJ95" s="114">
        <v>7089.253703998038</v>
      </c>
      <c r="AK95" s="114">
        <v>6729.1829059948095</v>
      </c>
      <c r="AL95" s="114">
        <v>4192.3310367426147</v>
      </c>
      <c r="AM95" s="114">
        <v>3281.2128716637098</v>
      </c>
      <c r="AN95" s="114">
        <v>11841.132985788101</v>
      </c>
      <c r="AO95" s="114">
        <v>9153.9627135013816</v>
      </c>
      <c r="AP95" s="114">
        <v>8176.1575211314166</v>
      </c>
      <c r="AQ95" s="114">
        <v>9379.1297922435188</v>
      </c>
      <c r="AR95" s="114">
        <v>6681.2054218241619</v>
      </c>
      <c r="AS95" s="114">
        <v>5109.458584803152</v>
      </c>
      <c r="AT95" s="114">
        <v>5081.9344640904174</v>
      </c>
      <c r="AU95" s="114">
        <v>9823.4230049900943</v>
      </c>
      <c r="AV95" s="114">
        <v>4338.0013953129874</v>
      </c>
      <c r="AW95" s="114">
        <v>513.95616329358211</v>
      </c>
      <c r="AX95" s="114">
        <v>8686.8431578247873</v>
      </c>
      <c r="AY95" s="114">
        <v>1957.48812061585</v>
      </c>
      <c r="AZ95" s="114">
        <v>957.93560193751489</v>
      </c>
      <c r="BA95" s="114">
        <v>1542.277932620731</v>
      </c>
      <c r="BB95" s="114">
        <v>4466.5451649629276</v>
      </c>
      <c r="BC95" s="114">
        <v>7533.4277165387275</v>
      </c>
      <c r="BD95" s="114">
        <v>8008.8466023784877</v>
      </c>
      <c r="BE95" s="114">
        <v>5094.32198364537</v>
      </c>
      <c r="BF95" s="114">
        <v>10071.870220049497</v>
      </c>
      <c r="BG95" s="114">
        <v>2121.6890863363442</v>
      </c>
      <c r="BH95" s="114">
        <v>9944.5391023759657</v>
      </c>
      <c r="BI95" s="114">
        <v>4252.2611581116253</v>
      </c>
      <c r="BJ95" s="114">
        <v>3865.1016193153509</v>
      </c>
      <c r="BK95" s="114">
        <v>2139.6881350059152</v>
      </c>
      <c r="BL95" s="114">
        <v>7774.2167297584947</v>
      </c>
      <c r="BM95" s="114">
        <v>4431.8429494363472</v>
      </c>
      <c r="BN95" s="114">
        <v>2245.2540204700335</v>
      </c>
      <c r="BO95" s="114">
        <v>1106.3398815193009</v>
      </c>
      <c r="BP95" s="114">
        <v>4601.3322083308913</v>
      </c>
      <c r="BQ95" s="114">
        <v>4190.4923854975859</v>
      </c>
      <c r="BR95" s="114">
        <v>2667.345110847099</v>
      </c>
      <c r="BS95" s="114">
        <v>1198.6479017431316</v>
      </c>
      <c r="BT95" s="114">
        <v>735.45412962545515</v>
      </c>
      <c r="BU95" s="114">
        <v>992.8835135475133</v>
      </c>
      <c r="BV95" s="114">
        <v>4206.6682479933706</v>
      </c>
      <c r="BW95" s="114">
        <v>1052.8688574319724</v>
      </c>
      <c r="BX95" s="114">
        <v>7798.6731391983321</v>
      </c>
      <c r="BY95" s="114">
        <v>9957.3427009401748</v>
      </c>
      <c r="BZ95" s="114">
        <v>4386.3537240238375</v>
      </c>
      <c r="CA95" s="114">
        <v>4298.1927030761035</v>
      </c>
      <c r="CB95" s="114">
        <v>7902.596480895817</v>
      </c>
      <c r="CC95" s="114">
        <v>8215.9698948394489</v>
      </c>
      <c r="CD95" s="114">
        <v>9739.7298813396174</v>
      </c>
      <c r="CE95" s="114">
        <v>834.24825134925072</v>
      </c>
      <c r="CF95" s="114">
        <v>3310.2259091093529</v>
      </c>
      <c r="CG95" s="114">
        <v>6189.5817938618138</v>
      </c>
      <c r="CH95" s="114">
        <v>5946.7140529056342</v>
      </c>
      <c r="CI95" s="114">
        <v>10797.634541945297</v>
      </c>
      <c r="CJ95" s="114">
        <v>3432.1199446441283</v>
      </c>
      <c r="CK95" s="114">
        <v>2957.1693422401972</v>
      </c>
      <c r="CL95" s="114">
        <v>1890.131581016032</v>
      </c>
      <c r="CM95" s="114">
        <v>4311.2016945012338</v>
      </c>
      <c r="CN95" s="114" t="s">
        <v>237</v>
      </c>
      <c r="CO95" s="114">
        <v>502.81215359615402</v>
      </c>
      <c r="CP95" s="114">
        <v>8594.65959429125</v>
      </c>
      <c r="CQ95" s="114">
        <v>9899.5010656795894</v>
      </c>
      <c r="CR95" s="114">
        <v>2341.8798858722457</v>
      </c>
      <c r="CS95" s="114">
        <v>4525.9960441173725</v>
      </c>
      <c r="CT95" s="114">
        <v>5337.738938422689</v>
      </c>
      <c r="CU95" s="114">
        <v>3479.3876319292181</v>
      </c>
      <c r="CV95" s="114">
        <v>5015.3669289097006</v>
      </c>
      <c r="CW95" s="114">
        <v>8723.5917975922748</v>
      </c>
      <c r="CX95" s="114">
        <v>1869.3352590574541</v>
      </c>
      <c r="CY95" s="114">
        <v>2207.716060958347</v>
      </c>
      <c r="CZ95" s="114">
        <v>8013.5975548725337</v>
      </c>
      <c r="DA95" s="114">
        <v>4530.9670408896545</v>
      </c>
      <c r="DB95" s="114">
        <v>1008.6808519729633</v>
      </c>
      <c r="DC95" s="114">
        <v>659.94498155142855</v>
      </c>
      <c r="DD95" s="114">
        <v>1714.8770518123004</v>
      </c>
      <c r="DE95" s="114">
        <v>995.13890373873903</v>
      </c>
      <c r="DF95" s="114">
        <v>7591.7376643553871</v>
      </c>
      <c r="DG95" s="114">
        <v>6547.9468129811958</v>
      </c>
      <c r="DH95" s="114">
        <v>9705.7273948015209</v>
      </c>
      <c r="DI95" s="114">
        <v>7327.5038747441968</v>
      </c>
      <c r="DJ95" s="114">
        <v>3775.1162059179806</v>
      </c>
      <c r="DK95" s="114">
        <v>689.85354188567248</v>
      </c>
      <c r="DL95" s="114">
        <v>8272.0613026253886</v>
      </c>
      <c r="DM95" s="114">
        <v>8289.2367396283698</v>
      </c>
      <c r="DN95" s="114">
        <v>10260.640941410466</v>
      </c>
      <c r="DO95" s="114">
        <v>1449.1819237369048</v>
      </c>
      <c r="DP95" s="114">
        <v>466.94183310990582</v>
      </c>
      <c r="DQ95" s="114">
        <v>7021.4854719623609</v>
      </c>
      <c r="DR95" s="114">
        <v>584.80797700854544</v>
      </c>
      <c r="DS95" s="114">
        <v>1872.0961377110809</v>
      </c>
      <c r="DT95" s="114">
        <v>7743.2847112733025</v>
      </c>
      <c r="DU95" s="114">
        <v>8305.7831665958456</v>
      </c>
      <c r="DV95" s="114">
        <v>7121.101998445477</v>
      </c>
      <c r="DW95" s="114">
        <v>6665.1516571908933</v>
      </c>
      <c r="DX95" s="114">
        <v>1324.8036661638066</v>
      </c>
      <c r="DY95" s="114">
        <v>18421.66957201713</v>
      </c>
      <c r="DZ95" s="114">
        <v>18524.266101962749</v>
      </c>
      <c r="EA95" s="114">
        <v>9813.273320960041</v>
      </c>
      <c r="EB95" s="114">
        <v>3295.8908255003112</v>
      </c>
      <c r="EC95" s="114">
        <v>3645.5531807004318</v>
      </c>
      <c r="ED95" s="114">
        <v>8782.8310301207293</v>
      </c>
      <c r="EE95" s="114">
        <v>745.33142077241087</v>
      </c>
      <c r="EF95" s="114">
        <v>2006.6469253891473</v>
      </c>
      <c r="EG95" s="114">
        <v>4702.5658010618281</v>
      </c>
      <c r="EH95" s="114">
        <v>5324.1083808158328</v>
      </c>
      <c r="EI95" s="114">
        <v>5331.574695991123</v>
      </c>
      <c r="EJ95" s="114">
        <v>9472.5765465999957</v>
      </c>
      <c r="EK95" s="114">
        <v>10293.873717692513</v>
      </c>
      <c r="EL95" s="114">
        <v>10830.432431245907</v>
      </c>
      <c r="EM95" s="114">
        <v>10438.808442723133</v>
      </c>
      <c r="EN95" s="114">
        <v>1348.9417879138398</v>
      </c>
      <c r="EO95" s="114">
        <v>1850.250950985893</v>
      </c>
      <c r="EP95" s="114">
        <v>4014.8369289957545</v>
      </c>
      <c r="EQ95" s="114">
        <v>1163.454875870329</v>
      </c>
      <c r="ER95" s="114">
        <v>2417.0698468272458</v>
      </c>
      <c r="ES95" s="114">
        <v>5119.1425303722444</v>
      </c>
      <c r="ET95" s="114">
        <v>7494.9959613411411</v>
      </c>
      <c r="EU95" s="114">
        <v>7561.6595022604415</v>
      </c>
      <c r="EV95" s="114">
        <v>7670.2181661699087</v>
      </c>
      <c r="EW95" s="114">
        <v>223.50330340283409</v>
      </c>
      <c r="EX95" s="114">
        <v>4645.9565042493123</v>
      </c>
      <c r="EY95" s="114">
        <v>3674.3838471503718</v>
      </c>
      <c r="EZ95" s="114">
        <v>4153.5676991945065</v>
      </c>
      <c r="FA95" s="114">
        <v>734.2584093238504</v>
      </c>
      <c r="FB95" s="114">
        <v>4463.5398540865035</v>
      </c>
      <c r="FC95" s="114">
        <v>10035.12400423199</v>
      </c>
      <c r="FD95" s="114">
        <v>820.70943268022404</v>
      </c>
      <c r="FE95" s="114">
        <v>526.43911949388053</v>
      </c>
      <c r="FF95" s="114">
        <v>5491.0685522259591</v>
      </c>
      <c r="FG95" s="114">
        <v>7624.264604778421</v>
      </c>
      <c r="FH95" s="114">
        <v>8997.8777891716727</v>
      </c>
      <c r="FI95" s="114">
        <v>4507.1970869916968</v>
      </c>
      <c r="FJ95" s="114">
        <v>1328.884211825814</v>
      </c>
      <c r="FK95" s="114">
        <v>842.69257929971093</v>
      </c>
      <c r="FL95" s="114">
        <v>7637.5888865524885</v>
      </c>
      <c r="FM95" s="114">
        <v>3495.4362104182683</v>
      </c>
      <c r="FN95" s="114">
        <v>7729.4745561095451</v>
      </c>
      <c r="FO95" s="114">
        <v>2003.6658293682153</v>
      </c>
      <c r="FP95" s="114">
        <v>687.51509914734856</v>
      </c>
      <c r="FQ95" s="114">
        <v>2290.2762607386881</v>
      </c>
      <c r="FR95" s="114">
        <v>9645.9348721448077</v>
      </c>
      <c r="FS95" s="114">
        <v>4719.0391028055965</v>
      </c>
      <c r="FT95" s="114">
        <v>6037.5869120973693</v>
      </c>
      <c r="FU95" s="114">
        <v>8857.5651585544947</v>
      </c>
      <c r="FV95" s="114">
        <v>12526.356838910953</v>
      </c>
      <c r="FW95" s="114">
        <v>4092.0551192975868</v>
      </c>
      <c r="FX95" s="114">
        <v>7878.8992580258737</v>
      </c>
      <c r="FY95" s="114">
        <v>591.16166946090925</v>
      </c>
      <c r="FZ95" s="114">
        <v>1720.7405704236246</v>
      </c>
      <c r="GA95" s="114">
        <v>3839.8240033459633</v>
      </c>
      <c r="GB95" s="114">
        <v>5017.1614085181945</v>
      </c>
      <c r="GC95" s="114">
        <v>1691.5302930937796</v>
      </c>
      <c r="GD95" s="114">
        <v>4304.808921093666</v>
      </c>
      <c r="GE95" s="114">
        <v>1440.4173093441329</v>
      </c>
      <c r="GF95" s="114">
        <v>10209.571270726479</v>
      </c>
      <c r="GG95" s="114">
        <v>6896.0555046316604</v>
      </c>
      <c r="GH95" s="114">
        <v>6591.3833269922952</v>
      </c>
      <c r="GI95" s="114">
        <v>7221.4132130647922</v>
      </c>
      <c r="GJ95" s="114">
        <v>10957.339761625673</v>
      </c>
      <c r="GK95" s="114">
        <v>4651.5594755694901</v>
      </c>
      <c r="GL95" s="114">
        <v>8324.5224516199851</v>
      </c>
      <c r="GM95" s="114">
        <v>8730.7141532762453</v>
      </c>
      <c r="GN95" s="114">
        <v>4220.5770856218542</v>
      </c>
      <c r="GO95" s="114">
        <v>6525.4165436972335</v>
      </c>
      <c r="GP95" s="114">
        <v>6834.7928475218168</v>
      </c>
      <c r="GQ95" s="114">
        <v>9568.2316838686929</v>
      </c>
      <c r="GR95" s="114">
        <v>16227.354291874433</v>
      </c>
      <c r="GS95" s="114">
        <v>713.75433606544482</v>
      </c>
      <c r="GT95" s="115">
        <v>7704.857310639255</v>
      </c>
    </row>
    <row r="96" spans="2:202" x14ac:dyDescent="0.6">
      <c r="B96" s="106" t="s">
        <v>84</v>
      </c>
      <c r="C96" s="63" t="s">
        <v>319</v>
      </c>
      <c r="D96" s="113">
        <v>5138.9440721428437</v>
      </c>
      <c r="E96" s="114">
        <v>1128.2081873282496</v>
      </c>
      <c r="F96" s="114">
        <v>721.18434179251835</v>
      </c>
      <c r="G96" s="114">
        <v>6013.5831598972527</v>
      </c>
      <c r="H96" s="114">
        <v>7191.7406508545955</v>
      </c>
      <c r="I96" s="114">
        <v>11428.436547148598</v>
      </c>
      <c r="J96" s="114">
        <v>2903.2588015774963</v>
      </c>
      <c r="K96" s="114">
        <v>16540.650714245457</v>
      </c>
      <c r="L96" s="114">
        <v>610.91717663057375</v>
      </c>
      <c r="M96" s="114">
        <v>3303.739091732386</v>
      </c>
      <c r="N96" s="114">
        <v>7785.0155582222751</v>
      </c>
      <c r="O96" s="114">
        <v>4224.0373224619934</v>
      </c>
      <c r="P96" s="114">
        <v>7501.2161438186831</v>
      </c>
      <c r="Q96" s="114">
        <v>7305.7915430196963</v>
      </c>
      <c r="R96" s="114">
        <v>1578.1913201374477</v>
      </c>
      <c r="S96" s="114">
        <v>672.08182042589124</v>
      </c>
      <c r="T96" s="114">
        <v>9220.6238642577446</v>
      </c>
      <c r="U96" s="114">
        <v>4411.384422297423</v>
      </c>
      <c r="V96" s="114">
        <v>7158.241188989944</v>
      </c>
      <c r="W96" s="114">
        <v>10330.600895343325</v>
      </c>
      <c r="X96" s="114">
        <v>750.73415817078683</v>
      </c>
      <c r="Y96" s="114">
        <v>7949.0344338760524</v>
      </c>
      <c r="Z96" s="114">
        <v>9521.4571360619593</v>
      </c>
      <c r="AA96" s="114">
        <v>9260.0240096752386</v>
      </c>
      <c r="AB96" s="114">
        <v>10865.851152620477</v>
      </c>
      <c r="AC96" s="114">
        <v>1168.6782388635932</v>
      </c>
      <c r="AD96" s="114">
        <v>3835.2609262043775</v>
      </c>
      <c r="AE96" s="114">
        <v>5756.6875947457429</v>
      </c>
      <c r="AF96" s="114">
        <v>4547.9373313184105</v>
      </c>
      <c r="AG96" s="114">
        <v>9520.3416760173677</v>
      </c>
      <c r="AH96" s="114">
        <v>4605.5127094818336</v>
      </c>
      <c r="AI96" s="114">
        <v>4670.9433935987063</v>
      </c>
      <c r="AJ96" s="114">
        <v>6635.1570642832621</v>
      </c>
      <c r="AK96" s="114">
        <v>6276.1527812303793</v>
      </c>
      <c r="AL96" s="114">
        <v>4670.5942987140152</v>
      </c>
      <c r="AM96" s="114">
        <v>3745.0402736325564</v>
      </c>
      <c r="AN96" s="114">
        <v>11847.027726955506</v>
      </c>
      <c r="AO96" s="114">
        <v>9098.428243972352</v>
      </c>
      <c r="AP96" s="114">
        <v>8095.1685395075065</v>
      </c>
      <c r="AQ96" s="114">
        <v>9132.8100740128102</v>
      </c>
      <c r="AR96" s="114">
        <v>7180.7119501252491</v>
      </c>
      <c r="AS96" s="114">
        <v>5569.8096510590231</v>
      </c>
      <c r="AT96" s="114">
        <v>5541.4495537261491</v>
      </c>
      <c r="AU96" s="114">
        <v>9500.3040743254878</v>
      </c>
      <c r="AV96" s="114">
        <v>4640.8434425691894</v>
      </c>
      <c r="AW96" s="114">
        <v>498.06381593043818</v>
      </c>
      <c r="AX96" s="114">
        <v>8308.3470067634735</v>
      </c>
      <c r="AY96" s="114">
        <v>2330.6415280617862</v>
      </c>
      <c r="AZ96" s="114">
        <v>633.245620144751</v>
      </c>
      <c r="BA96" s="114">
        <v>1127.8969214093859</v>
      </c>
      <c r="BB96" s="114">
        <v>4939.8668781861033</v>
      </c>
      <c r="BC96" s="114">
        <v>7290.9353364805065</v>
      </c>
      <c r="BD96" s="114">
        <v>7706.4320579190444</v>
      </c>
      <c r="BE96" s="114">
        <v>5553.9417056016109</v>
      </c>
      <c r="BF96" s="114">
        <v>9827.6199801627081</v>
      </c>
      <c r="BG96" s="114">
        <v>2568.6486851436466</v>
      </c>
      <c r="BH96" s="114">
        <v>9581.5030198032855</v>
      </c>
      <c r="BI96" s="114">
        <v>4672.2490866311155</v>
      </c>
      <c r="BJ96" s="114">
        <v>4341.2624880242429</v>
      </c>
      <c r="BK96" s="114">
        <v>1839.3321514984516</v>
      </c>
      <c r="BL96" s="114">
        <v>8268.2732658955338</v>
      </c>
      <c r="BM96" s="114">
        <v>4920.9938897283209</v>
      </c>
      <c r="BN96" s="114">
        <v>1938.3108345495837</v>
      </c>
      <c r="BO96" s="114">
        <v>628.21166929876529</v>
      </c>
      <c r="BP96" s="114">
        <v>5027.5943507930142</v>
      </c>
      <c r="BQ96" s="114">
        <v>4313.9109622262276</v>
      </c>
      <c r="BR96" s="114">
        <v>2861.9975215368822</v>
      </c>
      <c r="BS96" s="114">
        <v>815.69680074153894</v>
      </c>
      <c r="BT96" s="114">
        <v>348.31881416903155</v>
      </c>
      <c r="BU96" s="114">
        <v>518.07737140734309</v>
      </c>
      <c r="BV96" s="114">
        <v>4549.5474576619754</v>
      </c>
      <c r="BW96" s="114">
        <v>1472.8314242495767</v>
      </c>
      <c r="BX96" s="114">
        <v>7573.0702651862721</v>
      </c>
      <c r="BY96" s="114">
        <v>9585.4643671830745</v>
      </c>
      <c r="BZ96" s="114">
        <v>4568.7518146207958</v>
      </c>
      <c r="CA96" s="114">
        <v>4445.1817796916384</v>
      </c>
      <c r="CB96" s="114">
        <v>7732.8739770459024</v>
      </c>
      <c r="CC96" s="114">
        <v>7901.167090696883</v>
      </c>
      <c r="CD96" s="114">
        <v>9381.963665000203</v>
      </c>
      <c r="CE96" s="114">
        <v>782.56930593354275</v>
      </c>
      <c r="CF96" s="114">
        <v>2807.4452945114244</v>
      </c>
      <c r="CG96" s="114">
        <v>6473.5135661503509</v>
      </c>
      <c r="CH96" s="114">
        <v>6139.7807657464537</v>
      </c>
      <c r="CI96" s="114">
        <v>11051.64183608808</v>
      </c>
      <c r="CJ96" s="114">
        <v>3686.2512287753011</v>
      </c>
      <c r="CK96" s="114">
        <v>3279.7112936140361</v>
      </c>
      <c r="CL96" s="114">
        <v>1401.2139844632504</v>
      </c>
      <c r="CM96" s="114">
        <v>4080.981142608744</v>
      </c>
      <c r="CN96" s="114">
        <v>502.81215359615402</v>
      </c>
      <c r="CO96" s="114" t="s">
        <v>237</v>
      </c>
      <c r="CP96" s="114">
        <v>8263.1086374058305</v>
      </c>
      <c r="CQ96" s="114">
        <v>9718.9794402372081</v>
      </c>
      <c r="CR96" s="114">
        <v>2742.8707361400025</v>
      </c>
      <c r="CS96" s="114">
        <v>4499.9072357988416</v>
      </c>
      <c r="CT96" s="114">
        <v>5838.9715591026461</v>
      </c>
      <c r="CU96" s="114">
        <v>3821.4512535673289</v>
      </c>
      <c r="CV96" s="114">
        <v>5084.2408805717951</v>
      </c>
      <c r="CW96" s="114">
        <v>8860.8107589144583</v>
      </c>
      <c r="CX96" s="114">
        <v>1605.4041313706532</v>
      </c>
      <c r="CY96" s="114">
        <v>2587.1080262329033</v>
      </c>
      <c r="CZ96" s="114">
        <v>8499.6482915654833</v>
      </c>
      <c r="DA96" s="114">
        <v>4762.540440989952</v>
      </c>
      <c r="DB96" s="114">
        <v>1480.6512589462425</v>
      </c>
      <c r="DC96" s="114">
        <v>179.9052844462133</v>
      </c>
      <c r="DD96" s="114">
        <v>1508.6545602930962</v>
      </c>
      <c r="DE96" s="114">
        <v>492.87084295992929</v>
      </c>
      <c r="DF96" s="114">
        <v>8090.8113846447841</v>
      </c>
      <c r="DG96" s="114">
        <v>7049.2279848722419</v>
      </c>
      <c r="DH96" s="114">
        <v>9934.8018920553986</v>
      </c>
      <c r="DI96" s="114">
        <v>7692.4198604669327</v>
      </c>
      <c r="DJ96" s="114">
        <v>4009.1328628291244</v>
      </c>
      <c r="DK96" s="114">
        <v>1184.7405873014484</v>
      </c>
      <c r="DL96" s="114">
        <v>8758.4238260327529</v>
      </c>
      <c r="DM96" s="114">
        <v>8775.3155435076987</v>
      </c>
      <c r="DN96" s="114">
        <v>9838.3142054665568</v>
      </c>
      <c r="DO96" s="114">
        <v>1518.7927612465089</v>
      </c>
      <c r="DP96" s="114">
        <v>237.39169938400727</v>
      </c>
      <c r="DQ96" s="114">
        <v>6920.1282292899023</v>
      </c>
      <c r="DR96" s="114">
        <v>872.87335257749191</v>
      </c>
      <c r="DS96" s="114">
        <v>1863.7773185754559</v>
      </c>
      <c r="DT96" s="114">
        <v>8239.3608956472199</v>
      </c>
      <c r="DU96" s="114">
        <v>8483.5082928895008</v>
      </c>
      <c r="DV96" s="114">
        <v>7582.3629547055543</v>
      </c>
      <c r="DW96" s="114">
        <v>6824.7475966843658</v>
      </c>
      <c r="DX96" s="114">
        <v>825.2675176079789</v>
      </c>
      <c r="DY96" s="114">
        <v>18479.077471460492</v>
      </c>
      <c r="DZ96" s="114">
        <v>18730.2022793627</v>
      </c>
      <c r="EA96" s="114">
        <v>9468.5212237725536</v>
      </c>
      <c r="EB96" s="114">
        <v>3642.4653740050558</v>
      </c>
      <c r="EC96" s="114">
        <v>4053.031465062701</v>
      </c>
      <c r="ED96" s="114">
        <v>8660.342891484308</v>
      </c>
      <c r="EE96" s="114">
        <v>1041.6959424931465</v>
      </c>
      <c r="EF96" s="114">
        <v>1568.5177132587196</v>
      </c>
      <c r="EG96" s="114">
        <v>5034.5007046754699</v>
      </c>
      <c r="EH96" s="114">
        <v>5597.0027128406327</v>
      </c>
      <c r="EI96" s="114">
        <v>5500.4209298301994</v>
      </c>
      <c r="EJ96" s="114">
        <v>9174.6052332405252</v>
      </c>
      <c r="EK96" s="114">
        <v>10319.958657346235</v>
      </c>
      <c r="EL96" s="114">
        <v>10662.467690855381</v>
      </c>
      <c r="EM96" s="114">
        <v>10486.575330123502</v>
      </c>
      <c r="EN96" s="114">
        <v>1136.6803659935515</v>
      </c>
      <c r="EO96" s="114">
        <v>1698.0421356830159</v>
      </c>
      <c r="EP96" s="114">
        <v>4372.9151165477906</v>
      </c>
      <c r="EQ96" s="114">
        <v>1336.7571524159546</v>
      </c>
      <c r="ER96" s="114">
        <v>2285.8401134331198</v>
      </c>
      <c r="ES96" s="114">
        <v>5620.9746909397409</v>
      </c>
      <c r="ET96" s="114">
        <v>7233.9728658851664</v>
      </c>
      <c r="EU96" s="114">
        <v>7330.1699638667851</v>
      </c>
      <c r="EV96" s="114">
        <v>7441.6716574427655</v>
      </c>
      <c r="EW96" s="114">
        <v>325.72781624638628</v>
      </c>
      <c r="EX96" s="114">
        <v>5051.7612574281438</v>
      </c>
      <c r="EY96" s="114">
        <v>4066.8192745127144</v>
      </c>
      <c r="EZ96" s="114">
        <v>4258.9108321189015</v>
      </c>
      <c r="FA96" s="114">
        <v>885.09877708614817</v>
      </c>
      <c r="FB96" s="114">
        <v>4655.1093477346385</v>
      </c>
      <c r="FC96" s="114">
        <v>10261.0226806991</v>
      </c>
      <c r="FD96" s="114">
        <v>667.33229652251191</v>
      </c>
      <c r="FE96" s="114">
        <v>403.83369242678884</v>
      </c>
      <c r="FF96" s="114">
        <v>5973.255235902694</v>
      </c>
      <c r="FG96" s="114">
        <v>8113.7472329534739</v>
      </c>
      <c r="FH96" s="114">
        <v>8879.6144195034012</v>
      </c>
      <c r="FI96" s="114">
        <v>5009.8116052063624</v>
      </c>
      <c r="FJ96" s="114">
        <v>1180.2850065709922</v>
      </c>
      <c r="FK96" s="114">
        <v>725.35038856373239</v>
      </c>
      <c r="FL96" s="114">
        <v>7956.4082177710825</v>
      </c>
      <c r="FM96" s="114">
        <v>3990.6070491164069</v>
      </c>
      <c r="FN96" s="114">
        <v>7584.7933929456385</v>
      </c>
      <c r="FO96" s="114">
        <v>1637.8941373953462</v>
      </c>
      <c r="FP96" s="114">
        <v>192.0095967049709</v>
      </c>
      <c r="FQ96" s="114">
        <v>2666.2175749067501</v>
      </c>
      <c r="FR96" s="114">
        <v>9626.89120700899</v>
      </c>
      <c r="FS96" s="114">
        <v>4858.4399675523528</v>
      </c>
      <c r="FT96" s="114">
        <v>6538.6124458773884</v>
      </c>
      <c r="FU96" s="114">
        <v>9031.619521277642</v>
      </c>
      <c r="FV96" s="114">
        <v>12686.527696854573</v>
      </c>
      <c r="FW96" s="114">
        <v>4445.7669907016771</v>
      </c>
      <c r="FX96" s="114">
        <v>7663.3761623940227</v>
      </c>
      <c r="FY96" s="114">
        <v>999.74084349372845</v>
      </c>
      <c r="FZ96" s="114">
        <v>2014.2729104000027</v>
      </c>
      <c r="GA96" s="114">
        <v>4030.9158405233552</v>
      </c>
      <c r="GB96" s="114">
        <v>5519.9725497473046</v>
      </c>
      <c r="GC96" s="114">
        <v>1655.4303366539423</v>
      </c>
      <c r="GD96" s="114">
        <v>4653.1177533807631</v>
      </c>
      <c r="GE96" s="114">
        <v>944.64341226178738</v>
      </c>
      <c r="GF96" s="114">
        <v>9714.8510551949166</v>
      </c>
      <c r="GG96" s="114">
        <v>6464.2605100000892</v>
      </c>
      <c r="GH96" s="114">
        <v>6158.5303107406007</v>
      </c>
      <c r="GI96" s="114">
        <v>6790.4991942659935</v>
      </c>
      <c r="GJ96" s="114">
        <v>11045.583852575443</v>
      </c>
      <c r="GK96" s="114">
        <v>4755.7233769391387</v>
      </c>
      <c r="GL96" s="114">
        <v>8083.5176734642882</v>
      </c>
      <c r="GM96" s="114">
        <v>8827.9821985421859</v>
      </c>
      <c r="GN96" s="114">
        <v>4672.6345718287175</v>
      </c>
      <c r="GO96" s="114">
        <v>7019.7566730934641</v>
      </c>
      <c r="GP96" s="114">
        <v>7332.4868559397173</v>
      </c>
      <c r="GQ96" s="114">
        <v>9722.9248963806003</v>
      </c>
      <c r="GR96" s="114">
        <v>16474.766813312792</v>
      </c>
      <c r="GS96" s="114">
        <v>218.41957541041461</v>
      </c>
      <c r="GT96" s="115">
        <v>8193.8077518192422</v>
      </c>
    </row>
    <row r="97" spans="2:202" x14ac:dyDescent="0.6">
      <c r="B97" s="106" t="s">
        <v>85</v>
      </c>
      <c r="C97" s="63" t="s">
        <v>311</v>
      </c>
      <c r="D97" s="113">
        <v>13156.945803861252</v>
      </c>
      <c r="E97" s="114">
        <v>7919.6890333356669</v>
      </c>
      <c r="F97" s="114">
        <v>7685.8673757067472</v>
      </c>
      <c r="G97" s="114">
        <v>10262.003778920156</v>
      </c>
      <c r="H97" s="114">
        <v>1556.8267463084092</v>
      </c>
      <c r="I97" s="114">
        <v>6282.2059214315495</v>
      </c>
      <c r="J97" s="114">
        <v>11118.965145154702</v>
      </c>
      <c r="K97" s="114">
        <v>14998.766918856878</v>
      </c>
      <c r="L97" s="114">
        <v>8725.0320882591732</v>
      </c>
      <c r="M97" s="114">
        <v>11467.747862271284</v>
      </c>
      <c r="N97" s="114">
        <v>787.25497581529407</v>
      </c>
      <c r="O97" s="114">
        <v>12461.088174355116</v>
      </c>
      <c r="P97" s="114">
        <v>15189.177294316933</v>
      </c>
      <c r="Q97" s="114">
        <v>1922.0594056428201</v>
      </c>
      <c r="R97" s="114">
        <v>9282.280392264769</v>
      </c>
      <c r="S97" s="114">
        <v>7823.6276291323911</v>
      </c>
      <c r="T97" s="114">
        <v>1253.8539549389734</v>
      </c>
      <c r="U97" s="114">
        <v>8625.5086485697466</v>
      </c>
      <c r="V97" s="114">
        <v>14754.099075870838</v>
      </c>
      <c r="W97" s="114">
        <v>3912.5340758885427</v>
      </c>
      <c r="X97" s="114">
        <v>9012.4073764076547</v>
      </c>
      <c r="Y97" s="114">
        <v>12008.534238636381</v>
      </c>
      <c r="Z97" s="114">
        <v>5644.2735240609954</v>
      </c>
      <c r="AA97" s="114">
        <v>5814.0509143859445</v>
      </c>
      <c r="AB97" s="114">
        <v>17211.261586271688</v>
      </c>
      <c r="AC97" s="114">
        <v>9431.2523294177772</v>
      </c>
      <c r="AD97" s="114">
        <v>8049.3706089256984</v>
      </c>
      <c r="AE97" s="114">
        <v>11773.694934643139</v>
      </c>
      <c r="AF97" s="114">
        <v>5658.4853264623216</v>
      </c>
      <c r="AG97" s="114">
        <v>16751.892817552638</v>
      </c>
      <c r="AH97" s="114">
        <v>9467.7974563864991</v>
      </c>
      <c r="AI97" s="114">
        <v>9660.2914671671897</v>
      </c>
      <c r="AJ97" s="114">
        <v>2870.6067302086985</v>
      </c>
      <c r="AK97" s="114">
        <v>3033.93857285289</v>
      </c>
      <c r="AL97" s="114">
        <v>10373.4215552651</v>
      </c>
      <c r="AM97" s="114">
        <v>9707.4491316782605</v>
      </c>
      <c r="AN97" s="114">
        <v>5734.3412337397576</v>
      </c>
      <c r="AO97" s="114">
        <v>14215.555765833824</v>
      </c>
      <c r="AP97" s="114">
        <v>13481.258774474603</v>
      </c>
      <c r="AQ97" s="114">
        <v>1543.0841149233852</v>
      </c>
      <c r="AR97" s="114">
        <v>13509.647334794952</v>
      </c>
      <c r="AS97" s="114">
        <v>10347.478101574749</v>
      </c>
      <c r="AT97" s="114">
        <v>10318.945273595918</v>
      </c>
      <c r="AU97" s="114">
        <v>1241.3464527499787</v>
      </c>
      <c r="AV97" s="114">
        <v>7973.1861781306579</v>
      </c>
      <c r="AW97" s="114">
        <v>8749.312199111384</v>
      </c>
      <c r="AX97" s="114">
        <v>820.64106487733636</v>
      </c>
      <c r="AY97" s="114">
        <v>10551.32376430043</v>
      </c>
      <c r="AZ97" s="114">
        <v>8534.0820839568496</v>
      </c>
      <c r="BA97" s="114">
        <v>8296.6752364907516</v>
      </c>
      <c r="BB97" s="114">
        <v>12551.802708189758</v>
      </c>
      <c r="BC97" s="114">
        <v>1655.0632381840207</v>
      </c>
      <c r="BD97" s="114">
        <v>730.84437382069984</v>
      </c>
      <c r="BE97" s="114">
        <v>10325.862556857161</v>
      </c>
      <c r="BF97" s="114">
        <v>2028.30200484801</v>
      </c>
      <c r="BG97" s="114">
        <v>10613.775085020719</v>
      </c>
      <c r="BH97" s="114">
        <v>1441.9086855145654</v>
      </c>
      <c r="BI97" s="114">
        <v>9360.8236991513404</v>
      </c>
      <c r="BJ97" s="114">
        <v>11999.884078026562</v>
      </c>
      <c r="BK97" s="114">
        <v>8901.1511757717471</v>
      </c>
      <c r="BL97" s="114">
        <v>12586.543093332872</v>
      </c>
      <c r="BM97" s="114">
        <v>12267.458668872072</v>
      </c>
      <c r="BN97" s="114">
        <v>8897.1839984305552</v>
      </c>
      <c r="BO97" s="114">
        <v>7695.9414344269953</v>
      </c>
      <c r="BP97" s="114">
        <v>9550.583571995383</v>
      </c>
      <c r="BQ97" s="114">
        <v>6430.6766478458958</v>
      </c>
      <c r="BR97" s="114">
        <v>11049.247216471202</v>
      </c>
      <c r="BS97" s="114">
        <v>8417.1916952161682</v>
      </c>
      <c r="BT97" s="114">
        <v>8388.6710244711849</v>
      </c>
      <c r="BU97" s="114">
        <v>8144.131224919669</v>
      </c>
      <c r="BV97" s="114">
        <v>8392.2606447865364</v>
      </c>
      <c r="BW97" s="114">
        <v>9637.2002158969608</v>
      </c>
      <c r="BX97" s="114">
        <v>1715.4499802212563</v>
      </c>
      <c r="BY97" s="114">
        <v>1518.167543228986</v>
      </c>
      <c r="BZ97" s="114">
        <v>6847.9965561536237</v>
      </c>
      <c r="CA97" s="114">
        <v>6579.0722333565818</v>
      </c>
      <c r="CB97" s="114">
        <v>2367.9558181527482</v>
      </c>
      <c r="CC97" s="114">
        <v>456.37883428889262</v>
      </c>
      <c r="CD97" s="114">
        <v>1218.6375769172273</v>
      </c>
      <c r="CE97" s="114">
        <v>8953.598160056923</v>
      </c>
      <c r="CF97" s="114">
        <v>6548.355584149328</v>
      </c>
      <c r="CG97" s="114">
        <v>14707.188051908806</v>
      </c>
      <c r="CH97" s="114">
        <v>14130.587729259247</v>
      </c>
      <c r="CI97" s="114">
        <v>18653.873603160799</v>
      </c>
      <c r="CJ97" s="114">
        <v>11920.216801299319</v>
      </c>
      <c r="CK97" s="114">
        <v>11540.387516310668</v>
      </c>
      <c r="CL97" s="114">
        <v>7111.9884481512254</v>
      </c>
      <c r="CM97" s="114">
        <v>4415.161395562126</v>
      </c>
      <c r="CN97" s="114">
        <v>8594.65959429125</v>
      </c>
      <c r="CO97" s="114">
        <v>8263.1086374058305</v>
      </c>
      <c r="CP97" s="114" t="s">
        <v>237</v>
      </c>
      <c r="CQ97" s="114">
        <v>12929.027116796769</v>
      </c>
      <c r="CR97" s="114">
        <v>10915.446291831471</v>
      </c>
      <c r="CS97" s="114">
        <v>11715.479032590441</v>
      </c>
      <c r="CT97" s="114">
        <v>12473.960971875606</v>
      </c>
      <c r="CU97" s="114">
        <v>12072.967863414653</v>
      </c>
      <c r="CV97" s="114">
        <v>12655.192547210869</v>
      </c>
      <c r="CW97" s="114">
        <v>16056.594566124464</v>
      </c>
      <c r="CX97" s="114">
        <v>8974.2933136794036</v>
      </c>
      <c r="CY97" s="114">
        <v>10798.656268507488</v>
      </c>
      <c r="CZ97" s="114">
        <v>12277.003321825166</v>
      </c>
      <c r="DA97" s="114">
        <v>7264.3346868990493</v>
      </c>
      <c r="DB97" s="114">
        <v>8906.1928552470235</v>
      </c>
      <c r="DC97" s="114">
        <v>8241.8272409464535</v>
      </c>
      <c r="DD97" s="114">
        <v>9119.2933633895154</v>
      </c>
      <c r="DE97" s="114">
        <v>7969.9892784308122</v>
      </c>
      <c r="DF97" s="114">
        <v>14107.452524977165</v>
      </c>
      <c r="DG97" s="114">
        <v>12560.476024081359</v>
      </c>
      <c r="DH97" s="114">
        <v>17658.719001804555</v>
      </c>
      <c r="DI97" s="114">
        <v>15896.787945250993</v>
      </c>
      <c r="DJ97" s="114">
        <v>7387.4971199950678</v>
      </c>
      <c r="DK97" s="114">
        <v>8927.7043305158259</v>
      </c>
      <c r="DL97" s="114">
        <v>15168.834477468261</v>
      </c>
      <c r="DM97" s="114">
        <v>15190.14416254034</v>
      </c>
      <c r="DN97" s="114">
        <v>2383.8331416227093</v>
      </c>
      <c r="DO97" s="114">
        <v>9661.9159667379336</v>
      </c>
      <c r="DP97" s="114">
        <v>8157.1806239833986</v>
      </c>
      <c r="DQ97" s="114">
        <v>12677.071627504147</v>
      </c>
      <c r="DR97" s="114">
        <v>9125.2024316092829</v>
      </c>
      <c r="DS97" s="114">
        <v>7055.81842968401</v>
      </c>
      <c r="DT97" s="114">
        <v>12700.112181420116</v>
      </c>
      <c r="DU97" s="114">
        <v>16101.931333050283</v>
      </c>
      <c r="DV97" s="114">
        <v>11107.666160535666</v>
      </c>
      <c r="DW97" s="114">
        <v>14590.11288195479</v>
      </c>
      <c r="DX97" s="114">
        <v>7831.214983984898</v>
      </c>
      <c r="DY97" s="114">
        <v>12837.737695599504</v>
      </c>
      <c r="DZ97" s="114">
        <v>12893.819503767447</v>
      </c>
      <c r="EA97" s="114">
        <v>1232.8919290058616</v>
      </c>
      <c r="EB97" s="114">
        <v>8367.8972122766299</v>
      </c>
      <c r="EC97" s="114">
        <v>9050.1019461879641</v>
      </c>
      <c r="ED97" s="114">
        <v>13273.952073637945</v>
      </c>
      <c r="EE97" s="114">
        <v>9296.3594701444745</v>
      </c>
      <c r="EF97" s="114">
        <v>8119.4403767689619</v>
      </c>
      <c r="EG97" s="114">
        <v>13293.780320126973</v>
      </c>
      <c r="EH97" s="114">
        <v>13825.299168004196</v>
      </c>
      <c r="EI97" s="114">
        <v>13452.201216857819</v>
      </c>
      <c r="EJ97" s="114">
        <v>1043.8890459922291</v>
      </c>
      <c r="EK97" s="114">
        <v>5223.9117094248641</v>
      </c>
      <c r="EL97" s="114">
        <v>3336.2991183916961</v>
      </c>
      <c r="EM97" s="114">
        <v>15933.352357327831</v>
      </c>
      <c r="EN97" s="114">
        <v>8933.8278550595442</v>
      </c>
      <c r="EO97" s="114">
        <v>6829.6318625889153</v>
      </c>
      <c r="EP97" s="114">
        <v>12607.873336405999</v>
      </c>
      <c r="EQ97" s="114">
        <v>9579.4200019677028</v>
      </c>
      <c r="ER97" s="114">
        <v>9773.2275809924104</v>
      </c>
      <c r="ES97" s="114">
        <v>11810.428472268806</v>
      </c>
      <c r="ET97" s="114">
        <v>1493.895304552773</v>
      </c>
      <c r="EU97" s="114">
        <v>1757.3530324105045</v>
      </c>
      <c r="EV97" s="114">
        <v>1736.4385720880503</v>
      </c>
      <c r="EW97" s="114">
        <v>8546.3557336761205</v>
      </c>
      <c r="EX97" s="114">
        <v>9252.368153394078</v>
      </c>
      <c r="EY97" s="114">
        <v>12237.820931599343</v>
      </c>
      <c r="EZ97" s="114">
        <v>6310.9718570118566</v>
      </c>
      <c r="FA97" s="114">
        <v>9141.919835958699</v>
      </c>
      <c r="FB97" s="114">
        <v>6911.7613109134536</v>
      </c>
      <c r="FC97" s="114">
        <v>17862.946728568008</v>
      </c>
      <c r="FD97" s="114">
        <v>8786.6924283171375</v>
      </c>
      <c r="FE97" s="114">
        <v>8640.8601744845291</v>
      </c>
      <c r="FF97" s="114">
        <v>13264.629877081337</v>
      </c>
      <c r="FG97" s="114">
        <v>12282.364050135053</v>
      </c>
      <c r="FH97" s="114">
        <v>13409.821916271769</v>
      </c>
      <c r="FI97" s="114">
        <v>11736.057351395128</v>
      </c>
      <c r="FJ97" s="114">
        <v>7307.1210685814758</v>
      </c>
      <c r="FK97" s="114">
        <v>7767.2254379142669</v>
      </c>
      <c r="FL97" s="114">
        <v>16218.400981377898</v>
      </c>
      <c r="FM97" s="114">
        <v>11386.653674147714</v>
      </c>
      <c r="FN97" s="114">
        <v>2707.839878818128</v>
      </c>
      <c r="FO97" s="114">
        <v>8548.7994483588809</v>
      </c>
      <c r="FP97" s="114">
        <v>8098.0330919115868</v>
      </c>
      <c r="FQ97" s="114">
        <v>10882.116554410724</v>
      </c>
      <c r="FR97" s="114">
        <v>14845.631418149325</v>
      </c>
      <c r="FS97" s="114">
        <v>12764.364851850207</v>
      </c>
      <c r="FT97" s="114">
        <v>12963.398367485568</v>
      </c>
      <c r="FU97" s="114">
        <v>16500.435030366494</v>
      </c>
      <c r="FV97" s="114">
        <v>17423.026405319077</v>
      </c>
      <c r="FW97" s="114">
        <v>8501.1766369637462</v>
      </c>
      <c r="FX97" s="114">
        <v>1809.0894218733938</v>
      </c>
      <c r="FY97" s="114">
        <v>8535.4065923013895</v>
      </c>
      <c r="FZ97" s="114">
        <v>10277.205822825354</v>
      </c>
      <c r="GA97" s="114">
        <v>12152.541902496543</v>
      </c>
      <c r="GB97" s="114">
        <v>11984.919851527999</v>
      </c>
      <c r="GC97" s="114">
        <v>9609.9101028373334</v>
      </c>
      <c r="GD97" s="114">
        <v>12899.440769099472</v>
      </c>
      <c r="GE97" s="114">
        <v>7520.658672979308</v>
      </c>
      <c r="GF97" s="114">
        <v>4497.8882226282049</v>
      </c>
      <c r="GG97" s="114">
        <v>2536.7915360345278</v>
      </c>
      <c r="GH97" s="114">
        <v>2757.2217652167319</v>
      </c>
      <c r="GI97" s="114">
        <v>2325.3186629623478</v>
      </c>
      <c r="GJ97" s="114">
        <v>6223.3924227768539</v>
      </c>
      <c r="GK97" s="114">
        <v>12538.506297279837</v>
      </c>
      <c r="GL97" s="114">
        <v>1371.7820201078309</v>
      </c>
      <c r="GM97" s="114">
        <v>15667.459890916423</v>
      </c>
      <c r="GN97" s="114">
        <v>12533.451212763894</v>
      </c>
      <c r="GO97" s="114">
        <v>12039.940514577977</v>
      </c>
      <c r="GP97" s="114">
        <v>12392.898102836163</v>
      </c>
      <c r="GQ97" s="114">
        <v>16791.759756207539</v>
      </c>
      <c r="GR97" s="114">
        <v>15143.006838587542</v>
      </c>
      <c r="GS97" s="114">
        <v>8179.2648697484183</v>
      </c>
      <c r="GT97" s="115">
        <v>12289.595517389846</v>
      </c>
    </row>
    <row r="98" spans="2:202" x14ac:dyDescent="0.6">
      <c r="B98" s="106" t="s">
        <v>86</v>
      </c>
      <c r="C98" s="63" t="s">
        <v>333</v>
      </c>
      <c r="D98" s="113">
        <v>6290.2567949429822</v>
      </c>
      <c r="E98" s="114">
        <v>10833.101284706971</v>
      </c>
      <c r="F98" s="114">
        <v>10369.724114159571</v>
      </c>
      <c r="G98" s="114">
        <v>13835.167128097362</v>
      </c>
      <c r="H98" s="114">
        <v>13718.170691829084</v>
      </c>
      <c r="I98" s="114">
        <v>18239.116699788483</v>
      </c>
      <c r="J98" s="114">
        <v>7954.428817447385</v>
      </c>
      <c r="K98" s="114">
        <v>7821.4407441973917</v>
      </c>
      <c r="L98" s="114">
        <v>9146.7786813042167</v>
      </c>
      <c r="M98" s="114">
        <v>7558.3052878555109</v>
      </c>
      <c r="N98" s="114">
        <v>12224.66682570838</v>
      </c>
      <c r="O98" s="114">
        <v>8308.7489649625204</v>
      </c>
      <c r="P98" s="114">
        <v>4923.4554890354857</v>
      </c>
      <c r="Q98" s="114">
        <v>14237.252727178571</v>
      </c>
      <c r="R98" s="114">
        <v>8169.4877912825568</v>
      </c>
      <c r="S98" s="114">
        <v>9488.3138159205137</v>
      </c>
      <c r="T98" s="114">
        <v>12260.93324370552</v>
      </c>
      <c r="U98" s="114">
        <v>13570.095117683461</v>
      </c>
      <c r="V98" s="114">
        <v>4807.6061336758457</v>
      </c>
      <c r="W98" s="114">
        <v>16508.738032052624</v>
      </c>
      <c r="X98" s="114">
        <v>9408.3105639521928</v>
      </c>
      <c r="Y98" s="114">
        <v>13675.212775814767</v>
      </c>
      <c r="Z98" s="114">
        <v>18532.522984558527</v>
      </c>
      <c r="AA98" s="114">
        <v>18566.505642519132</v>
      </c>
      <c r="AB98" s="114">
        <v>4294.734977055241</v>
      </c>
      <c r="AC98" s="114">
        <v>9204.4937075209145</v>
      </c>
      <c r="AD98" s="114">
        <v>13305.603266253287</v>
      </c>
      <c r="AE98" s="114">
        <v>12064.176160982544</v>
      </c>
      <c r="AF98" s="114">
        <v>14102.997326219467</v>
      </c>
      <c r="AG98" s="114">
        <v>4458.9758864053892</v>
      </c>
      <c r="AH98" s="114">
        <v>13198.856566460357</v>
      </c>
      <c r="AI98" s="114">
        <v>13111.018656177906</v>
      </c>
      <c r="AJ98" s="114">
        <v>10341.260408083575</v>
      </c>
      <c r="AK98" s="114">
        <v>10344.334446709941</v>
      </c>
      <c r="AL98" s="114">
        <v>12484.959647117343</v>
      </c>
      <c r="AM98" s="114">
        <v>12185.225428502195</v>
      </c>
      <c r="AN98" s="114">
        <v>17247.583440867893</v>
      </c>
      <c r="AO98" s="114">
        <v>1765.8139516371525</v>
      </c>
      <c r="AP98" s="114">
        <v>2112.7249405000071</v>
      </c>
      <c r="AQ98" s="114">
        <v>14343.291723339602</v>
      </c>
      <c r="AR98" s="114">
        <v>11334.661786797871</v>
      </c>
      <c r="AS98" s="114">
        <v>13359.153649151411</v>
      </c>
      <c r="AT98" s="114">
        <v>13359.025719398642</v>
      </c>
      <c r="AU98" s="114">
        <v>13208.517861380833</v>
      </c>
      <c r="AV98" s="114">
        <v>14092.466943672036</v>
      </c>
      <c r="AW98" s="114">
        <v>9393.7005194259182</v>
      </c>
      <c r="AX98" s="114">
        <v>12128.735120258638</v>
      </c>
      <c r="AY98" s="114">
        <v>9070.4905059131925</v>
      </c>
      <c r="AZ98" s="114">
        <v>9086.9779168345267</v>
      </c>
      <c r="BA98" s="114">
        <v>8724.7328909023545</v>
      </c>
      <c r="BB98" s="114">
        <v>9961.465813978728</v>
      </c>
      <c r="BC98" s="114">
        <v>13940.464085414336</v>
      </c>
      <c r="BD98" s="114">
        <v>13263.084521333922</v>
      </c>
      <c r="BE98" s="114">
        <v>13364.212007163742</v>
      </c>
      <c r="BF98" s="114">
        <v>14437.471721748434</v>
      </c>
      <c r="BG98" s="114">
        <v>9579.3131747664847</v>
      </c>
      <c r="BH98" s="114">
        <v>12523.099962507275</v>
      </c>
      <c r="BI98" s="114">
        <v>13340.36402760184</v>
      </c>
      <c r="BJ98" s="114">
        <v>10004.663260854213</v>
      </c>
      <c r="BK98" s="114">
        <v>7907.9019803588872</v>
      </c>
      <c r="BL98" s="114">
        <v>13277.708953334872</v>
      </c>
      <c r="BM98" s="114">
        <v>10430.149377221227</v>
      </c>
      <c r="BN98" s="114">
        <v>7819.101909642357</v>
      </c>
      <c r="BO98" s="114">
        <v>9754.7397825713761</v>
      </c>
      <c r="BP98" s="114">
        <v>13528.624059946629</v>
      </c>
      <c r="BQ98" s="114">
        <v>14020.8857120674</v>
      </c>
      <c r="BR98" s="114">
        <v>7863.9731135971142</v>
      </c>
      <c r="BS98" s="114">
        <v>8945.0832023253697</v>
      </c>
      <c r="BT98" s="114">
        <v>9373.6499721560831</v>
      </c>
      <c r="BU98" s="114">
        <v>9335.5479072567832</v>
      </c>
      <c r="BV98" s="114">
        <v>13821.24036130684</v>
      </c>
      <c r="BW98" s="114">
        <v>9557.8407030828839</v>
      </c>
      <c r="BX98" s="114">
        <v>14245.345534467921</v>
      </c>
      <c r="BY98" s="114">
        <v>12359.667068962221</v>
      </c>
      <c r="BZ98" s="114">
        <v>14281.517454775108</v>
      </c>
      <c r="CA98" s="114">
        <v>14162.73121437509</v>
      </c>
      <c r="CB98" s="114">
        <v>14965.734279036298</v>
      </c>
      <c r="CC98" s="114">
        <v>13123.297312695362</v>
      </c>
      <c r="CD98" s="114">
        <v>12607.025330215056</v>
      </c>
      <c r="CE98" s="114">
        <v>9066.0222394115899</v>
      </c>
      <c r="CF98" s="114">
        <v>8798.8320231515318</v>
      </c>
      <c r="CG98" s="114">
        <v>6729.856078172199</v>
      </c>
      <c r="CH98" s="114">
        <v>5861.9480787670964</v>
      </c>
      <c r="CI98" s="114">
        <v>5805.9054197326668</v>
      </c>
      <c r="CJ98" s="114">
        <v>7688.4947224615853</v>
      </c>
      <c r="CK98" s="114">
        <v>8366.5940595797347</v>
      </c>
      <c r="CL98" s="114">
        <v>9597.7871662946054</v>
      </c>
      <c r="CM98" s="114">
        <v>12502.181060062683</v>
      </c>
      <c r="CN98" s="114">
        <v>9899.5010656795894</v>
      </c>
      <c r="CO98" s="114">
        <v>9718.9794402372081</v>
      </c>
      <c r="CP98" s="114">
        <v>12929.027116796769</v>
      </c>
      <c r="CQ98" s="114" t="s">
        <v>237</v>
      </c>
      <c r="CR98" s="114">
        <v>9143.8396073433923</v>
      </c>
      <c r="CS98" s="114">
        <v>5572.7449810544167</v>
      </c>
      <c r="CT98" s="114">
        <v>11280.307689579487</v>
      </c>
      <c r="CU98" s="114">
        <v>8307.3624580593969</v>
      </c>
      <c r="CV98" s="114">
        <v>5545.8365079824216</v>
      </c>
      <c r="CW98" s="114">
        <v>4196.226904574426</v>
      </c>
      <c r="CX98" s="114">
        <v>8116.6809786731519</v>
      </c>
      <c r="CY98" s="114">
        <v>9027.3601121815882</v>
      </c>
      <c r="CZ98" s="114">
        <v>13758.428450317944</v>
      </c>
      <c r="DA98" s="114">
        <v>14417.009068618721</v>
      </c>
      <c r="DB98" s="114">
        <v>10620.291900436983</v>
      </c>
      <c r="DC98" s="114">
        <v>9572.1034679617678</v>
      </c>
      <c r="DD98" s="114">
        <v>8216.3269701761928</v>
      </c>
      <c r="DE98" s="114">
        <v>9513.5230617164343</v>
      </c>
      <c r="DF98" s="114">
        <v>11410.778645335724</v>
      </c>
      <c r="DG98" s="114">
        <v>12367.741646884131</v>
      </c>
      <c r="DH98" s="114">
        <v>5351.8812095920748</v>
      </c>
      <c r="DI98" s="114">
        <v>7633.6077531666569</v>
      </c>
      <c r="DJ98" s="114">
        <v>13665.639502501674</v>
      </c>
      <c r="DK98" s="114">
        <v>10289.763551023876</v>
      </c>
      <c r="DL98" s="114">
        <v>10647.999318993721</v>
      </c>
      <c r="DM98" s="114">
        <v>10635.24430888359</v>
      </c>
      <c r="DN98" s="114">
        <v>11322.002106708054</v>
      </c>
      <c r="DO98" s="114">
        <v>8534.6777194841852</v>
      </c>
      <c r="DP98" s="114">
        <v>9956.2948786228935</v>
      </c>
      <c r="DQ98" s="114">
        <v>3012.4710006289019</v>
      </c>
      <c r="DR98" s="114">
        <v>9437.0040757855768</v>
      </c>
      <c r="DS98" s="114">
        <v>11523.433685198623</v>
      </c>
      <c r="DT98" s="114">
        <v>13135.091510571006</v>
      </c>
      <c r="DU98" s="114">
        <v>4796.8615190074061</v>
      </c>
      <c r="DV98" s="114">
        <v>14332.281648659206</v>
      </c>
      <c r="DW98" s="114">
        <v>5183.7518474144872</v>
      </c>
      <c r="DX98" s="114">
        <v>9318.4532566192211</v>
      </c>
      <c r="DY98" s="114">
        <v>8839.4760087336363</v>
      </c>
      <c r="DZ98" s="114">
        <v>9249.1303906611538</v>
      </c>
      <c r="EA98" s="114">
        <v>12841.672824736719</v>
      </c>
      <c r="EB98" s="114">
        <v>12987.269935202474</v>
      </c>
      <c r="EC98" s="114">
        <v>12978.077518301103</v>
      </c>
      <c r="ED98" s="114">
        <v>1330.8045900089369</v>
      </c>
      <c r="EE98" s="114">
        <v>9353.9924731565679</v>
      </c>
      <c r="EF98" s="114">
        <v>8449.8713482774801</v>
      </c>
      <c r="EG98" s="114">
        <v>7777.8248632450022</v>
      </c>
      <c r="EH98" s="114">
        <v>6926.3122938365186</v>
      </c>
      <c r="EI98" s="114">
        <v>5988.9731542130303</v>
      </c>
      <c r="EJ98" s="114">
        <v>13582.480756489571</v>
      </c>
      <c r="EK98" s="114">
        <v>18004.731672926086</v>
      </c>
      <c r="EL98" s="114">
        <v>15486.175864812481</v>
      </c>
      <c r="EM98" s="114">
        <v>3016.2721162268581</v>
      </c>
      <c r="EN98" s="114">
        <v>8590.746366309424</v>
      </c>
      <c r="EO98" s="114">
        <v>11174.925795032346</v>
      </c>
      <c r="EP98" s="114">
        <v>8276.9825894581991</v>
      </c>
      <c r="EQ98" s="114">
        <v>8894.8772726823736</v>
      </c>
      <c r="ER98" s="114">
        <v>7482.4914410134597</v>
      </c>
      <c r="ES98" s="114">
        <v>11883.04867177232</v>
      </c>
      <c r="ET98" s="114">
        <v>13690.284549647462</v>
      </c>
      <c r="EU98" s="114">
        <v>14088.328052628471</v>
      </c>
      <c r="EV98" s="114">
        <v>14163.720533870677</v>
      </c>
      <c r="EW98" s="114">
        <v>9728.1825270691043</v>
      </c>
      <c r="EX98" s="114">
        <v>13769.490257090285</v>
      </c>
      <c r="EY98" s="114">
        <v>8737.8954342482866</v>
      </c>
      <c r="EZ98" s="114">
        <v>13950.944520296449</v>
      </c>
      <c r="FA98" s="114">
        <v>9212.1042969470545</v>
      </c>
      <c r="FB98" s="114">
        <v>14361.994508572612</v>
      </c>
      <c r="FC98" s="114">
        <v>5319.4747225754018</v>
      </c>
      <c r="FD98" s="114">
        <v>9105.0461722619875</v>
      </c>
      <c r="FE98" s="114">
        <v>9414.0763301127899</v>
      </c>
      <c r="FF98" s="114">
        <v>10283.260491566249</v>
      </c>
      <c r="FG98" s="114">
        <v>13499.391203776768</v>
      </c>
      <c r="FH98" s="114">
        <v>1197.9518432380064</v>
      </c>
      <c r="FI98" s="114">
        <v>11310.898619817061</v>
      </c>
      <c r="FJ98" s="114">
        <v>10771.25536241693</v>
      </c>
      <c r="FK98" s="114">
        <v>10417.512933802365</v>
      </c>
      <c r="FL98" s="114">
        <v>6855.9157025068389</v>
      </c>
      <c r="FM98" s="114">
        <v>10520.246191648268</v>
      </c>
      <c r="FN98" s="114">
        <v>15179.953422456754</v>
      </c>
      <c r="FO98" s="114">
        <v>8184.239612594456</v>
      </c>
      <c r="FP98" s="114">
        <v>9711.2117878666832</v>
      </c>
      <c r="FQ98" s="114">
        <v>8978.3379043594396</v>
      </c>
      <c r="FR98" s="114">
        <v>2103.6502072221847</v>
      </c>
      <c r="FS98" s="114">
        <v>6172.4603213273158</v>
      </c>
      <c r="FT98" s="114">
        <v>11392.885856537967</v>
      </c>
      <c r="FU98" s="114">
        <v>4646.7920794881329</v>
      </c>
      <c r="FV98" s="114">
        <v>5118.940603794279</v>
      </c>
      <c r="FW98" s="114">
        <v>13668.977360975958</v>
      </c>
      <c r="FX98" s="114">
        <v>14399.707924763734</v>
      </c>
      <c r="FY98" s="114">
        <v>10451.80491316651</v>
      </c>
      <c r="FZ98" s="114">
        <v>8814.1823953162911</v>
      </c>
      <c r="GA98" s="114">
        <v>7067.1082090994541</v>
      </c>
      <c r="GB98" s="114">
        <v>11562.590105119183</v>
      </c>
      <c r="GC98" s="114">
        <v>8227.5464584040728</v>
      </c>
      <c r="GD98" s="114">
        <v>8083.4844264845842</v>
      </c>
      <c r="GE98" s="114">
        <v>9572.9772779749292</v>
      </c>
      <c r="GF98" s="114">
        <v>8810.8441757709497</v>
      </c>
      <c r="GG98" s="114">
        <v>10846.882518508603</v>
      </c>
      <c r="GH98" s="114">
        <v>10789.49737702112</v>
      </c>
      <c r="GI98" s="114">
        <v>10901.830898644033</v>
      </c>
      <c r="GJ98" s="114">
        <v>18566.833133654283</v>
      </c>
      <c r="GK98" s="114">
        <v>6013.7351911179303</v>
      </c>
      <c r="GL98" s="114">
        <v>14204.132109992326</v>
      </c>
      <c r="GM98" s="114">
        <v>3700.0958763336712</v>
      </c>
      <c r="GN98" s="114">
        <v>9506.2754225797689</v>
      </c>
      <c r="GO98" s="114">
        <v>12925.466384131536</v>
      </c>
      <c r="GP98" s="114">
        <v>12794.954225411253</v>
      </c>
      <c r="GQ98" s="114">
        <v>4331.6233906099287</v>
      </c>
      <c r="GR98" s="114">
        <v>7941.4446034914645</v>
      </c>
      <c r="GS98" s="114">
        <v>9581.8223763193728</v>
      </c>
      <c r="GT98" s="115">
        <v>13546.153956581269</v>
      </c>
    </row>
    <row r="99" spans="2:202" x14ac:dyDescent="0.6">
      <c r="B99" s="106" t="s">
        <v>87</v>
      </c>
      <c r="C99" s="63" t="s">
        <v>293</v>
      </c>
      <c r="D99" s="113">
        <v>3135.4001310966187</v>
      </c>
      <c r="E99" s="114">
        <v>3024.2420886838227</v>
      </c>
      <c r="F99" s="114">
        <v>3238.9152199020059</v>
      </c>
      <c r="G99" s="114">
        <v>5050.9978469797688</v>
      </c>
      <c r="H99" s="114">
        <v>9690.0819678188691</v>
      </c>
      <c r="I99" s="114">
        <v>12463.366268402558</v>
      </c>
      <c r="J99" s="114">
        <v>1234.550404613808</v>
      </c>
      <c r="K99" s="114">
        <v>14076.251246484593</v>
      </c>
      <c r="L99" s="114">
        <v>2456.0798608946861</v>
      </c>
      <c r="M99" s="114">
        <v>1589.8074483426069</v>
      </c>
      <c r="N99" s="114">
        <v>10495.035960282874</v>
      </c>
      <c r="O99" s="114">
        <v>1561.0790297231538</v>
      </c>
      <c r="P99" s="114">
        <v>5419.7053221266824</v>
      </c>
      <c r="Q99" s="114">
        <v>9698.5886375794016</v>
      </c>
      <c r="R99" s="114">
        <v>2527.9487372203189</v>
      </c>
      <c r="S99" s="114">
        <v>3324.0212866415263</v>
      </c>
      <c r="T99" s="114">
        <v>11938.141824383491</v>
      </c>
      <c r="U99" s="114">
        <v>4444.8997630692529</v>
      </c>
      <c r="V99" s="114">
        <v>5191.8756824808024</v>
      </c>
      <c r="W99" s="114">
        <v>12209.129568352066</v>
      </c>
      <c r="X99" s="114">
        <v>2012.8005596463086</v>
      </c>
      <c r="Y99" s="114">
        <v>6318.350208002149</v>
      </c>
      <c r="Z99" s="114">
        <v>10662.938254842489</v>
      </c>
      <c r="AA99" s="114">
        <v>10325.607180128554</v>
      </c>
      <c r="AB99" s="114">
        <v>8748.53280324138</v>
      </c>
      <c r="AC99" s="114">
        <v>1627.5328840652292</v>
      </c>
      <c r="AD99" s="114">
        <v>4338.500959490485</v>
      </c>
      <c r="AE99" s="114">
        <v>3919.6049180005275</v>
      </c>
      <c r="AF99" s="114">
        <v>6211.3095048459199</v>
      </c>
      <c r="AG99" s="114">
        <v>7368.3372958074069</v>
      </c>
      <c r="AH99" s="114">
        <v>4078.2746819111967</v>
      </c>
      <c r="AI99" s="114">
        <v>4015.9553048493217</v>
      </c>
      <c r="AJ99" s="114">
        <v>9355.4306287083818</v>
      </c>
      <c r="AK99" s="114">
        <v>8998.984570046212</v>
      </c>
      <c r="AL99" s="114">
        <v>3529.5072242580836</v>
      </c>
      <c r="AM99" s="114">
        <v>3046.2896118310373</v>
      </c>
      <c r="AN99" s="114">
        <v>13214.941149315497</v>
      </c>
      <c r="AO99" s="114">
        <v>7912.1975386639797</v>
      </c>
      <c r="AP99" s="114">
        <v>7106.6484981970034</v>
      </c>
      <c r="AQ99" s="114">
        <v>11579.557025320359</v>
      </c>
      <c r="AR99" s="114">
        <v>4846.945697630832</v>
      </c>
      <c r="AS99" s="114">
        <v>4529.1038152612291</v>
      </c>
      <c r="AT99" s="114">
        <v>4515.3002938956379</v>
      </c>
      <c r="AU99" s="114">
        <v>12132.472218954017</v>
      </c>
      <c r="AV99" s="114">
        <v>5041.3868242616172</v>
      </c>
      <c r="AW99" s="114">
        <v>2313.4935069023732</v>
      </c>
      <c r="AX99" s="114">
        <v>11028.684529441034</v>
      </c>
      <c r="AY99" s="114">
        <v>445.54261389947595</v>
      </c>
      <c r="AZ99" s="114">
        <v>2707.2910075689811</v>
      </c>
      <c r="BA99" s="114">
        <v>3211.3316369038239</v>
      </c>
      <c r="BB99" s="114">
        <v>2379.548236333384</v>
      </c>
      <c r="BC99" s="114">
        <v>9749.5410247978525</v>
      </c>
      <c r="BD99" s="114">
        <v>10303.735038655239</v>
      </c>
      <c r="BE99" s="114">
        <v>4524.6729152922544</v>
      </c>
      <c r="BF99" s="114">
        <v>12259.414438925687</v>
      </c>
      <c r="BG99" s="114">
        <v>452.87079283286448</v>
      </c>
      <c r="BH99" s="114">
        <v>12282.509183603503</v>
      </c>
      <c r="BI99" s="114">
        <v>4213.7772243600502</v>
      </c>
      <c r="BJ99" s="114">
        <v>1847.16421098458</v>
      </c>
      <c r="BK99" s="114">
        <v>3183.5387913138529</v>
      </c>
      <c r="BL99" s="114">
        <v>6438.9335211442321</v>
      </c>
      <c r="BM99" s="114">
        <v>2525.2881354489555</v>
      </c>
      <c r="BN99" s="114">
        <v>3271.0946845079316</v>
      </c>
      <c r="BO99" s="114">
        <v>3363.367573011064</v>
      </c>
      <c r="BP99" s="114">
        <v>4444.788081703502</v>
      </c>
      <c r="BQ99" s="114">
        <v>5651.4769400539444</v>
      </c>
      <c r="BR99" s="114">
        <v>1357.0793215600474</v>
      </c>
      <c r="BS99" s="114">
        <v>2925.7422604214803</v>
      </c>
      <c r="BT99" s="114">
        <v>2730.0071018876515</v>
      </c>
      <c r="BU99" s="114">
        <v>3026.908540958907</v>
      </c>
      <c r="BV99" s="114">
        <v>4712.0517894538898</v>
      </c>
      <c r="BW99" s="114">
        <v>1289.0374954413514</v>
      </c>
      <c r="BX99" s="114">
        <v>9982.4593173283429</v>
      </c>
      <c r="BY99" s="114">
        <v>12298.057239176458</v>
      </c>
      <c r="BZ99" s="114">
        <v>5615.6861312156716</v>
      </c>
      <c r="CA99" s="114">
        <v>5667.173894542052</v>
      </c>
      <c r="CB99" s="114">
        <v>9972.3569289824409</v>
      </c>
      <c r="CC99" s="114">
        <v>10522.930017822973</v>
      </c>
      <c r="CD99" s="114">
        <v>12075.57816359557</v>
      </c>
      <c r="CE99" s="114">
        <v>2238.895318501653</v>
      </c>
      <c r="CF99" s="114">
        <v>5302.7763203464901</v>
      </c>
      <c r="CG99" s="114">
        <v>3980.5780589908304</v>
      </c>
      <c r="CH99" s="114">
        <v>4000.1142649032463</v>
      </c>
      <c r="CI99" s="114">
        <v>8581.6022800026203</v>
      </c>
      <c r="CJ99" s="114">
        <v>1523.0914276406138</v>
      </c>
      <c r="CK99" s="114">
        <v>843.84854641267134</v>
      </c>
      <c r="CL99" s="114">
        <v>4095.292972611569</v>
      </c>
      <c r="CM99" s="114">
        <v>6555.5837634352047</v>
      </c>
      <c r="CN99" s="114">
        <v>2341.8798858722457</v>
      </c>
      <c r="CO99" s="114">
        <v>2742.8707361400025</v>
      </c>
      <c r="CP99" s="114">
        <v>10915.446291831471</v>
      </c>
      <c r="CQ99" s="114">
        <v>9143.8396073433923</v>
      </c>
      <c r="CR99" s="114" t="s">
        <v>237</v>
      </c>
      <c r="CS99" s="114">
        <v>3636.3171603907522</v>
      </c>
      <c r="CT99" s="114">
        <v>3641.9301515303096</v>
      </c>
      <c r="CU99" s="114">
        <v>1222.074733898809</v>
      </c>
      <c r="CV99" s="114">
        <v>3627.4449664529466</v>
      </c>
      <c r="CW99" s="114">
        <v>6829.8314986955065</v>
      </c>
      <c r="CX99" s="114">
        <v>2913.1753307934582</v>
      </c>
      <c r="CY99" s="114">
        <v>218.82887639019964</v>
      </c>
      <c r="CZ99" s="114">
        <v>6810.7606221805163</v>
      </c>
      <c r="DA99" s="114">
        <v>5542.350316291695</v>
      </c>
      <c r="DB99" s="114">
        <v>2114.8892804727952</v>
      </c>
      <c r="DC99" s="114">
        <v>2815.5180019996242</v>
      </c>
      <c r="DD99" s="114">
        <v>2665.4324654139564</v>
      </c>
      <c r="DE99" s="114">
        <v>3146.024599859692</v>
      </c>
      <c r="DF99" s="114">
        <v>5713.2876927650213</v>
      </c>
      <c r="DG99" s="114">
        <v>5071.8255537373288</v>
      </c>
      <c r="DH99" s="114">
        <v>7552.4719049958549</v>
      </c>
      <c r="DI99" s="114">
        <v>4991.5956127262043</v>
      </c>
      <c r="DJ99" s="114">
        <v>4887.3340612346256</v>
      </c>
      <c r="DK99" s="114">
        <v>2010.1194379188928</v>
      </c>
      <c r="DL99" s="114">
        <v>6197.0402108416292</v>
      </c>
      <c r="DM99" s="114">
        <v>6211.3676928051773</v>
      </c>
      <c r="DN99" s="114">
        <v>12580.629883878408</v>
      </c>
      <c r="DO99" s="114">
        <v>1808.24354775183</v>
      </c>
      <c r="DP99" s="114">
        <v>2799.5844329767915</v>
      </c>
      <c r="DQ99" s="114">
        <v>6137.9620032808771</v>
      </c>
      <c r="DR99" s="114">
        <v>1876.951842154393</v>
      </c>
      <c r="DS99" s="114">
        <v>3940.8930025327172</v>
      </c>
      <c r="DT99" s="114">
        <v>6363.873087616802</v>
      </c>
      <c r="DU99" s="114">
        <v>6309.5651114884686</v>
      </c>
      <c r="DV99" s="114">
        <v>6310.4076084657181</v>
      </c>
      <c r="DW99" s="114">
        <v>4788.7656981957389</v>
      </c>
      <c r="DX99" s="114">
        <v>3396.2288201153069</v>
      </c>
      <c r="DY99" s="114">
        <v>16250.612576798681</v>
      </c>
      <c r="DZ99" s="114">
        <v>16220.225931889954</v>
      </c>
      <c r="EA99" s="114">
        <v>12141.243935491721</v>
      </c>
      <c r="EB99" s="114">
        <v>3970.6327590518299</v>
      </c>
      <c r="EC99" s="114">
        <v>3839.0470614138067</v>
      </c>
      <c r="ED99" s="114">
        <v>7847.0448309493459</v>
      </c>
      <c r="EE99" s="114">
        <v>1716.1431321883642</v>
      </c>
      <c r="EF99" s="114">
        <v>3625.1777471322921</v>
      </c>
      <c r="EG99" s="114">
        <v>2424.6083735797479</v>
      </c>
      <c r="EH99" s="114">
        <v>3167.5377850568207</v>
      </c>
      <c r="EI99" s="114">
        <v>3511.6688282020059</v>
      </c>
      <c r="EJ99" s="114">
        <v>11753.79116455236</v>
      </c>
      <c r="EK99" s="114">
        <v>11683.549062579657</v>
      </c>
      <c r="EL99" s="114">
        <v>12825.587325785413</v>
      </c>
      <c r="EM99" s="114">
        <v>8755.6713550852</v>
      </c>
      <c r="EN99" s="114">
        <v>2572.2006710304722</v>
      </c>
      <c r="EO99" s="114">
        <v>4094.7636528309035</v>
      </c>
      <c r="EP99" s="114">
        <v>1703.143840199841</v>
      </c>
      <c r="EQ99" s="114">
        <v>1633.5637926891966</v>
      </c>
      <c r="ER99" s="114">
        <v>2694.328218970506</v>
      </c>
      <c r="ES99" s="114">
        <v>3732.3181403641006</v>
      </c>
      <c r="ET99" s="114">
        <v>9740.1027858406469</v>
      </c>
      <c r="EU99" s="114">
        <v>9759.0563296529217</v>
      </c>
      <c r="EV99" s="114">
        <v>9861.028610937934</v>
      </c>
      <c r="EW99" s="114">
        <v>2428.9377571716741</v>
      </c>
      <c r="EX99" s="114">
        <v>4651.0581836514912</v>
      </c>
      <c r="EY99" s="114">
        <v>1332.5862111578299</v>
      </c>
      <c r="EZ99" s="114">
        <v>5676.6577459745104</v>
      </c>
      <c r="FA99" s="114">
        <v>1949.9982278231016</v>
      </c>
      <c r="FB99" s="114">
        <v>5647.9641686944578</v>
      </c>
      <c r="FC99" s="114">
        <v>7883.2113831918632</v>
      </c>
      <c r="FD99" s="114">
        <v>2407.8912123237778</v>
      </c>
      <c r="FE99" s="114">
        <v>2427.3938321439891</v>
      </c>
      <c r="FF99" s="114">
        <v>3440.7286060268134</v>
      </c>
      <c r="FG99" s="114">
        <v>6387.7770663995234</v>
      </c>
      <c r="FH99" s="114">
        <v>8027.9640323220128</v>
      </c>
      <c r="FI99" s="114">
        <v>2999.2177813787175</v>
      </c>
      <c r="FJ99" s="114">
        <v>3608.4603346373083</v>
      </c>
      <c r="FK99" s="114">
        <v>3151.6347460820984</v>
      </c>
      <c r="FL99" s="114">
        <v>5346.7232098567783</v>
      </c>
      <c r="FM99" s="114">
        <v>1836.4237831338351</v>
      </c>
      <c r="FN99" s="114">
        <v>9746.2454063225396</v>
      </c>
      <c r="FO99" s="114">
        <v>3338.8171728386333</v>
      </c>
      <c r="FP99" s="114">
        <v>2928.4115279810717</v>
      </c>
      <c r="FQ99" s="114">
        <v>202.09171702122276</v>
      </c>
      <c r="FR99" s="114">
        <v>8234.170513031313</v>
      </c>
      <c r="FS99" s="114">
        <v>3078.9596070858352</v>
      </c>
      <c r="FT99" s="114">
        <v>4286.4019329522243</v>
      </c>
      <c r="FU99" s="114">
        <v>6855.2108094019668</v>
      </c>
      <c r="FV99" s="114">
        <v>10468.240296887723</v>
      </c>
      <c r="FW99" s="114">
        <v>4553.8335638189892</v>
      </c>
      <c r="FX99" s="114">
        <v>10042.974907570491</v>
      </c>
      <c r="FY99" s="114">
        <v>2397.1633358974796</v>
      </c>
      <c r="FZ99" s="114">
        <v>929.33190283312149</v>
      </c>
      <c r="GA99" s="114">
        <v>2124.5917884059486</v>
      </c>
      <c r="GB99" s="114">
        <v>3504.6125731563225</v>
      </c>
      <c r="GC99" s="114">
        <v>2127.345209759183</v>
      </c>
      <c r="GD99" s="114">
        <v>2004.3615292325667</v>
      </c>
      <c r="GE99" s="114">
        <v>3634.201398605428</v>
      </c>
      <c r="GF99" s="114">
        <v>12217.940385804577</v>
      </c>
      <c r="GG99" s="114">
        <v>9204.9887346410833</v>
      </c>
      <c r="GH99" s="114">
        <v>8899.0255156023995</v>
      </c>
      <c r="GI99" s="114">
        <v>9531.381308788883</v>
      </c>
      <c r="GJ99" s="114">
        <v>12059.305674088006</v>
      </c>
      <c r="GK99" s="114">
        <v>3167.6126949302516</v>
      </c>
      <c r="GL99" s="114">
        <v>10528.493804445865</v>
      </c>
      <c r="GM99" s="114">
        <v>6960.3506877582158</v>
      </c>
      <c r="GN99" s="114">
        <v>2004.7139979756048</v>
      </c>
      <c r="GO99" s="114">
        <v>5268.3619306665369</v>
      </c>
      <c r="GP99" s="114">
        <v>5469.6744390878466</v>
      </c>
      <c r="GQ99" s="114">
        <v>7598.0017789366329</v>
      </c>
      <c r="GR99" s="114">
        <v>13954.424809371638</v>
      </c>
      <c r="GS99" s="114">
        <v>2882.248891966341</v>
      </c>
      <c r="GT99" s="115">
        <v>6472.6861463386394</v>
      </c>
    </row>
    <row r="100" spans="2:202" x14ac:dyDescent="0.6">
      <c r="B100" s="106" t="s">
        <v>88</v>
      </c>
      <c r="C100" s="63" t="s">
        <v>537</v>
      </c>
      <c r="D100" s="113">
        <v>1878.6249619128876</v>
      </c>
      <c r="E100" s="114">
        <v>5503.4103267995606</v>
      </c>
      <c r="F100" s="114">
        <v>5218.7392201332941</v>
      </c>
      <c r="G100" s="114">
        <v>8641.9813790620465</v>
      </c>
      <c r="H100" s="114">
        <v>11168.83469484088</v>
      </c>
      <c r="I100" s="114">
        <v>15859.942489573539</v>
      </c>
      <c r="J100" s="114">
        <v>2409.8527001034731</v>
      </c>
      <c r="K100" s="114">
        <v>12220.940378828322</v>
      </c>
      <c r="L100" s="114">
        <v>3888.9941835411023</v>
      </c>
      <c r="M100" s="114">
        <v>2059.8804497646697</v>
      </c>
      <c r="N100" s="114">
        <v>11002.582787991947</v>
      </c>
      <c r="O100" s="114">
        <v>3299.6540615707913</v>
      </c>
      <c r="P100" s="114">
        <v>3481.412852064072</v>
      </c>
      <c r="Q100" s="114">
        <v>11436.268344368527</v>
      </c>
      <c r="R100" s="114">
        <v>2955.3754148229491</v>
      </c>
      <c r="S100" s="114">
        <v>4545.8778821899969</v>
      </c>
      <c r="T100" s="114">
        <v>12166.634020709274</v>
      </c>
      <c r="U100" s="114">
        <v>8003.5508875497626</v>
      </c>
      <c r="V100" s="114">
        <v>3054.3110605321713</v>
      </c>
      <c r="W100" s="114">
        <v>14728.104335606231</v>
      </c>
      <c r="X100" s="114">
        <v>3995.7036454955878</v>
      </c>
      <c r="Y100" s="114">
        <v>9517.0006471533743</v>
      </c>
      <c r="Z100" s="114">
        <v>13955.170097852048</v>
      </c>
      <c r="AA100" s="114">
        <v>13661.080516327704</v>
      </c>
      <c r="AB100" s="114">
        <v>6568.8392219671441</v>
      </c>
      <c r="AC100" s="114">
        <v>3715.451023875276</v>
      </c>
      <c r="AD100" s="114">
        <v>7747.2789493000264</v>
      </c>
      <c r="AE100" s="114">
        <v>7230.7649287658223</v>
      </c>
      <c r="AF100" s="114">
        <v>9031.3663440361142</v>
      </c>
      <c r="AG100" s="114">
        <v>5346.0986903386538</v>
      </c>
      <c r="AH100" s="114">
        <v>7709.6419623238426</v>
      </c>
      <c r="AI100" s="114">
        <v>7651.8816098824973</v>
      </c>
      <c r="AJ100" s="114">
        <v>9101.3169528152957</v>
      </c>
      <c r="AK100" s="114">
        <v>8832.2748154899837</v>
      </c>
      <c r="AL100" s="114">
        <v>7142.2740786931854</v>
      </c>
      <c r="AM100" s="114">
        <v>6670.5839785883854</v>
      </c>
      <c r="AN100" s="114">
        <v>16346.8135312717</v>
      </c>
      <c r="AO100" s="114">
        <v>4628.9944057754583</v>
      </c>
      <c r="AP100" s="114">
        <v>3671.1042639001107</v>
      </c>
      <c r="AQ100" s="114">
        <v>13023.483463387054</v>
      </c>
      <c r="AR100" s="114">
        <v>7462.1307445818939</v>
      </c>
      <c r="AS100" s="114">
        <v>8122.7078752804728</v>
      </c>
      <c r="AT100" s="114">
        <v>8112.2559331702987</v>
      </c>
      <c r="AU100" s="114">
        <v>12864.667945998695</v>
      </c>
      <c r="AV100" s="114">
        <v>8523.0870939384658</v>
      </c>
      <c r="AW100" s="114">
        <v>4067.9055909077701</v>
      </c>
      <c r="AX100" s="114">
        <v>11368.585841791106</v>
      </c>
      <c r="AY100" s="114">
        <v>3509.5586659847008</v>
      </c>
      <c r="AZ100" s="114">
        <v>3929.4974468464779</v>
      </c>
      <c r="BA100" s="114">
        <v>3832.0298011878072</v>
      </c>
      <c r="BB100" s="114">
        <v>5173.4038796424584</v>
      </c>
      <c r="BC100" s="114">
        <v>11327.278509289574</v>
      </c>
      <c r="BD100" s="114">
        <v>11409.322270799983</v>
      </c>
      <c r="BE100" s="114">
        <v>8120.6926604547252</v>
      </c>
      <c r="BF100" s="114">
        <v>13671.662591824212</v>
      </c>
      <c r="BG100" s="114">
        <v>4048.2987041838683</v>
      </c>
      <c r="BH100" s="114">
        <v>12595.405379403972</v>
      </c>
      <c r="BI100" s="114">
        <v>7842.3087573855164</v>
      </c>
      <c r="BJ100" s="114">
        <v>4944.9488230188635</v>
      </c>
      <c r="BK100" s="114">
        <v>3036.9712556934533</v>
      </c>
      <c r="BL100" s="114">
        <v>9453.7041027834748</v>
      </c>
      <c r="BM100" s="114">
        <v>5559.144041649527</v>
      </c>
      <c r="BN100" s="114">
        <v>3001.6112834809178</v>
      </c>
      <c r="BO100" s="114">
        <v>4781.802548280195</v>
      </c>
      <c r="BP100" s="114">
        <v>8080.9236790735586</v>
      </c>
      <c r="BQ100" s="114">
        <v>8703.242263982278</v>
      </c>
      <c r="BR100" s="114">
        <v>2305.799696695145</v>
      </c>
      <c r="BS100" s="114">
        <v>3893.7585071686831</v>
      </c>
      <c r="BT100" s="114">
        <v>4195.4045165255638</v>
      </c>
      <c r="BU100" s="114">
        <v>4283.6088434625062</v>
      </c>
      <c r="BV100" s="114">
        <v>8249.8788730509168</v>
      </c>
      <c r="BW100" s="114">
        <v>4006.900241611711</v>
      </c>
      <c r="BX100" s="114">
        <v>11661.152784135153</v>
      </c>
      <c r="BY100" s="114">
        <v>12513.883350897147</v>
      </c>
      <c r="BZ100" s="114">
        <v>8842.117756847947</v>
      </c>
      <c r="CA100" s="114">
        <v>8793.6489661945689</v>
      </c>
      <c r="CB100" s="114">
        <v>12002.86857695399</v>
      </c>
      <c r="CC100" s="114">
        <v>11507.943360409281</v>
      </c>
      <c r="CD100" s="114">
        <v>12474.56516955609</v>
      </c>
      <c r="CE100" s="114">
        <v>3739.6414152061061</v>
      </c>
      <c r="CF100" s="114">
        <v>5188.2287850404446</v>
      </c>
      <c r="CG100" s="114">
        <v>3563.9809294490501</v>
      </c>
      <c r="CH100" s="114">
        <v>2574.1756209581549</v>
      </c>
      <c r="CI100" s="114">
        <v>7187.6419554648173</v>
      </c>
      <c r="CJ100" s="114">
        <v>2362.5699010555945</v>
      </c>
      <c r="CK100" s="114">
        <v>2955.3827229665048</v>
      </c>
      <c r="CL100" s="114">
        <v>5023.0544811355549</v>
      </c>
      <c r="CM100" s="114">
        <v>8343.5194072788581</v>
      </c>
      <c r="CN100" s="114">
        <v>4525.9960441173725</v>
      </c>
      <c r="CO100" s="114">
        <v>4499.9072357988416</v>
      </c>
      <c r="CP100" s="114">
        <v>11715.479032590441</v>
      </c>
      <c r="CQ100" s="114">
        <v>5572.7449810544167</v>
      </c>
      <c r="CR100" s="114">
        <v>3636.3171603907522</v>
      </c>
      <c r="CS100" s="114" t="s">
        <v>237</v>
      </c>
      <c r="CT100" s="114">
        <v>6675.1683948726404</v>
      </c>
      <c r="CU100" s="114">
        <v>3101.5321973763234</v>
      </c>
      <c r="CV100" s="114">
        <v>981.4828375025902</v>
      </c>
      <c r="CW100" s="114">
        <v>4621.9614648375882</v>
      </c>
      <c r="CX100" s="114">
        <v>3093.5896027526128</v>
      </c>
      <c r="CY100" s="114">
        <v>3493.0088927303341</v>
      </c>
      <c r="CZ100" s="114">
        <v>9912.2554564095426</v>
      </c>
      <c r="DA100" s="114">
        <v>8898.8270648539929</v>
      </c>
      <c r="DB100" s="114">
        <v>5094.9402279251362</v>
      </c>
      <c r="DC100" s="114">
        <v>4401.0855350641577</v>
      </c>
      <c r="DD100" s="114">
        <v>3069.2530095052903</v>
      </c>
      <c r="DE100" s="114">
        <v>4486.8833474729017</v>
      </c>
      <c r="DF100" s="114">
        <v>8090.8652957052718</v>
      </c>
      <c r="DG100" s="114">
        <v>8112.7449130877139</v>
      </c>
      <c r="DH100" s="114">
        <v>6030.7984252180186</v>
      </c>
      <c r="DI100" s="114">
        <v>5240.5331035168665</v>
      </c>
      <c r="DJ100" s="114">
        <v>8166.621866686296</v>
      </c>
      <c r="DK100" s="114">
        <v>4787.0689101031412</v>
      </c>
      <c r="DL100" s="114">
        <v>8034.607431135013</v>
      </c>
      <c r="DM100" s="114">
        <v>8038.1146609490643</v>
      </c>
      <c r="DN100" s="114">
        <v>12141.971884669569</v>
      </c>
      <c r="DO100" s="114">
        <v>3081.6327620976222</v>
      </c>
      <c r="DP100" s="114">
        <v>4720.5765680512004</v>
      </c>
      <c r="DQ100" s="114">
        <v>2570.1066195541589</v>
      </c>
      <c r="DR100" s="114">
        <v>3989.5265868772135</v>
      </c>
      <c r="DS100" s="114">
        <v>6355.2713793001221</v>
      </c>
      <c r="DT100" s="114">
        <v>9341.9233317454637</v>
      </c>
      <c r="DU100" s="114">
        <v>4441.7226513847645</v>
      </c>
      <c r="DV100" s="114">
        <v>9731.5525075248388</v>
      </c>
      <c r="DW100" s="114">
        <v>2877.9553656273424</v>
      </c>
      <c r="DX100" s="114">
        <v>4438.8306540622016</v>
      </c>
      <c r="DY100" s="114">
        <v>13980.067553307492</v>
      </c>
      <c r="DZ100" s="114">
        <v>14265.057983288172</v>
      </c>
      <c r="EA100" s="114">
        <v>12662.406561847989</v>
      </c>
      <c r="EB100" s="114">
        <v>7418.5498416572527</v>
      </c>
      <c r="EC100" s="114">
        <v>7424.2061306907253</v>
      </c>
      <c r="ED100" s="114">
        <v>4336.066950796705</v>
      </c>
      <c r="EE100" s="114">
        <v>3876.6177647448399</v>
      </c>
      <c r="EF100" s="114">
        <v>3816.0364366406434</v>
      </c>
      <c r="EG100" s="114">
        <v>3278.2364107142516</v>
      </c>
      <c r="EH100" s="114">
        <v>2934.8718803803599</v>
      </c>
      <c r="EI100" s="114">
        <v>1973.5637812985349</v>
      </c>
      <c r="EJ100" s="114">
        <v>12757.406780427382</v>
      </c>
      <c r="EK100" s="114">
        <v>14814.31914246935</v>
      </c>
      <c r="EL100" s="114">
        <v>14809.953303101154</v>
      </c>
      <c r="EM100" s="114">
        <v>6011.1718231385812</v>
      </c>
      <c r="EN100" s="114">
        <v>3404.4992658716469</v>
      </c>
      <c r="EO100" s="114">
        <v>6177.0379650870473</v>
      </c>
      <c r="EP100" s="114">
        <v>3348.0634298719297</v>
      </c>
      <c r="EQ100" s="114">
        <v>3410.7198275514033</v>
      </c>
      <c r="ER100" s="114">
        <v>2266.6315439144146</v>
      </c>
      <c r="ES100" s="114">
        <v>7031.78690607509</v>
      </c>
      <c r="ET100" s="114">
        <v>11192.987261681481</v>
      </c>
      <c r="EU100" s="114">
        <v>11408.875842848616</v>
      </c>
      <c r="EV100" s="114">
        <v>11525.599378146646</v>
      </c>
      <c r="EW100" s="114">
        <v>4402.3577905250404</v>
      </c>
      <c r="EX100" s="114">
        <v>8281.3652652271703</v>
      </c>
      <c r="EY100" s="114">
        <v>3649.4023810833123</v>
      </c>
      <c r="EZ100" s="114">
        <v>8674.4374426625527</v>
      </c>
      <c r="FA100" s="114">
        <v>3795.0189745555144</v>
      </c>
      <c r="FB100" s="114">
        <v>8904.7982882458637</v>
      </c>
      <c r="FC100" s="114">
        <v>6314.6906414368559</v>
      </c>
      <c r="FD100" s="114">
        <v>3833.218621855608</v>
      </c>
      <c r="FE100" s="114">
        <v>4123.0443522660571</v>
      </c>
      <c r="FF100" s="114">
        <v>5977.1968150785015</v>
      </c>
      <c r="FG100" s="114">
        <v>9502.3841096762044</v>
      </c>
      <c r="FH100" s="114">
        <v>4539.0069845504804</v>
      </c>
      <c r="FI100" s="114">
        <v>6319.2520072473053</v>
      </c>
      <c r="FJ100" s="114">
        <v>5674.3242997701</v>
      </c>
      <c r="FK100" s="114">
        <v>5222.8156716178764</v>
      </c>
      <c r="FL100" s="114">
        <v>4974.9878844376663</v>
      </c>
      <c r="FM100" s="114">
        <v>5273.7139541572124</v>
      </c>
      <c r="FN100" s="114">
        <v>11924.299559945823</v>
      </c>
      <c r="FO100" s="114">
        <v>3402.1220450081805</v>
      </c>
      <c r="FP100" s="114">
        <v>4563.1328973022055</v>
      </c>
      <c r="FQ100" s="114">
        <v>3454.3157741190571</v>
      </c>
      <c r="FR100" s="114">
        <v>5129.5224971962398</v>
      </c>
      <c r="FS100" s="114">
        <v>1437.0520487396388</v>
      </c>
      <c r="FT100" s="114">
        <v>7130.154754731253</v>
      </c>
      <c r="FU100" s="114">
        <v>4930.5913751466678</v>
      </c>
      <c r="FV100" s="114">
        <v>8377.7011037905377</v>
      </c>
      <c r="FW100" s="114">
        <v>8099.0206479218723</v>
      </c>
      <c r="FX100" s="114">
        <v>11785.294570107761</v>
      </c>
      <c r="FY100" s="114">
        <v>5012.1204607911268</v>
      </c>
      <c r="FZ100" s="114">
        <v>3243.032658906121</v>
      </c>
      <c r="GA100" s="114">
        <v>1815.0470481031759</v>
      </c>
      <c r="GB100" s="114">
        <v>6739.6644127215441</v>
      </c>
      <c r="GC100" s="114">
        <v>2852.6796789609866</v>
      </c>
      <c r="GD100" s="114">
        <v>3321.0778003660557</v>
      </c>
      <c r="GE100" s="114">
        <v>4763.480424298511</v>
      </c>
      <c r="GF100" s="114">
        <v>10500.565344726221</v>
      </c>
      <c r="GG100" s="114">
        <v>9265.1520359767146</v>
      </c>
      <c r="GH100" s="114">
        <v>9003.5418957817128</v>
      </c>
      <c r="GI100" s="114">
        <v>9542.4394508751193</v>
      </c>
      <c r="GJ100" s="114">
        <v>15460.889989640207</v>
      </c>
      <c r="GK100" s="114">
        <v>1113.6609987262866</v>
      </c>
      <c r="GL100" s="114">
        <v>12075.448807114253</v>
      </c>
      <c r="GM100" s="114">
        <v>4465.5727043692541</v>
      </c>
      <c r="GN100" s="114">
        <v>4650.0914971732236</v>
      </c>
      <c r="GO100" s="114">
        <v>8483.6245148201269</v>
      </c>
      <c r="GP100" s="114">
        <v>8568.5089476042667</v>
      </c>
      <c r="GQ100" s="114">
        <v>5505.0337492399894</v>
      </c>
      <c r="GR100" s="114">
        <v>12220.714059223985</v>
      </c>
      <c r="GS100" s="114">
        <v>4435.3190363279336</v>
      </c>
      <c r="GT100" s="115">
        <v>9582.3437169561676</v>
      </c>
    </row>
    <row r="101" spans="2:202" x14ac:dyDescent="0.6">
      <c r="B101" s="106" t="s">
        <v>89</v>
      </c>
      <c r="C101" s="63" t="s">
        <v>471</v>
      </c>
      <c r="D101" s="113">
        <v>5206.6482165387924</v>
      </c>
      <c r="E101" s="114">
        <v>5419.2077095536124</v>
      </c>
      <c r="F101" s="114">
        <v>5981.4131490337759</v>
      </c>
      <c r="G101" s="114">
        <v>2708.5537137076353</v>
      </c>
      <c r="H101" s="114">
        <v>10929.918460061395</v>
      </c>
      <c r="I101" s="114">
        <v>10510.399023837674</v>
      </c>
      <c r="J101" s="114">
        <v>4657.4653447004694</v>
      </c>
      <c r="K101" s="114">
        <v>12171.35413076117</v>
      </c>
      <c r="L101" s="114">
        <v>5820.2426546888919</v>
      </c>
      <c r="M101" s="114">
        <v>4797.4444512367345</v>
      </c>
      <c r="N101" s="114">
        <v>12438.815036366377</v>
      </c>
      <c r="O101" s="114">
        <v>3375.8918003803037</v>
      </c>
      <c r="P101" s="114">
        <v>6419.0967171109851</v>
      </c>
      <c r="Q101" s="114">
        <v>10662.989286678752</v>
      </c>
      <c r="R101" s="114">
        <v>6140.4951944766599</v>
      </c>
      <c r="S101" s="114">
        <v>6509.7741322338725</v>
      </c>
      <c r="T101" s="114">
        <v>13724.600037696146</v>
      </c>
      <c r="U101" s="114">
        <v>3869.3360877022974</v>
      </c>
      <c r="V101" s="114">
        <v>6481.5036216287372</v>
      </c>
      <c r="W101" s="114">
        <v>11525.346917640883</v>
      </c>
      <c r="X101" s="114">
        <v>5290.537033763223</v>
      </c>
      <c r="Y101" s="114">
        <v>2842.1361962790807</v>
      </c>
      <c r="Z101" s="114">
        <v>9254.3180647091722</v>
      </c>
      <c r="AA101" s="114">
        <v>8897.4588315770288</v>
      </c>
      <c r="AB101" s="114">
        <v>8745.7764366612519</v>
      </c>
      <c r="AC101" s="114">
        <v>5029.872210392793</v>
      </c>
      <c r="AD101" s="114">
        <v>4426.3306481707659</v>
      </c>
      <c r="AE101" s="114">
        <v>840.74374016675506</v>
      </c>
      <c r="AF101" s="114">
        <v>6816.7817502705047</v>
      </c>
      <c r="AG101" s="114">
        <v>7641.4871411625963</v>
      </c>
      <c r="AH101" s="114">
        <v>3031.3841829299668</v>
      </c>
      <c r="AI101" s="114">
        <v>2840.8277929218862</v>
      </c>
      <c r="AJ101" s="114">
        <v>12147.381147426568</v>
      </c>
      <c r="AK101" s="114">
        <v>11795.350067762212</v>
      </c>
      <c r="AL101" s="114">
        <v>2102.0738281172803</v>
      </c>
      <c r="AM101" s="114">
        <v>2832.0391865909351</v>
      </c>
      <c r="AN101" s="114">
        <v>11496.688022976885</v>
      </c>
      <c r="AO101" s="114">
        <v>9597.8619363623584</v>
      </c>
      <c r="AP101" s="114">
        <v>9211.817875977049</v>
      </c>
      <c r="AQ101" s="114">
        <v>12288.006736009276</v>
      </c>
      <c r="AR101" s="114">
        <v>1355.5680076387487</v>
      </c>
      <c r="AS101" s="114">
        <v>2376.6348606335268</v>
      </c>
      <c r="AT101" s="114">
        <v>2394.4496924253222</v>
      </c>
      <c r="AU101" s="114">
        <v>13371.291933560211</v>
      </c>
      <c r="AV101" s="114">
        <v>4556.272513133692</v>
      </c>
      <c r="AW101" s="114">
        <v>5582.130089958845</v>
      </c>
      <c r="AX101" s="114">
        <v>12979.151603670631</v>
      </c>
      <c r="AY101" s="114">
        <v>4047.0131526012283</v>
      </c>
      <c r="AZ101" s="114">
        <v>6077.4447937187406</v>
      </c>
      <c r="BA101" s="114">
        <v>6663.331870949014</v>
      </c>
      <c r="BB101" s="114">
        <v>1501.7902447714903</v>
      </c>
      <c r="BC101" s="114">
        <v>10870.000772762723</v>
      </c>
      <c r="BD101" s="114">
        <v>11743.829497397208</v>
      </c>
      <c r="BE101" s="114">
        <v>2392.7147811290588</v>
      </c>
      <c r="BF101" s="114">
        <v>12767.51350612112</v>
      </c>
      <c r="BG101" s="114">
        <v>3513.0217673910756</v>
      </c>
      <c r="BH101" s="114">
        <v>13876.347316610889</v>
      </c>
      <c r="BI101" s="114">
        <v>3151.9051590232452</v>
      </c>
      <c r="BJ101" s="114">
        <v>1833.3364270504717</v>
      </c>
      <c r="BK101" s="114">
        <v>6796.6968376667082</v>
      </c>
      <c r="BL101" s="114">
        <v>2840.8336480614876</v>
      </c>
      <c r="BM101" s="114">
        <v>1153.27979934973</v>
      </c>
      <c r="BN101" s="114">
        <v>6890.1732241529917</v>
      </c>
      <c r="BO101" s="114">
        <v>6432.8150606671743</v>
      </c>
      <c r="BP101" s="114">
        <v>3030.6646944338945</v>
      </c>
      <c r="BQ101" s="114">
        <v>6045.7694024047332</v>
      </c>
      <c r="BR101" s="114">
        <v>4805.5111255722941</v>
      </c>
      <c r="BS101" s="114">
        <v>6330.2242313801671</v>
      </c>
      <c r="BT101" s="114">
        <v>5986.933207845188</v>
      </c>
      <c r="BU101" s="114">
        <v>6285.7709698895669</v>
      </c>
      <c r="BV101" s="114">
        <v>4122.3014843108085</v>
      </c>
      <c r="BW101" s="114">
        <v>4512.1310633524181</v>
      </c>
      <c r="BX101" s="114">
        <v>10929.456639995951</v>
      </c>
      <c r="BY101" s="114">
        <v>13979.287333855518</v>
      </c>
      <c r="BZ101" s="114">
        <v>5654.4994001204741</v>
      </c>
      <c r="CA101" s="114">
        <v>5906.4241246903275</v>
      </c>
      <c r="CB101" s="114">
        <v>10530.413727225949</v>
      </c>
      <c r="CC101" s="114">
        <v>12017.58214780193</v>
      </c>
      <c r="CD101" s="114">
        <v>13656.672326095195</v>
      </c>
      <c r="CE101" s="114">
        <v>5648.9043400364844</v>
      </c>
      <c r="CF101" s="114">
        <v>8641.8035922713461</v>
      </c>
      <c r="CG101" s="114">
        <v>4567.3123559097285</v>
      </c>
      <c r="CH101" s="114">
        <v>5434.352134210224</v>
      </c>
      <c r="CI101" s="114">
        <v>7773.6810204646099</v>
      </c>
      <c r="CJ101" s="114">
        <v>4352.0616297051429</v>
      </c>
      <c r="CK101" s="114">
        <v>3908.7048824320432</v>
      </c>
      <c r="CL101" s="114">
        <v>7216.6855884583965</v>
      </c>
      <c r="CM101" s="114">
        <v>8344.876899196448</v>
      </c>
      <c r="CN101" s="114">
        <v>5337.738938422689</v>
      </c>
      <c r="CO101" s="114">
        <v>5838.9715591026461</v>
      </c>
      <c r="CP101" s="114">
        <v>12473.960971875606</v>
      </c>
      <c r="CQ101" s="114">
        <v>11280.307689579487</v>
      </c>
      <c r="CR101" s="114">
        <v>3641.9301515303096</v>
      </c>
      <c r="CS101" s="114">
        <v>6675.1683948726404</v>
      </c>
      <c r="CT101" s="114" t="s">
        <v>237</v>
      </c>
      <c r="CU101" s="114">
        <v>3602.683090253608</v>
      </c>
      <c r="CV101" s="114">
        <v>6167.944849296352</v>
      </c>
      <c r="CW101" s="114">
        <v>7495.0176573139443</v>
      </c>
      <c r="CX101" s="114">
        <v>6512.4381573782521</v>
      </c>
      <c r="CY101" s="114">
        <v>3860.408119799898</v>
      </c>
      <c r="CZ101" s="114">
        <v>3263.0050476203246</v>
      </c>
      <c r="DA101" s="114">
        <v>5275.3666653973032</v>
      </c>
      <c r="DB101" s="114">
        <v>4478.6314874088548</v>
      </c>
      <c r="DC101" s="114">
        <v>5981.1050120543323</v>
      </c>
      <c r="DD101" s="114">
        <v>6263.5321407856991</v>
      </c>
      <c r="DE101" s="114">
        <v>6327.0950638732484</v>
      </c>
      <c r="DF101" s="114">
        <v>2265.0744830130084</v>
      </c>
      <c r="DG101" s="114">
        <v>1464.2860352282298</v>
      </c>
      <c r="DH101" s="114">
        <v>7231.4669217297433</v>
      </c>
      <c r="DI101" s="114">
        <v>4129.4912344508002</v>
      </c>
      <c r="DJ101" s="114">
        <v>5086.5939685205458</v>
      </c>
      <c r="DK101" s="114">
        <v>4685.5899926687571</v>
      </c>
      <c r="DL101" s="114">
        <v>3090.8618102980718</v>
      </c>
      <c r="DM101" s="114">
        <v>3111.1574853916723</v>
      </c>
      <c r="DN101" s="114">
        <v>14780.885588929692</v>
      </c>
      <c r="DO101" s="114">
        <v>5408.6567205625661</v>
      </c>
      <c r="DP101" s="114">
        <v>5768.6467649612559</v>
      </c>
      <c r="DQ101" s="114">
        <v>8664.968396248998</v>
      </c>
      <c r="DR101" s="114">
        <v>5147.4605922214942</v>
      </c>
      <c r="DS101" s="114">
        <v>5975.7122939071351</v>
      </c>
      <c r="DT101" s="114">
        <v>2750.6669150496309</v>
      </c>
      <c r="DU101" s="114">
        <v>6834.5360085438133</v>
      </c>
      <c r="DV101" s="114">
        <v>3156.7893378261674</v>
      </c>
      <c r="DW101" s="114">
        <v>6097.421390559115</v>
      </c>
      <c r="DX101" s="114">
        <v>6645.8118857732698</v>
      </c>
      <c r="DY101" s="114">
        <v>13987.373210058979</v>
      </c>
      <c r="DZ101" s="114">
        <v>13679.502260927375</v>
      </c>
      <c r="EA101" s="114">
        <v>13582.822226595004</v>
      </c>
      <c r="EB101" s="114">
        <v>4120.5552237919519</v>
      </c>
      <c r="EC101" s="114">
        <v>3424.3049612790692</v>
      </c>
      <c r="ED101" s="114">
        <v>9987.7586735735877</v>
      </c>
      <c r="EE101" s="114">
        <v>5039.3123866533069</v>
      </c>
      <c r="EF101" s="114">
        <v>7121.3553771015277</v>
      </c>
      <c r="EG101" s="114">
        <v>3611.8220006589117</v>
      </c>
      <c r="EH101" s="114">
        <v>4389.2630327447114</v>
      </c>
      <c r="EI101" s="114">
        <v>5426.4201710594762</v>
      </c>
      <c r="EJ101" s="114">
        <v>12852.756269747026</v>
      </c>
      <c r="EK101" s="114">
        <v>10332.771394134261</v>
      </c>
      <c r="EL101" s="114">
        <v>12528.144345261262</v>
      </c>
      <c r="EM101" s="114">
        <v>9450.0017377845088</v>
      </c>
      <c r="EN101" s="114">
        <v>6101.8325756697941</v>
      </c>
      <c r="EO101" s="114">
        <v>6406.8246950987614</v>
      </c>
      <c r="EP101" s="114">
        <v>3335.8724260786444</v>
      </c>
      <c r="EQ101" s="114">
        <v>5156.6288793153644</v>
      </c>
      <c r="ER101" s="114">
        <v>6330.702765130527</v>
      </c>
      <c r="ES101" s="114">
        <v>717.40752001472038</v>
      </c>
      <c r="ET101" s="114">
        <v>10992.450073802351</v>
      </c>
      <c r="EU101" s="114">
        <v>10800.672485416935</v>
      </c>
      <c r="EV101" s="114">
        <v>10857.910719453925</v>
      </c>
      <c r="EW101" s="114">
        <v>5524.8168541267878</v>
      </c>
      <c r="EX101" s="114">
        <v>3348.6162395877686</v>
      </c>
      <c r="EY101" s="114">
        <v>3039.7891886740422</v>
      </c>
      <c r="EZ101" s="114">
        <v>6163.3478879511631</v>
      </c>
      <c r="FA101" s="114">
        <v>5323.1423387244076</v>
      </c>
      <c r="FB101" s="114">
        <v>5602.8322265335246</v>
      </c>
      <c r="FC101" s="114">
        <v>7492.4648195901491</v>
      </c>
      <c r="FD101" s="114">
        <v>5791.144054512346</v>
      </c>
      <c r="FE101" s="114">
        <v>5680.9791240130553</v>
      </c>
      <c r="FF101" s="114">
        <v>1037.5438917426609</v>
      </c>
      <c r="FG101" s="114">
        <v>2843.7503263667732</v>
      </c>
      <c r="FH101" s="114">
        <v>10088.164496605374</v>
      </c>
      <c r="FI101" s="114">
        <v>862.77782973972057</v>
      </c>
      <c r="FJ101" s="114">
        <v>6128.3327777815666</v>
      </c>
      <c r="FK101" s="114">
        <v>5858.8360329173011</v>
      </c>
      <c r="FL101" s="114">
        <v>4896.7771383191566</v>
      </c>
      <c r="FM101" s="114">
        <v>1887.9163943870847</v>
      </c>
      <c r="FN101" s="114">
        <v>10194.859396661994</v>
      </c>
      <c r="FO101" s="114">
        <v>6904.0959110363092</v>
      </c>
      <c r="FP101" s="114">
        <v>6025.2367402154623</v>
      </c>
      <c r="FQ101" s="114">
        <v>3833.0180609788626</v>
      </c>
      <c r="FR101" s="114">
        <v>9567.8055789933715</v>
      </c>
      <c r="FS101" s="114">
        <v>5478.9504566464248</v>
      </c>
      <c r="FT101" s="114">
        <v>700.22294019796163</v>
      </c>
      <c r="FU101" s="114">
        <v>7216.1715828422321</v>
      </c>
      <c r="FV101" s="114">
        <v>9858.9704924949147</v>
      </c>
      <c r="FW101" s="114">
        <v>3998.8995938003609</v>
      </c>
      <c r="FX101" s="114">
        <v>10903.793561388033</v>
      </c>
      <c r="FY101" s="114">
        <v>4996.4829093273429</v>
      </c>
      <c r="FZ101" s="114">
        <v>4547.8340142689221</v>
      </c>
      <c r="GA101" s="114">
        <v>4860.3142624917627</v>
      </c>
      <c r="GB101" s="114">
        <v>489.09610005884821</v>
      </c>
      <c r="GC101" s="114">
        <v>5753.5668971052692</v>
      </c>
      <c r="GD101" s="114">
        <v>3416.5230347352226</v>
      </c>
      <c r="GE101" s="114">
        <v>6776.4007944044888</v>
      </c>
      <c r="GF101" s="114">
        <v>15512.430709202366</v>
      </c>
      <c r="GG101" s="114">
        <v>11805.92867701825</v>
      </c>
      <c r="GH101" s="114">
        <v>11527.968552989658</v>
      </c>
      <c r="GI101" s="114">
        <v>12103.299984443856</v>
      </c>
      <c r="GJ101" s="114">
        <v>10171.091942704914</v>
      </c>
      <c r="GK101" s="114">
        <v>5745.7627825067593</v>
      </c>
      <c r="GL101" s="114">
        <v>11456.226287980577</v>
      </c>
      <c r="GM101" s="114">
        <v>7886.9073253099932</v>
      </c>
      <c r="GN101" s="114">
        <v>2025.0769029665614</v>
      </c>
      <c r="GO101" s="114">
        <v>1815.3421031120242</v>
      </c>
      <c r="GP101" s="114">
        <v>1904.0297252351468</v>
      </c>
      <c r="GQ101" s="114">
        <v>7867.4423213703558</v>
      </c>
      <c r="GR101" s="114">
        <v>11967.854186285824</v>
      </c>
      <c r="GS101" s="114">
        <v>6041.3502094843279</v>
      </c>
      <c r="GT101" s="115">
        <v>2926.2813613386807</v>
      </c>
    </row>
    <row r="102" spans="2:202" x14ac:dyDescent="0.6">
      <c r="B102" s="106" t="s">
        <v>90</v>
      </c>
      <c r="C102" s="63" t="s">
        <v>90</v>
      </c>
      <c r="D102" s="113">
        <v>2066.2554331517144</v>
      </c>
      <c r="E102" s="114">
        <v>4231.2534056776658</v>
      </c>
      <c r="F102" s="114">
        <v>4389.6746039213476</v>
      </c>
      <c r="G102" s="114">
        <v>5620.3796241859172</v>
      </c>
      <c r="H102" s="114">
        <v>10894.700272738281</v>
      </c>
      <c r="I102" s="114">
        <v>13394.31256342571</v>
      </c>
      <c r="J102" s="114">
        <v>1247.0489568327055</v>
      </c>
      <c r="K102" s="114">
        <v>12879.059454114369</v>
      </c>
      <c r="L102" s="114">
        <v>3421.1196224409405</v>
      </c>
      <c r="M102" s="114">
        <v>1230.2444182043719</v>
      </c>
      <c r="N102" s="114">
        <v>11605.504376203919</v>
      </c>
      <c r="O102" s="114">
        <v>421.73315252145909</v>
      </c>
      <c r="P102" s="114">
        <v>4237.9779055012114</v>
      </c>
      <c r="Q102" s="114">
        <v>10916.134610299423</v>
      </c>
      <c r="R102" s="114">
        <v>3173.2086630719759</v>
      </c>
      <c r="S102" s="114">
        <v>4327.7506548436513</v>
      </c>
      <c r="T102" s="114">
        <v>13037.042187603751</v>
      </c>
      <c r="U102" s="114">
        <v>5416.2637294760934</v>
      </c>
      <c r="V102" s="114">
        <v>4042.9272653969874</v>
      </c>
      <c r="W102" s="114">
        <v>13379.919690968743</v>
      </c>
      <c r="X102" s="114">
        <v>3070.8481985316512</v>
      </c>
      <c r="Y102" s="114">
        <v>6439.2967015296754</v>
      </c>
      <c r="Z102" s="114">
        <v>11684.848333045638</v>
      </c>
      <c r="AA102" s="114">
        <v>11335.469954442937</v>
      </c>
      <c r="AB102" s="114">
        <v>7536.1885240860956</v>
      </c>
      <c r="AC102" s="114">
        <v>2654.705503500637</v>
      </c>
      <c r="AD102" s="114">
        <v>5424.209225404622</v>
      </c>
      <c r="AE102" s="114">
        <v>4129.2421259120993</v>
      </c>
      <c r="AF102" s="114">
        <v>7411.3705859508964</v>
      </c>
      <c r="AG102" s="114">
        <v>6158.2849452186538</v>
      </c>
      <c r="AH102" s="114">
        <v>4911.6135952494524</v>
      </c>
      <c r="AI102" s="114">
        <v>4810.4956369448446</v>
      </c>
      <c r="AJ102" s="114">
        <v>10293.181843937517</v>
      </c>
      <c r="AK102" s="114">
        <v>9946.092464438465</v>
      </c>
      <c r="AL102" s="114">
        <v>4184.8273617251516</v>
      </c>
      <c r="AM102" s="114">
        <v>3944.6043192177754</v>
      </c>
      <c r="AN102" s="114">
        <v>14228.94423376628</v>
      </c>
      <c r="AO102" s="114">
        <v>6919.0628312057061</v>
      </c>
      <c r="AP102" s="114">
        <v>6210.4611718300666</v>
      </c>
      <c r="AQ102" s="114">
        <v>12795.49573207201</v>
      </c>
      <c r="AR102" s="114">
        <v>4555.3347898157081</v>
      </c>
      <c r="AS102" s="114">
        <v>5112.4121881983265</v>
      </c>
      <c r="AT102" s="114">
        <v>5106.6001509649041</v>
      </c>
      <c r="AU102" s="114">
        <v>13302.796161230899</v>
      </c>
      <c r="AV102" s="114">
        <v>6066.6939772508877</v>
      </c>
      <c r="AW102" s="114">
        <v>3348.5588898042761</v>
      </c>
      <c r="AX102" s="114">
        <v>12124.490090374378</v>
      </c>
      <c r="AY102" s="114">
        <v>1528.2205943409274</v>
      </c>
      <c r="AZ102" s="114">
        <v>3646.8016023130963</v>
      </c>
      <c r="BA102" s="114">
        <v>4045.0678090290448</v>
      </c>
      <c r="BB102" s="114">
        <v>2113.4229785860257</v>
      </c>
      <c r="BC102" s="114">
        <v>10960.405309898799</v>
      </c>
      <c r="BD102" s="114">
        <v>11484.816336691942</v>
      </c>
      <c r="BE102" s="114">
        <v>5113.6162936499913</v>
      </c>
      <c r="BF102" s="114">
        <v>13477.883223895265</v>
      </c>
      <c r="BG102" s="114">
        <v>1629.6376987363308</v>
      </c>
      <c r="BH102" s="114">
        <v>13402.574649196335</v>
      </c>
      <c r="BI102" s="114">
        <v>5057.3044997470533</v>
      </c>
      <c r="BJ102" s="114">
        <v>1843.9224423378175</v>
      </c>
      <c r="BK102" s="114">
        <v>3773.6841996858188</v>
      </c>
      <c r="BL102" s="114">
        <v>6428.1158754017351</v>
      </c>
      <c r="BM102" s="114">
        <v>2466.3668469158465</v>
      </c>
      <c r="BN102" s="114">
        <v>3836.5630100341596</v>
      </c>
      <c r="BO102" s="114">
        <v>4414.6032220616871</v>
      </c>
      <c r="BP102" s="114">
        <v>5223.2074206038378</v>
      </c>
      <c r="BQ102" s="114">
        <v>6824.0540154599184</v>
      </c>
      <c r="BR102" s="114">
        <v>1385.2844888002164</v>
      </c>
      <c r="BS102" s="114">
        <v>3821.9835392734349</v>
      </c>
      <c r="BT102" s="114">
        <v>3737.6415767775229</v>
      </c>
      <c r="BU102" s="114">
        <v>4012.2427620700118</v>
      </c>
      <c r="BV102" s="114">
        <v>5698.6052320333911</v>
      </c>
      <c r="BW102" s="114">
        <v>2446.8884019410593</v>
      </c>
      <c r="BX102" s="114">
        <v>11199.142048490901</v>
      </c>
      <c r="BY102" s="114">
        <v>13403.692878926833</v>
      </c>
      <c r="BZ102" s="114">
        <v>6746.5435612607089</v>
      </c>
      <c r="CA102" s="114">
        <v>6823.7724204425831</v>
      </c>
      <c r="CB102" s="114">
        <v>11194.134826120297</v>
      </c>
      <c r="CC102" s="114">
        <v>11694.930261830514</v>
      </c>
      <c r="CD102" s="114">
        <v>13203.402845704144</v>
      </c>
      <c r="CE102" s="114">
        <v>3190.6293443668956</v>
      </c>
      <c r="CF102" s="114">
        <v>6118.7005556528075</v>
      </c>
      <c r="CG102" s="114">
        <v>2760.2861307495641</v>
      </c>
      <c r="CH102" s="114">
        <v>2832.0807169402669</v>
      </c>
      <c r="CI102" s="114">
        <v>7368.6985934755394</v>
      </c>
      <c r="CJ102" s="114">
        <v>749.64765944874512</v>
      </c>
      <c r="CK102" s="114">
        <v>558.26719314781133</v>
      </c>
      <c r="CL102" s="114">
        <v>5087.177633973829</v>
      </c>
      <c r="CM102" s="114">
        <v>7754.215728495612</v>
      </c>
      <c r="CN102" s="114">
        <v>3479.3876319292181</v>
      </c>
      <c r="CO102" s="114">
        <v>3821.4512535673289</v>
      </c>
      <c r="CP102" s="114">
        <v>12072.967863414653</v>
      </c>
      <c r="CQ102" s="114">
        <v>8307.3624580593969</v>
      </c>
      <c r="CR102" s="114">
        <v>1222.074733898809</v>
      </c>
      <c r="CS102" s="114">
        <v>3101.5321973763234</v>
      </c>
      <c r="CT102" s="114">
        <v>3602.683090253608</v>
      </c>
      <c r="CU102" s="114" t="s">
        <v>237</v>
      </c>
      <c r="CV102" s="114">
        <v>2782.8561038558514</v>
      </c>
      <c r="CW102" s="114">
        <v>5641.2692572255592</v>
      </c>
      <c r="CX102" s="114">
        <v>3560.3828623310474</v>
      </c>
      <c r="CY102" s="114">
        <v>1291.6544162625266</v>
      </c>
      <c r="CZ102" s="114">
        <v>6863.9448158688774</v>
      </c>
      <c r="DA102" s="114">
        <v>6626.8974250324482</v>
      </c>
      <c r="DB102" s="114">
        <v>3336.9637629755489</v>
      </c>
      <c r="DC102" s="114">
        <v>3861.1100860887527</v>
      </c>
      <c r="DD102" s="114">
        <v>3336.2118863440646</v>
      </c>
      <c r="DE102" s="114">
        <v>4162.9234174692383</v>
      </c>
      <c r="DF102" s="114">
        <v>5321.1924009002869</v>
      </c>
      <c r="DG102" s="114">
        <v>5060.8237685003223</v>
      </c>
      <c r="DH102" s="114">
        <v>6331.0105399678805</v>
      </c>
      <c r="DI102" s="114">
        <v>3873.8215948817246</v>
      </c>
      <c r="DJ102" s="114">
        <v>6014.5793660823019</v>
      </c>
      <c r="DK102" s="114">
        <v>3221.0101739229631</v>
      </c>
      <c r="DL102" s="114">
        <v>5582.8150391554118</v>
      </c>
      <c r="DM102" s="114">
        <v>5593.4252831090062</v>
      </c>
      <c r="DN102" s="114">
        <v>13570.423815181393</v>
      </c>
      <c r="DO102" s="114">
        <v>2569.8039420347427</v>
      </c>
      <c r="DP102" s="114">
        <v>3916.5960471125604</v>
      </c>
      <c r="DQ102" s="114">
        <v>5373.1856814911325</v>
      </c>
      <c r="DR102" s="114">
        <v>2952.1081508020166</v>
      </c>
      <c r="DS102" s="114">
        <v>5155.8884145179454</v>
      </c>
      <c r="DT102" s="114">
        <v>6327.6246142565697</v>
      </c>
      <c r="DU102" s="114">
        <v>5102.6085886805276</v>
      </c>
      <c r="DV102" s="114">
        <v>6630.7856353326206</v>
      </c>
      <c r="DW102" s="114">
        <v>3630.1103391412416</v>
      </c>
      <c r="DX102" s="114">
        <v>4362.8106726019905</v>
      </c>
      <c r="DY102" s="114">
        <v>15048.404795633271</v>
      </c>
      <c r="DZ102" s="114">
        <v>15053.042007438225</v>
      </c>
      <c r="EA102" s="114">
        <v>13286.949829356505</v>
      </c>
      <c r="EB102" s="114">
        <v>5044.3646713596854</v>
      </c>
      <c r="EC102" s="114">
        <v>4793.1807263916135</v>
      </c>
      <c r="ED102" s="114">
        <v>6981.0137514396592</v>
      </c>
      <c r="EE102" s="114">
        <v>2781.4913832153093</v>
      </c>
      <c r="EF102" s="114">
        <v>4385.7056818881265</v>
      </c>
      <c r="EG102" s="114">
        <v>1224.1157077306277</v>
      </c>
      <c r="EH102" s="114">
        <v>1948.4341045738895</v>
      </c>
      <c r="EI102" s="114">
        <v>2420.5339347993067</v>
      </c>
      <c r="EJ102" s="114">
        <v>12944.28457126773</v>
      </c>
      <c r="EK102" s="114">
        <v>12740.839807144223</v>
      </c>
      <c r="EL102" s="114">
        <v>14036.041395309281</v>
      </c>
      <c r="EM102" s="114">
        <v>7602.0461303555185</v>
      </c>
      <c r="EN102" s="114">
        <v>3370.2652321143873</v>
      </c>
      <c r="EO102" s="114">
        <v>5284.8331840357041</v>
      </c>
      <c r="EP102" s="114">
        <v>567.95156761918827</v>
      </c>
      <c r="EQ102" s="114">
        <v>2549.424152110942</v>
      </c>
      <c r="ER102" s="114">
        <v>3054.6551782286328</v>
      </c>
      <c r="ES102" s="114">
        <v>3930.2593613599165</v>
      </c>
      <c r="ET102" s="114">
        <v>10943.434694245374</v>
      </c>
      <c r="EU102" s="114">
        <v>10973.456246364327</v>
      </c>
      <c r="EV102" s="114">
        <v>11076.582440692162</v>
      </c>
      <c r="EW102" s="114">
        <v>3529.1603292261093</v>
      </c>
      <c r="EX102" s="114">
        <v>5475.3067260438056</v>
      </c>
      <c r="EY102" s="114">
        <v>565.8599916555379</v>
      </c>
      <c r="EZ102" s="114">
        <v>6858.4913153440521</v>
      </c>
      <c r="FA102" s="114">
        <v>2958.7881597640862</v>
      </c>
      <c r="FB102" s="114">
        <v>6768.6497465989905</v>
      </c>
      <c r="FC102" s="114">
        <v>6661.8509108253829</v>
      </c>
      <c r="FD102" s="114">
        <v>3363.714576613927</v>
      </c>
      <c r="FE102" s="114">
        <v>3460.5860084072333</v>
      </c>
      <c r="FF102" s="114">
        <v>3047.3192084116845</v>
      </c>
      <c r="FG102" s="114">
        <v>6446.0124913435493</v>
      </c>
      <c r="FH102" s="114">
        <v>7140.9667545322718</v>
      </c>
      <c r="FI102" s="114">
        <v>3220.9139627799718</v>
      </c>
      <c r="FJ102" s="114">
        <v>4784.7163511803747</v>
      </c>
      <c r="FK102" s="114">
        <v>4312.9656370066141</v>
      </c>
      <c r="FL102" s="114">
        <v>4159.9967120580823</v>
      </c>
      <c r="FM102" s="114">
        <v>2233.8821658247352</v>
      </c>
      <c r="FN102" s="114">
        <v>10965.785712864687</v>
      </c>
      <c r="FO102" s="114">
        <v>4022.7887287240537</v>
      </c>
      <c r="FP102" s="114">
        <v>3994.7758241423157</v>
      </c>
      <c r="FQ102" s="114">
        <v>1206.9575270242678</v>
      </c>
      <c r="FR102" s="114">
        <v>7171.2517552774871</v>
      </c>
      <c r="FS102" s="114">
        <v>2135.1131432534912</v>
      </c>
      <c r="FT102" s="114">
        <v>4122.0077498085539</v>
      </c>
      <c r="FU102" s="114">
        <v>5644.8629720125427</v>
      </c>
      <c r="FV102" s="114">
        <v>9246.5864606830255</v>
      </c>
      <c r="FW102" s="114">
        <v>5536.9683067390724</v>
      </c>
      <c r="FX102" s="114">
        <v>11261.972991719635</v>
      </c>
      <c r="FY102" s="114">
        <v>3602.6455937594515</v>
      </c>
      <c r="FZ102" s="114">
        <v>1815.8854391402815</v>
      </c>
      <c r="GA102" s="114">
        <v>1305.7930777694241</v>
      </c>
      <c r="GB102" s="114">
        <v>3639.3010433034624</v>
      </c>
      <c r="GC102" s="114">
        <v>2767.1288387776704</v>
      </c>
      <c r="GD102" s="114">
        <v>832.01946121597518</v>
      </c>
      <c r="GE102" s="114">
        <v>4640.3962742277299</v>
      </c>
      <c r="GF102" s="114">
        <v>12823.747951947698</v>
      </c>
      <c r="GG102" s="114">
        <v>10205.948001700133</v>
      </c>
      <c r="GH102" s="114">
        <v>9900.8075873915404</v>
      </c>
      <c r="GI102" s="114">
        <v>10530.990851473638</v>
      </c>
      <c r="GJ102" s="114">
        <v>12998.409306914045</v>
      </c>
      <c r="GK102" s="114">
        <v>2318.4055456921828</v>
      </c>
      <c r="GL102" s="114">
        <v>11742.661306850299</v>
      </c>
      <c r="GM102" s="114">
        <v>5803.0477160543314</v>
      </c>
      <c r="GN102" s="114">
        <v>1597.426076082872</v>
      </c>
      <c r="GO102" s="114">
        <v>5395.3490723748628</v>
      </c>
      <c r="GP102" s="114">
        <v>5506.5079243429655</v>
      </c>
      <c r="GQ102" s="114">
        <v>6389.9399997328328</v>
      </c>
      <c r="GR102" s="114">
        <v>12766.683740505207</v>
      </c>
      <c r="GS102" s="114">
        <v>3926.1605227421323</v>
      </c>
      <c r="GT102" s="115">
        <v>6528.2083558758832</v>
      </c>
    </row>
    <row r="103" spans="2:202" x14ac:dyDescent="0.6">
      <c r="B103" s="106" t="s">
        <v>91</v>
      </c>
      <c r="C103" s="63" t="s">
        <v>472</v>
      </c>
      <c r="D103" s="113">
        <v>1029.4337547176738</v>
      </c>
      <c r="E103" s="114">
        <v>5981.46653117592</v>
      </c>
      <c r="F103" s="114">
        <v>5802.4372535940756</v>
      </c>
      <c r="G103" s="114">
        <v>8398.3848560512433</v>
      </c>
      <c r="H103" s="114">
        <v>12016.009421103534</v>
      </c>
      <c r="I103" s="114">
        <v>16090.326643421222</v>
      </c>
      <c r="J103" s="114">
        <v>2519.0353472918518</v>
      </c>
      <c r="K103" s="114">
        <v>11514.780621002554</v>
      </c>
      <c r="L103" s="114">
        <v>4484.8547604220257</v>
      </c>
      <c r="M103" s="114">
        <v>2083.8015122578704</v>
      </c>
      <c r="N103" s="114">
        <v>11956.951519253886</v>
      </c>
      <c r="O103" s="114">
        <v>2856.5166081338416</v>
      </c>
      <c r="P103" s="114">
        <v>2576.2625033007575</v>
      </c>
      <c r="Q103" s="114">
        <v>12243.356376617568</v>
      </c>
      <c r="R103" s="114">
        <v>3636.2780462366709</v>
      </c>
      <c r="S103" s="114">
        <v>5242.586341170123</v>
      </c>
      <c r="T103" s="114">
        <v>13143.594861087147</v>
      </c>
      <c r="U103" s="114">
        <v>8071.5204056144494</v>
      </c>
      <c r="V103" s="114">
        <v>2169.0738330547456</v>
      </c>
      <c r="W103" s="114">
        <v>15414.544308750397</v>
      </c>
      <c r="X103" s="114">
        <v>4479.955712537494</v>
      </c>
      <c r="Y103" s="114">
        <v>8976.2247529694614</v>
      </c>
      <c r="Z103" s="114">
        <v>14260.542343256742</v>
      </c>
      <c r="AA103" s="114">
        <v>13933.422143544776</v>
      </c>
      <c r="AB103" s="114">
        <v>5815.8937806887825</v>
      </c>
      <c r="AC103" s="114">
        <v>4136.2106913930265</v>
      </c>
      <c r="AD103" s="114">
        <v>7935.7932635117959</v>
      </c>
      <c r="AE103" s="114">
        <v>6815.0420082417268</v>
      </c>
      <c r="AF103" s="114">
        <v>9506.0287733984424</v>
      </c>
      <c r="AG103" s="114">
        <v>4524.6791512603604</v>
      </c>
      <c r="AH103" s="114">
        <v>7653.2587862163</v>
      </c>
      <c r="AI103" s="114">
        <v>7566.1415031823281</v>
      </c>
      <c r="AJ103" s="114">
        <v>10078.190908169096</v>
      </c>
      <c r="AK103" s="114">
        <v>9804.9007378647966</v>
      </c>
      <c r="AL103" s="114">
        <v>6965.1521552534268</v>
      </c>
      <c r="AM103" s="114">
        <v>6646.9729492301285</v>
      </c>
      <c r="AN103" s="114">
        <v>16789.423944722759</v>
      </c>
      <c r="AO103" s="114">
        <v>4305.5977455734892</v>
      </c>
      <c r="AP103" s="114">
        <v>3480.7210277014624</v>
      </c>
      <c r="AQ103" s="114">
        <v>13910.415265141108</v>
      </c>
      <c r="AR103" s="114">
        <v>6792.3372648751219</v>
      </c>
      <c r="AS103" s="114">
        <v>7893.4623835491529</v>
      </c>
      <c r="AT103" s="114">
        <v>7888.2262333250628</v>
      </c>
      <c r="AU103" s="114">
        <v>13823.424223600563</v>
      </c>
      <c r="AV103" s="114">
        <v>8663.2693470013837</v>
      </c>
      <c r="AW103" s="114">
        <v>4612.8015984488984</v>
      </c>
      <c r="AX103" s="114">
        <v>12336.123806535476</v>
      </c>
      <c r="AY103" s="114">
        <v>3627.1919670032667</v>
      </c>
      <c r="AZ103" s="114">
        <v>4574.1614049238406</v>
      </c>
      <c r="BA103" s="114">
        <v>4583.3849237716695</v>
      </c>
      <c r="BB103" s="114">
        <v>4686.8937741628188</v>
      </c>
      <c r="BC103" s="114">
        <v>12161.011320338012</v>
      </c>
      <c r="BD103" s="114">
        <v>12312.910700982387</v>
      </c>
      <c r="BE103" s="114">
        <v>7895.0723451205895</v>
      </c>
      <c r="BF103" s="114">
        <v>14575.779889727251</v>
      </c>
      <c r="BG103" s="114">
        <v>4074.8210720623724</v>
      </c>
      <c r="BH103" s="114">
        <v>13572.082122842943</v>
      </c>
      <c r="BI103" s="114">
        <v>7795.3172550406789</v>
      </c>
      <c r="BJ103" s="114">
        <v>4574.876910259406</v>
      </c>
      <c r="BK103" s="114">
        <v>3845.11740485786</v>
      </c>
      <c r="BL103" s="114">
        <v>8840.666659160328</v>
      </c>
      <c r="BM103" s="114">
        <v>5117.1024275034142</v>
      </c>
      <c r="BN103" s="114">
        <v>3827.2853704945446</v>
      </c>
      <c r="BO103" s="114">
        <v>5456.365650391871</v>
      </c>
      <c r="BP103" s="114">
        <v>7986.0302303135968</v>
      </c>
      <c r="BQ103" s="114">
        <v>9083.410876075739</v>
      </c>
      <c r="BR103" s="114">
        <v>2466.4560900444585</v>
      </c>
      <c r="BS103" s="114">
        <v>4585.7455924581045</v>
      </c>
      <c r="BT103" s="114">
        <v>4815.5951851735344</v>
      </c>
      <c r="BU103" s="114">
        <v>4953.829899411402</v>
      </c>
      <c r="BV103" s="114">
        <v>8339.4955971829477</v>
      </c>
      <c r="BW103" s="114">
        <v>4309.5821692007275</v>
      </c>
      <c r="BX103" s="114">
        <v>12483.497030574557</v>
      </c>
      <c r="BY103" s="114">
        <v>13492.704524438199</v>
      </c>
      <c r="BZ103" s="114">
        <v>9143.8231778713271</v>
      </c>
      <c r="CA103" s="114">
        <v>9142.5754759682186</v>
      </c>
      <c r="CB103" s="114">
        <v>12760.56464618793</v>
      </c>
      <c r="CC103" s="114">
        <v>12426.763869627013</v>
      </c>
      <c r="CD103" s="114">
        <v>13447.503780031393</v>
      </c>
      <c r="CE103" s="114">
        <v>4302.3655566123589</v>
      </c>
      <c r="CF103" s="114">
        <v>6109.4186070298556</v>
      </c>
      <c r="CG103" s="114">
        <v>2613.652127001877</v>
      </c>
      <c r="CH103" s="114">
        <v>1593.8458453337525</v>
      </c>
      <c r="CI103" s="114">
        <v>6297.3154186902339</v>
      </c>
      <c r="CJ103" s="114">
        <v>2143.1013528720387</v>
      </c>
      <c r="CK103" s="114">
        <v>2825.1718084335789</v>
      </c>
      <c r="CL103" s="114">
        <v>5800.0579553851367</v>
      </c>
      <c r="CM103" s="114">
        <v>9077.1280310252878</v>
      </c>
      <c r="CN103" s="114">
        <v>5015.3669289097006</v>
      </c>
      <c r="CO103" s="114">
        <v>5084.2408805717951</v>
      </c>
      <c r="CP103" s="114">
        <v>12655.192547210869</v>
      </c>
      <c r="CQ103" s="114">
        <v>5545.8365079824216</v>
      </c>
      <c r="CR103" s="114">
        <v>3627.4449664529466</v>
      </c>
      <c r="CS103" s="114">
        <v>981.4828375025902</v>
      </c>
      <c r="CT103" s="114">
        <v>6167.944849296352</v>
      </c>
      <c r="CU103" s="114">
        <v>2782.8561038558514</v>
      </c>
      <c r="CV103" s="114" t="s">
        <v>237</v>
      </c>
      <c r="CW103" s="114">
        <v>3822.9550684406231</v>
      </c>
      <c r="CX103" s="114">
        <v>3847.5840782093333</v>
      </c>
      <c r="CY103" s="114">
        <v>3537.4719658199588</v>
      </c>
      <c r="CZ103" s="114">
        <v>9319.5708184147752</v>
      </c>
      <c r="DA103" s="114">
        <v>9128.6221142411468</v>
      </c>
      <c r="DB103" s="114">
        <v>5408.7072142128482</v>
      </c>
      <c r="DC103" s="114">
        <v>5013.9933615992986</v>
      </c>
      <c r="DD103" s="114">
        <v>3774.1808664689979</v>
      </c>
      <c r="DE103" s="114">
        <v>5156.3485839302621</v>
      </c>
      <c r="DF103" s="114">
        <v>7340.7381343269217</v>
      </c>
      <c r="DG103" s="114">
        <v>7550.6080734600973</v>
      </c>
      <c r="DH103" s="114">
        <v>5135.4807093147101</v>
      </c>
      <c r="DI103" s="114">
        <v>4287.0460607792957</v>
      </c>
      <c r="DJ103" s="114">
        <v>8433.6049101620738</v>
      </c>
      <c r="DK103" s="114">
        <v>5143.6492227841136</v>
      </c>
      <c r="DL103" s="114">
        <v>7184.298258950148</v>
      </c>
      <c r="DM103" s="114">
        <v>7186.0128990483354</v>
      </c>
      <c r="DN103" s="114">
        <v>13118.195575633519</v>
      </c>
      <c r="DO103" s="114">
        <v>3581.6877806240468</v>
      </c>
      <c r="DP103" s="114">
        <v>5285.6716225850523</v>
      </c>
      <c r="DQ103" s="114">
        <v>2590.6948001426163</v>
      </c>
      <c r="DR103" s="114">
        <v>4442.2345404908665</v>
      </c>
      <c r="DS103" s="114">
        <v>6885.6955543610675</v>
      </c>
      <c r="DT103" s="114">
        <v>8719.0124201583003</v>
      </c>
      <c r="DU103" s="114">
        <v>3560.695555427711</v>
      </c>
      <c r="DV103" s="114">
        <v>9306.2743160426053</v>
      </c>
      <c r="DW103" s="114">
        <v>1938.5335276703727</v>
      </c>
      <c r="DX103" s="114">
        <v>5161.4975668122352</v>
      </c>
      <c r="DY103" s="114">
        <v>13425.334198067383</v>
      </c>
      <c r="DZ103" s="114">
        <v>13649.103977550394</v>
      </c>
      <c r="EA103" s="114">
        <v>13631.364384786415</v>
      </c>
      <c r="EB103" s="114">
        <v>7578.9334699455412</v>
      </c>
      <c r="EC103" s="114">
        <v>7461.8961365697251</v>
      </c>
      <c r="ED103" s="114">
        <v>4231.2638001757259</v>
      </c>
      <c r="EE103" s="114">
        <v>4303.1885904623996</v>
      </c>
      <c r="EF103" s="114">
        <v>4638.3308196917596</v>
      </c>
      <c r="EG103" s="114">
        <v>2597.6843051262349</v>
      </c>
      <c r="EH103" s="114">
        <v>2074.0599741994865</v>
      </c>
      <c r="EI103" s="114">
        <v>1023.2479914638592</v>
      </c>
      <c r="EJ103" s="114">
        <v>13692.599236938542</v>
      </c>
      <c r="EK103" s="114">
        <v>15232.129827018829</v>
      </c>
      <c r="EL103" s="114">
        <v>15643.689188399208</v>
      </c>
      <c r="EM103" s="114">
        <v>5423.4432955681823</v>
      </c>
      <c r="EN103" s="114">
        <v>4067.6175571254507</v>
      </c>
      <c r="EO103" s="114">
        <v>6782.2755754604768</v>
      </c>
      <c r="EP103" s="114">
        <v>2862.1967653460115</v>
      </c>
      <c r="EQ103" s="114">
        <v>3854.3838289865398</v>
      </c>
      <c r="ER103" s="114">
        <v>3006.4114456474922</v>
      </c>
      <c r="ES103" s="114">
        <v>6617.9727923642931</v>
      </c>
      <c r="ET103" s="114">
        <v>12044.714336292718</v>
      </c>
      <c r="EU103" s="114">
        <v>12231.572824299034</v>
      </c>
      <c r="EV103" s="114">
        <v>12347.885590584588</v>
      </c>
      <c r="EW103" s="114">
        <v>4930.2849210140212</v>
      </c>
      <c r="EX103" s="114">
        <v>8223.6546356942599</v>
      </c>
      <c r="EY103" s="114">
        <v>3264.1501720467832</v>
      </c>
      <c r="EZ103" s="114">
        <v>9076.2646014278507</v>
      </c>
      <c r="FA103" s="114">
        <v>4286.0308167842804</v>
      </c>
      <c r="FB103" s="114">
        <v>9191.4209174994085</v>
      </c>
      <c r="FC103" s="114">
        <v>5432.6252359725286</v>
      </c>
      <c r="FD103" s="114">
        <v>4424.2599378882005</v>
      </c>
      <c r="FE103" s="114">
        <v>4686.7743819638799</v>
      </c>
      <c r="FF103" s="114">
        <v>5359.5056262667149</v>
      </c>
      <c r="FG103" s="114">
        <v>8926.1737397088509</v>
      </c>
      <c r="FH103" s="114">
        <v>4405.6506618641506</v>
      </c>
      <c r="FI103" s="114">
        <v>5946.0773975096945</v>
      </c>
      <c r="FJ103" s="114">
        <v>6261.906020589362</v>
      </c>
      <c r="FK103" s="114">
        <v>5786.0223973820057</v>
      </c>
      <c r="FL103" s="114">
        <v>3995.3680159122209</v>
      </c>
      <c r="FM103" s="114">
        <v>5016.1913029923662</v>
      </c>
      <c r="FN103" s="114">
        <v>12645.30637450105</v>
      </c>
      <c r="FO103" s="114">
        <v>4211.3872731761348</v>
      </c>
      <c r="FP103" s="114">
        <v>5178.5167493432227</v>
      </c>
      <c r="FQ103" s="114">
        <v>3478.4612235138802</v>
      </c>
      <c r="FR103" s="114">
        <v>4695.4510038627222</v>
      </c>
      <c r="FS103" s="114">
        <v>689.08466377465072</v>
      </c>
      <c r="FT103" s="114">
        <v>6539.4174976841869</v>
      </c>
      <c r="FU103" s="114">
        <v>4076.24356240618</v>
      </c>
      <c r="FV103" s="114">
        <v>7641.2262316582955</v>
      </c>
      <c r="FW103" s="114">
        <v>8181.219361561085</v>
      </c>
      <c r="FX103" s="114">
        <v>12598.303095391539</v>
      </c>
      <c r="FY103" s="114">
        <v>5427.5189530679545</v>
      </c>
      <c r="FZ103" s="114">
        <v>3494.556030888743</v>
      </c>
      <c r="GA103" s="114">
        <v>1521.7112941963619</v>
      </c>
      <c r="GB103" s="114">
        <v>6308.5004146628189</v>
      </c>
      <c r="GC103" s="114">
        <v>3440.1810891547907</v>
      </c>
      <c r="GD103" s="114">
        <v>2751.6312581916377</v>
      </c>
      <c r="GE103" s="114">
        <v>5491.3972470219014</v>
      </c>
      <c r="GF103" s="114">
        <v>11400.721948530634</v>
      </c>
      <c r="GG103" s="114">
        <v>10230.67974063355</v>
      </c>
      <c r="GH103" s="114">
        <v>9964.4805161829736</v>
      </c>
      <c r="GI103" s="114">
        <v>10512.299833928877</v>
      </c>
      <c r="GJ103" s="114">
        <v>15685.840854411326</v>
      </c>
      <c r="GK103" s="114">
        <v>468.06446287338269</v>
      </c>
      <c r="GL103" s="114">
        <v>12928.397996298083</v>
      </c>
      <c r="GM103" s="114">
        <v>3746.5452722266682</v>
      </c>
      <c r="GN103" s="114">
        <v>4175.6672306854507</v>
      </c>
      <c r="GO103" s="114">
        <v>7980.188452241764</v>
      </c>
      <c r="GP103" s="114">
        <v>8013.4814628773147</v>
      </c>
      <c r="GQ103" s="114">
        <v>4704.2766245595276</v>
      </c>
      <c r="GR103" s="114">
        <v>11489.79531968431</v>
      </c>
      <c r="GS103" s="114">
        <v>5057.8135920794348</v>
      </c>
      <c r="GT103" s="115">
        <v>9001.9193921506612</v>
      </c>
    </row>
    <row r="104" spans="2:202" x14ac:dyDescent="0.6">
      <c r="B104" s="106" t="s">
        <v>92</v>
      </c>
      <c r="C104" s="63" t="s">
        <v>473</v>
      </c>
      <c r="D104" s="113">
        <v>3777.4496715889372</v>
      </c>
      <c r="E104" s="114">
        <v>9647.9677560140262</v>
      </c>
      <c r="F104" s="114">
        <v>9567.3414849992969</v>
      </c>
      <c r="G104" s="114">
        <v>10202.892015283442</v>
      </c>
      <c r="H104" s="114">
        <v>15784.006984263782</v>
      </c>
      <c r="I104" s="114">
        <v>17302.624863092246</v>
      </c>
      <c r="J104" s="114">
        <v>6057.2308703506387</v>
      </c>
      <c r="K104" s="114">
        <v>7701.5440628408223</v>
      </c>
      <c r="L104" s="114">
        <v>8276.431235932645</v>
      </c>
      <c r="M104" s="114">
        <v>5619.6317562957574</v>
      </c>
      <c r="N104" s="114">
        <v>15274.537738555166</v>
      </c>
      <c r="O104" s="114">
        <v>5415.7388839637752</v>
      </c>
      <c r="P104" s="114">
        <v>1411.703883267289</v>
      </c>
      <c r="Q104" s="114">
        <v>16055.420342347137</v>
      </c>
      <c r="R104" s="114">
        <v>7458.2366413667169</v>
      </c>
      <c r="S104" s="114">
        <v>9062.5936932946242</v>
      </c>
      <c r="T104" s="114">
        <v>15979.543251468405</v>
      </c>
      <c r="U104" s="114">
        <v>10837.022142786185</v>
      </c>
      <c r="V104" s="114">
        <v>1705.0412454006027</v>
      </c>
      <c r="W104" s="114">
        <v>18982.330761265272</v>
      </c>
      <c r="X104" s="114">
        <v>8201.0687205532795</v>
      </c>
      <c r="Y104" s="114">
        <v>9534.484263351851</v>
      </c>
      <c r="Z104" s="114">
        <v>16720.884460048597</v>
      </c>
      <c r="AA104" s="114">
        <v>16373.087846476001</v>
      </c>
      <c r="AB104" s="114">
        <v>2005.0691096703383</v>
      </c>
      <c r="AC104" s="114">
        <v>7818.5297211561665</v>
      </c>
      <c r="AD104" s="114">
        <v>11002.712829061798</v>
      </c>
      <c r="AE104" s="114">
        <v>8333.5683755705613</v>
      </c>
      <c r="AF104" s="114">
        <v>13040.11546658425</v>
      </c>
      <c r="AG104" s="114">
        <v>734.1853831938289</v>
      </c>
      <c r="AH104" s="114">
        <v>10146.076594838682</v>
      </c>
      <c r="AI104" s="114">
        <v>9990.5781534428315</v>
      </c>
      <c r="AJ104" s="114">
        <v>13198.86170674906</v>
      </c>
      <c r="AK104" s="114">
        <v>13022.683454129574</v>
      </c>
      <c r="AL104" s="114">
        <v>9225.2681826652697</v>
      </c>
      <c r="AM104" s="114">
        <v>9365.8065212506099</v>
      </c>
      <c r="AN104" s="114">
        <v>18127.235884776845</v>
      </c>
      <c r="AO104" s="114">
        <v>2455.5403209771471</v>
      </c>
      <c r="AP104" s="114">
        <v>2786.6940476873815</v>
      </c>
      <c r="AQ104" s="114">
        <v>17544.100141347222</v>
      </c>
      <c r="AR104" s="114">
        <v>7248.5991117445938</v>
      </c>
      <c r="AS104" s="114">
        <v>9834.33658015119</v>
      </c>
      <c r="AT104" s="114">
        <v>9846.729205731177</v>
      </c>
      <c r="AU104" s="114">
        <v>16919.498076006155</v>
      </c>
      <c r="AV104" s="114">
        <v>11542.770357409876</v>
      </c>
      <c r="AW104" s="114">
        <v>8373.6358003094538</v>
      </c>
      <c r="AX104" s="114">
        <v>15467.295886483882</v>
      </c>
      <c r="AY104" s="114">
        <v>7015.6294047846077</v>
      </c>
      <c r="AZ104" s="114">
        <v>8384.2115568306053</v>
      </c>
      <c r="BA104" s="114">
        <v>8404.1287524201161</v>
      </c>
      <c r="BB104" s="114">
        <v>6490.7319558882546</v>
      </c>
      <c r="BC104" s="114">
        <v>15947.882640751319</v>
      </c>
      <c r="BD104" s="114">
        <v>15928.042547673767</v>
      </c>
      <c r="BE104" s="114">
        <v>9847.2879047301467</v>
      </c>
      <c r="BF104" s="114">
        <v>18075.65490570051</v>
      </c>
      <c r="BG104" s="114">
        <v>7262.6308561382029</v>
      </c>
      <c r="BH104" s="114">
        <v>16350.114183971848</v>
      </c>
      <c r="BI104" s="114">
        <v>10293.623021065499</v>
      </c>
      <c r="BJ104" s="114">
        <v>6773.915621097256</v>
      </c>
      <c r="BK104" s="114">
        <v>7644.7843482080552</v>
      </c>
      <c r="BL104" s="114">
        <v>9100.5897534702344</v>
      </c>
      <c r="BM104" s="114">
        <v>6948.9242439539858</v>
      </c>
      <c r="BN104" s="114">
        <v>7616.7074707297106</v>
      </c>
      <c r="BO104" s="114">
        <v>9270.4446076744207</v>
      </c>
      <c r="BP104" s="114">
        <v>10321.364982439896</v>
      </c>
      <c r="BQ104" s="114">
        <v>12464.594707485636</v>
      </c>
      <c r="BR104" s="114">
        <v>6059.9001177427699</v>
      </c>
      <c r="BS104" s="114">
        <v>8406.6356283946498</v>
      </c>
      <c r="BT104" s="114">
        <v>8614.2051182668001</v>
      </c>
      <c r="BU104" s="114">
        <v>8769.0625008515453</v>
      </c>
      <c r="BV104" s="114">
        <v>11128.275249067368</v>
      </c>
      <c r="BW104" s="114">
        <v>7862.067303236855</v>
      </c>
      <c r="BX104" s="114">
        <v>16283.111485634834</v>
      </c>
      <c r="BY104" s="114">
        <v>16203.11265769849</v>
      </c>
      <c r="BZ104" s="114">
        <v>12357.575712093741</v>
      </c>
      <c r="CA104" s="114">
        <v>12457.061601512292</v>
      </c>
      <c r="CB104" s="114">
        <v>16580.916490676856</v>
      </c>
      <c r="CC104" s="114">
        <v>15969.351541847422</v>
      </c>
      <c r="CD104" s="114">
        <v>16348.678686088959</v>
      </c>
      <c r="CE104" s="114">
        <v>8080.1229954398186</v>
      </c>
      <c r="CF104" s="114">
        <v>9754.9627778240101</v>
      </c>
      <c r="CG104" s="114">
        <v>3106.0277551819877</v>
      </c>
      <c r="CH104" s="114">
        <v>2834.1353702811966</v>
      </c>
      <c r="CI104" s="114">
        <v>2670.2199711345274</v>
      </c>
      <c r="CJ104" s="114">
        <v>5381.954712297601</v>
      </c>
      <c r="CK104" s="114">
        <v>6002.1048735707736</v>
      </c>
      <c r="CL104" s="114">
        <v>9617.3869313057858</v>
      </c>
      <c r="CM104" s="114">
        <v>12897.460371777514</v>
      </c>
      <c r="CN104" s="114">
        <v>8723.5917975922748</v>
      </c>
      <c r="CO104" s="114">
        <v>8860.8107589144583</v>
      </c>
      <c r="CP104" s="114">
        <v>16056.594566124464</v>
      </c>
      <c r="CQ104" s="114">
        <v>4196.226904574426</v>
      </c>
      <c r="CR104" s="114">
        <v>6829.8314986955065</v>
      </c>
      <c r="CS104" s="114">
        <v>4621.9614648375882</v>
      </c>
      <c r="CT104" s="114">
        <v>7495.0176573139443</v>
      </c>
      <c r="CU104" s="114">
        <v>5641.2692572255592</v>
      </c>
      <c r="CV104" s="114">
        <v>3822.9550684406231</v>
      </c>
      <c r="CW104" s="114" t="s">
        <v>237</v>
      </c>
      <c r="CX104" s="114">
        <v>7666.1940570400475</v>
      </c>
      <c r="CY104" s="114">
        <v>6836.2665008837848</v>
      </c>
      <c r="CZ104" s="114">
        <v>9572.9628048208233</v>
      </c>
      <c r="DA104" s="114">
        <v>12179.162669924077</v>
      </c>
      <c r="DB104" s="114">
        <v>8899.4904666153197</v>
      </c>
      <c r="DC104" s="114">
        <v>8807.0262843006312</v>
      </c>
      <c r="DD104" s="114">
        <v>7597.1238802928583</v>
      </c>
      <c r="DE104" s="114">
        <v>8970.3830470768607</v>
      </c>
      <c r="DF104" s="114">
        <v>7229.049223781094</v>
      </c>
      <c r="DG104" s="114">
        <v>8324.4067502642356</v>
      </c>
      <c r="DH104" s="114">
        <v>1614.2019610779014</v>
      </c>
      <c r="DI104" s="114">
        <v>3502.5368235425512</v>
      </c>
      <c r="DJ104" s="114">
        <v>11628.376680394485</v>
      </c>
      <c r="DK104" s="114">
        <v>8706.6586433823122</v>
      </c>
      <c r="DL104" s="114">
        <v>6454.4922889527543</v>
      </c>
      <c r="DM104" s="114">
        <v>6442.2019143868383</v>
      </c>
      <c r="DN104" s="114">
        <v>15304.360097792149</v>
      </c>
      <c r="DO104" s="114">
        <v>7342.308176238369</v>
      </c>
      <c r="DP104" s="114">
        <v>9046.4601110785607</v>
      </c>
      <c r="DQ104" s="114">
        <v>3399.8601919759949</v>
      </c>
      <c r="DR104" s="114">
        <v>8138.9071181377658</v>
      </c>
      <c r="DS104" s="114">
        <v>10582.326512437598</v>
      </c>
      <c r="DT104" s="114">
        <v>8958.2186510407846</v>
      </c>
      <c r="DU104" s="114">
        <v>660.61884629345229</v>
      </c>
      <c r="DV104" s="114">
        <v>10275.181517797564</v>
      </c>
      <c r="DW104" s="114">
        <v>2067.5640695470779</v>
      </c>
      <c r="DX104" s="114">
        <v>8984.3362432746217</v>
      </c>
      <c r="DY104" s="114">
        <v>9698.0788360285969</v>
      </c>
      <c r="DZ104" s="114">
        <v>9870.0232978763743</v>
      </c>
      <c r="EA104" s="114">
        <v>16589.660416457962</v>
      </c>
      <c r="EB104" s="114">
        <v>10617.635730872364</v>
      </c>
      <c r="EC104" s="114">
        <v>10225.564841533786</v>
      </c>
      <c r="ED104" s="114">
        <v>3264.9655381851294</v>
      </c>
      <c r="EE104" s="114">
        <v>7982.9596086265738</v>
      </c>
      <c r="EF104" s="114">
        <v>8432.0330628082502</v>
      </c>
      <c r="EG104" s="114">
        <v>4605.1985775552166</v>
      </c>
      <c r="EH104" s="114">
        <v>3728.5968012228695</v>
      </c>
      <c r="EI104" s="114">
        <v>3399.4974546548051</v>
      </c>
      <c r="EJ104" s="114">
        <v>17054.624002142689</v>
      </c>
      <c r="EK104" s="114">
        <v>17746.241389144081</v>
      </c>
      <c r="EL104" s="114">
        <v>19390.076045732709</v>
      </c>
      <c r="EM104" s="114">
        <v>2028.9442048961539</v>
      </c>
      <c r="EN104" s="114">
        <v>7885.5404555718515</v>
      </c>
      <c r="EO104" s="114">
        <v>10548.6377049572</v>
      </c>
      <c r="EP104" s="114">
        <v>5312.6963247309195</v>
      </c>
      <c r="EQ104" s="114">
        <v>7567.7524268552461</v>
      </c>
      <c r="ER104" s="114">
        <v>6824.5785195784929</v>
      </c>
      <c r="ES104" s="114">
        <v>8186.3802841388188</v>
      </c>
      <c r="ET104" s="114">
        <v>15805.022992930124</v>
      </c>
      <c r="EU104" s="114">
        <v>16030.837017776576</v>
      </c>
      <c r="EV104" s="114">
        <v>16147.560678708069</v>
      </c>
      <c r="EW104" s="114">
        <v>8671.9792675487679</v>
      </c>
      <c r="EX104" s="114">
        <v>10630.536025506683</v>
      </c>
      <c r="EY104" s="114">
        <v>5813.6776827113044</v>
      </c>
      <c r="EZ104" s="114">
        <v>12499.579070823449</v>
      </c>
      <c r="FA104" s="114">
        <v>8018.5215012142853</v>
      </c>
      <c r="FB104" s="114">
        <v>12367.845575168201</v>
      </c>
      <c r="FC104" s="114">
        <v>1812.0875562637939</v>
      </c>
      <c r="FD104" s="114">
        <v>8214.4154275879137</v>
      </c>
      <c r="FE104" s="114">
        <v>8457.8233631918065</v>
      </c>
      <c r="FF104" s="114">
        <v>6457.4968130006346</v>
      </c>
      <c r="FG104" s="114">
        <v>9337.739891890722</v>
      </c>
      <c r="FH104" s="114">
        <v>3224.1030694595629</v>
      </c>
      <c r="FI104" s="114">
        <v>7802.6673878348856</v>
      </c>
      <c r="FJ104" s="114">
        <v>10022.470574432436</v>
      </c>
      <c r="FK104" s="114">
        <v>9536.1353233980954</v>
      </c>
      <c r="FL104" s="114">
        <v>2706.4844696526329</v>
      </c>
      <c r="FM104" s="114">
        <v>7420.6257452339132</v>
      </c>
      <c r="FN104" s="114">
        <v>16445.370957714324</v>
      </c>
      <c r="FO104" s="114">
        <v>8011.6883193646645</v>
      </c>
      <c r="FP104" s="114">
        <v>8970.8887555295878</v>
      </c>
      <c r="FQ104" s="114">
        <v>6756.8792183568439</v>
      </c>
      <c r="FR104" s="114">
        <v>2157.9601727604318</v>
      </c>
      <c r="FS104" s="114">
        <v>4007.5605423941342</v>
      </c>
      <c r="FT104" s="114">
        <v>7429.1003987687973</v>
      </c>
      <c r="FU104" s="114">
        <v>506.74503547603615</v>
      </c>
      <c r="FV104" s="114">
        <v>3828.686619265075</v>
      </c>
      <c r="FW104" s="114">
        <v>10969.722826528719</v>
      </c>
      <c r="FX104" s="114">
        <v>16406.394082589231</v>
      </c>
      <c r="FY104" s="114">
        <v>9045.8556023791334</v>
      </c>
      <c r="FZ104" s="114">
        <v>7057.829011660896</v>
      </c>
      <c r="GA104" s="114">
        <v>4895.8062729022904</v>
      </c>
      <c r="GB104" s="114">
        <v>7884.5232113582315</v>
      </c>
      <c r="GC104" s="114">
        <v>7243.5616445480146</v>
      </c>
      <c r="GD104" s="114">
        <v>5024.9577479520103</v>
      </c>
      <c r="GE104" s="114">
        <v>9314.2841110547106</v>
      </c>
      <c r="GF104" s="114">
        <v>12847.007162040847</v>
      </c>
      <c r="GG104" s="114">
        <v>13521.98669125014</v>
      </c>
      <c r="GH104" s="114">
        <v>13315.313883756968</v>
      </c>
      <c r="GI104" s="114">
        <v>13733.5975335691</v>
      </c>
      <c r="GJ104" s="114">
        <v>17164.95773111183</v>
      </c>
      <c r="GK104" s="114">
        <v>4108.8879936057629</v>
      </c>
      <c r="GL104" s="114">
        <v>16681.779833567172</v>
      </c>
      <c r="GM104" s="114">
        <v>511.45480367532792</v>
      </c>
      <c r="GN104" s="114">
        <v>6176.992253435531</v>
      </c>
      <c r="GO104" s="114">
        <v>8908.0871790544898</v>
      </c>
      <c r="GP104" s="114">
        <v>8715.3684234311859</v>
      </c>
      <c r="GQ104" s="114">
        <v>884.29332762763306</v>
      </c>
      <c r="GR104" s="114">
        <v>7669.2421262460084</v>
      </c>
      <c r="GS104" s="114">
        <v>8854.9152072880188</v>
      </c>
      <c r="GT104" s="115">
        <v>9378.3640050507365</v>
      </c>
    </row>
    <row r="105" spans="2:202" x14ac:dyDescent="0.6">
      <c r="B105" s="106" t="s">
        <v>93</v>
      </c>
      <c r="C105" s="63" t="s">
        <v>474</v>
      </c>
      <c r="D105" s="113">
        <v>4184.9988050908369</v>
      </c>
      <c r="E105" s="114">
        <v>2730.4607238380536</v>
      </c>
      <c r="F105" s="114">
        <v>2262.5125920311825</v>
      </c>
      <c r="G105" s="114">
        <v>7300.3696750852523</v>
      </c>
      <c r="H105" s="114">
        <v>8179.1775632485815</v>
      </c>
      <c r="I105" s="114">
        <v>12967.044575927202</v>
      </c>
      <c r="J105" s="114">
        <v>2342.8629857375095</v>
      </c>
      <c r="K105" s="114">
        <v>15314.509680125197</v>
      </c>
      <c r="L105" s="114">
        <v>1075.3912071054644</v>
      </c>
      <c r="M105" s="114">
        <v>2578.9670876561777</v>
      </c>
      <c r="N105" s="114">
        <v>8361.7090717540341</v>
      </c>
      <c r="O105" s="114">
        <v>3978.3342869014596</v>
      </c>
      <c r="P105" s="114">
        <v>6403.0828592805019</v>
      </c>
      <c r="Q105" s="114">
        <v>8395.7778252658791</v>
      </c>
      <c r="R105" s="114">
        <v>392.51587334034554</v>
      </c>
      <c r="S105" s="114">
        <v>1467.0313700215013</v>
      </c>
      <c r="T105" s="114">
        <v>9715.7727715802484</v>
      </c>
      <c r="U105" s="114">
        <v>5907.346906937074</v>
      </c>
      <c r="V105" s="114">
        <v>6011.133121959655</v>
      </c>
      <c r="W105" s="114">
        <v>11636.279834509402</v>
      </c>
      <c r="X105" s="114">
        <v>1503.8725588759478</v>
      </c>
      <c r="Y105" s="114">
        <v>9005.6601739088492</v>
      </c>
      <c r="Z105" s="114">
        <v>11072.940111556423</v>
      </c>
      <c r="AA105" s="114">
        <v>10826.94369283273</v>
      </c>
      <c r="AB105" s="114">
        <v>9644.7652519721451</v>
      </c>
      <c r="AC105" s="114">
        <v>1566.8810078297915</v>
      </c>
      <c r="AD105" s="114">
        <v>5392.4345276887716</v>
      </c>
      <c r="AE105" s="114">
        <v>6653.3014521126688</v>
      </c>
      <c r="AF105" s="114">
        <v>6092.2649034630922</v>
      </c>
      <c r="AG105" s="114">
        <v>8372.1996268401454</v>
      </c>
      <c r="AH105" s="114">
        <v>5972.9384560955032</v>
      </c>
      <c r="AI105" s="114">
        <v>6003.8917224835332</v>
      </c>
      <c r="AJ105" s="114">
        <v>6793.2804599876408</v>
      </c>
      <c r="AK105" s="114">
        <v>6459.4813626876612</v>
      </c>
      <c r="AL105" s="114">
        <v>5837.5930533313967</v>
      </c>
      <c r="AM105" s="114">
        <v>5007.1988405545462</v>
      </c>
      <c r="AN105" s="114">
        <v>13294.068145332969</v>
      </c>
      <c r="AO105" s="114">
        <v>7580.2848883991164</v>
      </c>
      <c r="AP105" s="114">
        <v>6557.5799744068654</v>
      </c>
      <c r="AQ105" s="114">
        <v>10097.811604010416</v>
      </c>
      <c r="AR105" s="114">
        <v>7756.3755709750249</v>
      </c>
      <c r="AS105" s="114">
        <v>6813.8201461048966</v>
      </c>
      <c r="AT105" s="114">
        <v>6789.6094629415475</v>
      </c>
      <c r="AU105" s="114">
        <v>10202.317001631838</v>
      </c>
      <c r="AV105" s="114">
        <v>6204.7979648873361</v>
      </c>
      <c r="AW105" s="114">
        <v>1360.632729493484</v>
      </c>
      <c r="AX105" s="114">
        <v>8824.5978647924185</v>
      </c>
      <c r="AY105" s="114">
        <v>2481.520123949455</v>
      </c>
      <c r="AZ105" s="114">
        <v>972.15933568734351</v>
      </c>
      <c r="BA105" s="114">
        <v>740.13900124102747</v>
      </c>
      <c r="BB105" s="114">
        <v>5289.5265616981651</v>
      </c>
      <c r="BC105" s="114">
        <v>8317.7404126675992</v>
      </c>
      <c r="BD105" s="114">
        <v>8539.3932605406917</v>
      </c>
      <c r="BE105" s="114">
        <v>6801.4562599003411</v>
      </c>
      <c r="BF105" s="114">
        <v>10779.635245688653</v>
      </c>
      <c r="BG105" s="114">
        <v>3000.1415373821851</v>
      </c>
      <c r="BH105" s="114">
        <v>10121.297355436714</v>
      </c>
      <c r="BI105" s="114">
        <v>6061.9311839395568</v>
      </c>
      <c r="BJ105" s="114">
        <v>4757.3593650779039</v>
      </c>
      <c r="BK105" s="114">
        <v>300.04653833602976</v>
      </c>
      <c r="BL105" s="114">
        <v>9220.4865075670896</v>
      </c>
      <c r="BM105" s="114">
        <v>5427.9931192097747</v>
      </c>
      <c r="BN105" s="114">
        <v>406.31508617296004</v>
      </c>
      <c r="BO105" s="114">
        <v>1717.7665706181042</v>
      </c>
      <c r="BP105" s="114">
        <v>6397.5657743776901</v>
      </c>
      <c r="BQ105" s="114">
        <v>5908.6747077102982</v>
      </c>
      <c r="BR105" s="114">
        <v>2227.6942827288431</v>
      </c>
      <c r="BS105" s="114">
        <v>842.49727400565791</v>
      </c>
      <c r="BT105" s="114">
        <v>1258.1597235491331</v>
      </c>
      <c r="BU105" s="114">
        <v>1242.7470479961405</v>
      </c>
      <c r="BV105" s="114">
        <v>6074.5608186044392</v>
      </c>
      <c r="BW105" s="114">
        <v>2107.6458191033698</v>
      </c>
      <c r="BX105" s="114">
        <v>8636.9778992992997</v>
      </c>
      <c r="BY105" s="114">
        <v>10086.350946700471</v>
      </c>
      <c r="BZ105" s="114">
        <v>6174.0497340172087</v>
      </c>
      <c r="CA105" s="114">
        <v>6046.0791262367011</v>
      </c>
      <c r="CB105" s="114">
        <v>8926.9623042277126</v>
      </c>
      <c r="CC105" s="114">
        <v>8685.2400577825065</v>
      </c>
      <c r="CD105" s="114">
        <v>9951.0477798927477</v>
      </c>
      <c r="CE105" s="114">
        <v>1083.1059429445929</v>
      </c>
      <c r="CF105" s="114">
        <v>2585.3919845668802</v>
      </c>
      <c r="CG105" s="114">
        <v>5780.285057273546</v>
      </c>
      <c r="CH105" s="114">
        <v>5173.0621348247223</v>
      </c>
      <c r="CI105" s="114">
        <v>10104.458540785768</v>
      </c>
      <c r="CJ105" s="114">
        <v>3109.2538926560483</v>
      </c>
      <c r="CK105" s="114">
        <v>3019.1573641060372</v>
      </c>
      <c r="CL105" s="114">
        <v>1952.4739643214709</v>
      </c>
      <c r="CM105" s="114">
        <v>5253.6557295131206</v>
      </c>
      <c r="CN105" s="114">
        <v>1869.3352590574541</v>
      </c>
      <c r="CO105" s="114">
        <v>1605.4041313706532</v>
      </c>
      <c r="CP105" s="114">
        <v>8974.2933136794036</v>
      </c>
      <c r="CQ105" s="114">
        <v>8116.6809786731519</v>
      </c>
      <c r="CR105" s="114">
        <v>2913.1753307934582</v>
      </c>
      <c r="CS105" s="114">
        <v>3093.5896027526128</v>
      </c>
      <c r="CT105" s="114">
        <v>6512.4381573782521</v>
      </c>
      <c r="CU105" s="114">
        <v>3560.3828623310474</v>
      </c>
      <c r="CV105" s="114">
        <v>3847.5840782093333</v>
      </c>
      <c r="CW105" s="114">
        <v>7666.1940570400475</v>
      </c>
      <c r="CX105" s="114" t="s">
        <v>237</v>
      </c>
      <c r="CY105" s="114">
        <v>2697.3993248529223</v>
      </c>
      <c r="CZ105" s="114">
        <v>9535.3738688461508</v>
      </c>
      <c r="DA105" s="114">
        <v>6362.7297017882138</v>
      </c>
      <c r="DB105" s="114">
        <v>2804.0265476994277</v>
      </c>
      <c r="DC105" s="114">
        <v>1455.4245238439858</v>
      </c>
      <c r="DD105" s="114">
        <v>249.09480155503331</v>
      </c>
      <c r="DE105" s="114">
        <v>1437.7360471131888</v>
      </c>
      <c r="DF105" s="114">
        <v>8626.4629916786835</v>
      </c>
      <c r="DG105" s="114">
        <v>7891.0686977823252</v>
      </c>
      <c r="DH105" s="114">
        <v>8946.0259972032054</v>
      </c>
      <c r="DI105" s="114">
        <v>7262.3902062631396</v>
      </c>
      <c r="DJ105" s="114">
        <v>5607.7211260435997</v>
      </c>
      <c r="DK105" s="114">
        <v>2447.1272367392435</v>
      </c>
      <c r="DL105" s="114">
        <v>9070.1894709806056</v>
      </c>
      <c r="DM105" s="114">
        <v>9083.1003329956402</v>
      </c>
      <c r="DN105" s="114">
        <v>10075.711859160931</v>
      </c>
      <c r="DO105" s="114">
        <v>1107.8455487272902</v>
      </c>
      <c r="DP105" s="114">
        <v>1842.6627090719726</v>
      </c>
      <c r="DQ105" s="114">
        <v>5370.8108760609857</v>
      </c>
      <c r="DR105" s="114">
        <v>1603.8060613282421</v>
      </c>
      <c r="DS105" s="114">
        <v>3426.1533063885277</v>
      </c>
      <c r="DT105" s="114">
        <v>9163.2340692038106</v>
      </c>
      <c r="DU105" s="114">
        <v>7395.4043826209609</v>
      </c>
      <c r="DV105" s="114">
        <v>8796.0147835464431</v>
      </c>
      <c r="DW105" s="114">
        <v>5739.6216991870269</v>
      </c>
      <c r="DX105" s="114">
        <v>1347.0394291210532</v>
      </c>
      <c r="DY105" s="114">
        <v>16932.193178287762</v>
      </c>
      <c r="DZ105" s="114">
        <v>17290.240304348739</v>
      </c>
      <c r="EA105" s="114">
        <v>10088.117073984738</v>
      </c>
      <c r="EB105" s="114">
        <v>5164.0552830021916</v>
      </c>
      <c r="EC105" s="114">
        <v>5476.7516848665327</v>
      </c>
      <c r="ED105" s="114">
        <v>7085.8104026976243</v>
      </c>
      <c r="EE105" s="114">
        <v>1627.1123310286728</v>
      </c>
      <c r="EF105" s="114">
        <v>867.68562971434255</v>
      </c>
      <c r="EG105" s="114">
        <v>4612.1723286478118</v>
      </c>
      <c r="EH105" s="114">
        <v>4912.9786309024066</v>
      </c>
      <c r="EI105" s="114">
        <v>4496.2112791690115</v>
      </c>
      <c r="EJ105" s="114">
        <v>9976.2894089299116</v>
      </c>
      <c r="EK105" s="114">
        <v>11808.97946834767</v>
      </c>
      <c r="EL105" s="114">
        <v>11796.39555979708</v>
      </c>
      <c r="EM105" s="114">
        <v>9092.7658904159307</v>
      </c>
      <c r="EN105" s="114">
        <v>528.31368543158237</v>
      </c>
      <c r="EO105" s="114">
        <v>3153.0650385147255</v>
      </c>
      <c r="EP105" s="114">
        <v>4118.3101451585762</v>
      </c>
      <c r="EQ105" s="114">
        <v>1370.5930023037799</v>
      </c>
      <c r="ER105" s="114">
        <v>841.64482739067796</v>
      </c>
      <c r="ES105" s="114">
        <v>6484.9823850153571</v>
      </c>
      <c r="ET105" s="114">
        <v>8210.5652295681284</v>
      </c>
      <c r="EU105" s="114">
        <v>8385.3145999165517</v>
      </c>
      <c r="EV105" s="114">
        <v>8501.4603758744306</v>
      </c>
      <c r="EW105" s="114">
        <v>1665.3561131848865</v>
      </c>
      <c r="EX105" s="114">
        <v>6472.1320365181618</v>
      </c>
      <c r="EY105" s="114">
        <v>4000.5631751312776</v>
      </c>
      <c r="EZ105" s="114">
        <v>5847.1609518844061</v>
      </c>
      <c r="FA105" s="114">
        <v>1362.6435997730669</v>
      </c>
      <c r="FB105" s="114">
        <v>6260.4959298443391</v>
      </c>
      <c r="FC105" s="114">
        <v>9254.7238103923937</v>
      </c>
      <c r="FD105" s="114">
        <v>1050.2763922292081</v>
      </c>
      <c r="FE105" s="114">
        <v>1346.2507994690925</v>
      </c>
      <c r="FF105" s="114">
        <v>6347.7851064630358</v>
      </c>
      <c r="FG105" s="114">
        <v>9122.6098557823425</v>
      </c>
      <c r="FH105" s="114">
        <v>7307.1883613361424</v>
      </c>
      <c r="FI105" s="114">
        <v>5784.4725906885151</v>
      </c>
      <c r="FJ105" s="114">
        <v>2689.0276407665547</v>
      </c>
      <c r="FK105" s="114">
        <v>2302.7014285046566</v>
      </c>
      <c r="FL105" s="114">
        <v>7326.6900449110854</v>
      </c>
      <c r="FM105" s="114">
        <v>4636.6813420298859</v>
      </c>
      <c r="FN105" s="114">
        <v>8835.0078173469883</v>
      </c>
      <c r="FO105" s="114">
        <v>464.65636538114791</v>
      </c>
      <c r="FP105" s="114">
        <v>1597.0065563804305</v>
      </c>
      <c r="FQ105" s="114">
        <v>2743.7691025992676</v>
      </c>
      <c r="FR105" s="114">
        <v>8147.1601748204748</v>
      </c>
      <c r="FS105" s="114">
        <v>3810.0566880701622</v>
      </c>
      <c r="FT105" s="114">
        <v>7179.0995574036551</v>
      </c>
      <c r="FU105" s="114">
        <v>7920.2953172665511</v>
      </c>
      <c r="FV105" s="114">
        <v>11462.959212569056</v>
      </c>
      <c r="FW105" s="114">
        <v>5957.510703715453</v>
      </c>
      <c r="FX105" s="114">
        <v>8750.7887218431952</v>
      </c>
      <c r="FY105" s="114">
        <v>2459.5717903340142</v>
      </c>
      <c r="FZ105" s="114">
        <v>1984.402462220397</v>
      </c>
      <c r="GA105" s="114">
        <v>3202.493074752816</v>
      </c>
      <c r="GB105" s="114">
        <v>6306.8860031146742</v>
      </c>
      <c r="GC105" s="114">
        <v>804.70658522009262</v>
      </c>
      <c r="GD105" s="114">
        <v>4330.3735105355508</v>
      </c>
      <c r="GE105" s="114">
        <v>1670.0180289369375</v>
      </c>
      <c r="GF105" s="114">
        <v>9334.518145642618</v>
      </c>
      <c r="GG105" s="114">
        <v>6779.2791880427794</v>
      </c>
      <c r="GH105" s="114">
        <v>6482.0374300537796</v>
      </c>
      <c r="GI105" s="114">
        <v>7095.7676993965824</v>
      </c>
      <c r="GJ105" s="114">
        <v>12594.895556515312</v>
      </c>
      <c r="GK105" s="114">
        <v>3621.0956525582287</v>
      </c>
      <c r="GL105" s="114">
        <v>9092.1587106195966</v>
      </c>
      <c r="GM105" s="114">
        <v>7548.8669461047675</v>
      </c>
      <c r="GN105" s="114">
        <v>4882.4384763613425</v>
      </c>
      <c r="GO105" s="114">
        <v>7993.9472486433897</v>
      </c>
      <c r="GP105" s="114">
        <v>8249.5184154420858</v>
      </c>
      <c r="GQ105" s="114">
        <v>8549.3736012933859</v>
      </c>
      <c r="GR105" s="114">
        <v>15311.807501328612</v>
      </c>
      <c r="GS105" s="114">
        <v>1466.6899078609126</v>
      </c>
      <c r="GT105" s="115">
        <v>9206.7205902468322</v>
      </c>
    </row>
    <row r="106" spans="2:202" x14ac:dyDescent="0.6">
      <c r="B106" s="106" t="s">
        <v>94</v>
      </c>
      <c r="C106" s="63" t="s">
        <v>475</v>
      </c>
      <c r="D106" s="113">
        <v>3105.9942465832683</v>
      </c>
      <c r="E106" s="114">
        <v>2940.4427113569527</v>
      </c>
      <c r="F106" s="114">
        <v>3113.4111015645371</v>
      </c>
      <c r="G106" s="114">
        <v>5227.0499383338711</v>
      </c>
      <c r="H106" s="114">
        <v>9603.0563933190442</v>
      </c>
      <c r="I106" s="114">
        <v>12554.332864438038</v>
      </c>
      <c r="J106" s="114">
        <v>1083.157112603144</v>
      </c>
      <c r="K106" s="114">
        <v>14170.261850286117</v>
      </c>
      <c r="L106" s="114">
        <v>2270.7924341077328</v>
      </c>
      <c r="M106" s="114">
        <v>1470.4367827961812</v>
      </c>
      <c r="N106" s="114">
        <v>10359.653958032695</v>
      </c>
      <c r="O106" s="114">
        <v>1662.8977287321254</v>
      </c>
      <c r="P106" s="114">
        <v>5424.5817503311855</v>
      </c>
      <c r="Q106" s="114">
        <v>9628.5103153418604</v>
      </c>
      <c r="R106" s="114">
        <v>2311.2149805872523</v>
      </c>
      <c r="S106" s="114">
        <v>3150.3939586834053</v>
      </c>
      <c r="T106" s="114">
        <v>11800.213145893476</v>
      </c>
      <c r="U106" s="114">
        <v>4548.4610858983315</v>
      </c>
      <c r="V106" s="114">
        <v>5179.5760907472177</v>
      </c>
      <c r="W106" s="114">
        <v>12216.103881129129</v>
      </c>
      <c r="X106" s="114">
        <v>1846.9819311848235</v>
      </c>
      <c r="Y106" s="114">
        <v>6528.947240545107</v>
      </c>
      <c r="Z106" s="114">
        <v>10733.75946701168</v>
      </c>
      <c r="AA106" s="114">
        <v>10400.827828405369</v>
      </c>
      <c r="AB106" s="114">
        <v>8774.9868149692065</v>
      </c>
      <c r="AC106" s="114">
        <v>1449.8307771635787</v>
      </c>
      <c r="AD106" s="114">
        <v>4404.3556666065415</v>
      </c>
      <c r="AE106" s="114">
        <v>4130.2206043371343</v>
      </c>
      <c r="AF106" s="114">
        <v>6205.1265972992669</v>
      </c>
      <c r="AG106" s="114">
        <v>7393.4165870273409</v>
      </c>
      <c r="AH106" s="114">
        <v>4216.7263926157057</v>
      </c>
      <c r="AI106" s="114">
        <v>4162.3481864828491</v>
      </c>
      <c r="AJ106" s="114">
        <v>9178.8288526906399</v>
      </c>
      <c r="AK106" s="114">
        <v>8823.5882366043825</v>
      </c>
      <c r="AL106" s="114">
        <v>3701.5560606382887</v>
      </c>
      <c r="AM106" s="114">
        <v>3178.0052332840323</v>
      </c>
      <c r="AN106" s="114">
        <v>13281.497706476774</v>
      </c>
      <c r="AO106" s="114">
        <v>7836.4799206369416</v>
      </c>
      <c r="AP106" s="114">
        <v>7008.8360303915106</v>
      </c>
      <c r="AQ106" s="114">
        <v>11506.161908714013</v>
      </c>
      <c r="AR106" s="114">
        <v>5064.6961358044055</v>
      </c>
      <c r="AS106" s="114">
        <v>4705.4693267370385</v>
      </c>
      <c r="AT106" s="114">
        <v>4690.7119856888676</v>
      </c>
      <c r="AU106" s="114">
        <v>12022.514227609967</v>
      </c>
      <c r="AV106" s="114">
        <v>5126.0346633842155</v>
      </c>
      <c r="AW106" s="114">
        <v>2143.075392486192</v>
      </c>
      <c r="AX106" s="114">
        <v>10889.04148502986</v>
      </c>
      <c r="AY106" s="114">
        <v>257.41872019415638</v>
      </c>
      <c r="AZ106" s="114">
        <v>2518.7004694860857</v>
      </c>
      <c r="BA106" s="114">
        <v>3010.1554868062904</v>
      </c>
      <c r="BB106" s="114">
        <v>2593.1122817469632</v>
      </c>
      <c r="BC106" s="114">
        <v>9669.3117003792831</v>
      </c>
      <c r="BD106" s="114">
        <v>10199.10701915901</v>
      </c>
      <c r="BE106" s="114">
        <v>4700.3445624315991</v>
      </c>
      <c r="BF106" s="114">
        <v>12190.499781030321</v>
      </c>
      <c r="BG106" s="114">
        <v>555.40523575539532</v>
      </c>
      <c r="BH106" s="114">
        <v>12151.744377020152</v>
      </c>
      <c r="BI106" s="114">
        <v>4349.3710458842061</v>
      </c>
      <c r="BJ106" s="114">
        <v>2065.1930072045247</v>
      </c>
      <c r="BK106" s="114">
        <v>2966.3035466064875</v>
      </c>
      <c r="BL106" s="114">
        <v>6654.6162067380819</v>
      </c>
      <c r="BM106" s="114">
        <v>2743.949463667479</v>
      </c>
      <c r="BN106" s="114">
        <v>3053.3495768116463</v>
      </c>
      <c r="BO106" s="114">
        <v>3201.5604094842602</v>
      </c>
      <c r="BP106" s="114">
        <v>4591.8533260089362</v>
      </c>
      <c r="BQ106" s="114">
        <v>5668.6093188793166</v>
      </c>
      <c r="BR106" s="114">
        <v>1194.0931764433547</v>
      </c>
      <c r="BS106" s="114">
        <v>2731.3786202791853</v>
      </c>
      <c r="BT106" s="114">
        <v>2554.9758028277001</v>
      </c>
      <c r="BU106" s="114">
        <v>2848.2901091907729</v>
      </c>
      <c r="BV106" s="114">
        <v>4810.0033655126244</v>
      </c>
      <c r="BW106" s="114">
        <v>1161.624843675892</v>
      </c>
      <c r="BX106" s="114">
        <v>9910.6904935411712</v>
      </c>
      <c r="BY106" s="114">
        <v>12162.545615258643</v>
      </c>
      <c r="BZ106" s="114">
        <v>5656.748395042935</v>
      </c>
      <c r="CA106" s="114">
        <v>5694.2965412212525</v>
      </c>
      <c r="CB106" s="114">
        <v>9924.8597784499761</v>
      </c>
      <c r="CC106" s="114">
        <v>10413.189732120265</v>
      </c>
      <c r="CD106" s="114">
        <v>11947.390772787041</v>
      </c>
      <c r="CE106" s="114">
        <v>2049.8507186230631</v>
      </c>
      <c r="CF106" s="114">
        <v>5104.4652227060114</v>
      </c>
      <c r="CG106" s="114">
        <v>4047.186368681927</v>
      </c>
      <c r="CH106" s="114">
        <v>4002.2415303015318</v>
      </c>
      <c r="CI106" s="114">
        <v>8659.4174065980751</v>
      </c>
      <c r="CJ106" s="114">
        <v>1479.1953955904553</v>
      </c>
      <c r="CK106" s="114">
        <v>835.42943425722626</v>
      </c>
      <c r="CL106" s="114">
        <v>3921.2853119654401</v>
      </c>
      <c r="CM106" s="114">
        <v>6462.8901027267866</v>
      </c>
      <c r="CN106" s="114">
        <v>2207.716060958347</v>
      </c>
      <c r="CO106" s="114">
        <v>2587.1080262329033</v>
      </c>
      <c r="CP106" s="114">
        <v>10798.656268507488</v>
      </c>
      <c r="CQ106" s="114">
        <v>9027.3601121815882</v>
      </c>
      <c r="CR106" s="114">
        <v>218.82887639019964</v>
      </c>
      <c r="CS106" s="114">
        <v>3493.0088927303341</v>
      </c>
      <c r="CT106" s="114">
        <v>3860.408119799898</v>
      </c>
      <c r="CU106" s="114">
        <v>1291.6544162625266</v>
      </c>
      <c r="CV106" s="114">
        <v>3537.4719658199588</v>
      </c>
      <c r="CW106" s="114">
        <v>6836.2665008837848</v>
      </c>
      <c r="CX106" s="114">
        <v>2697.3993248529223</v>
      </c>
      <c r="CY106" s="114" t="s">
        <v>237</v>
      </c>
      <c r="CZ106" s="114">
        <v>7023.8339389318735</v>
      </c>
      <c r="DA106" s="114">
        <v>5604.0185524825056</v>
      </c>
      <c r="DB106" s="114">
        <v>2073.0366489283902</v>
      </c>
      <c r="DC106" s="114">
        <v>2650.2949127412053</v>
      </c>
      <c r="DD106" s="114">
        <v>2450.057129010172</v>
      </c>
      <c r="DE106" s="114">
        <v>2974.7967341427584</v>
      </c>
      <c r="DF106" s="114">
        <v>5929.345076645538</v>
      </c>
      <c r="DG106" s="114">
        <v>5288.6569746217947</v>
      </c>
      <c r="DH106" s="114">
        <v>7612.4646878559179</v>
      </c>
      <c r="DI106" s="114">
        <v>5120.0637140426052</v>
      </c>
      <c r="DJ106" s="114">
        <v>4932.4942694646861</v>
      </c>
      <c r="DK106" s="114">
        <v>1932.8391877617466</v>
      </c>
      <c r="DL106" s="114">
        <v>6403.1723000880238</v>
      </c>
      <c r="DM106" s="114">
        <v>6417.2693993617359</v>
      </c>
      <c r="DN106" s="114">
        <v>12416.973014409996</v>
      </c>
      <c r="DO106" s="114">
        <v>1594.2092823074718</v>
      </c>
      <c r="DP106" s="114">
        <v>2657.83866904054</v>
      </c>
      <c r="DQ106" s="114">
        <v>6016.6995929083187</v>
      </c>
      <c r="DR106" s="114">
        <v>1715.6011620961478</v>
      </c>
      <c r="DS106" s="114">
        <v>3868.193444290001</v>
      </c>
      <c r="DT106" s="114">
        <v>6580.3285587862501</v>
      </c>
      <c r="DU106" s="114">
        <v>6332.6678301872271</v>
      </c>
      <c r="DV106" s="114">
        <v>6508.1576838064684</v>
      </c>
      <c r="DW106" s="114">
        <v>4782.6681953794159</v>
      </c>
      <c r="DX106" s="114">
        <v>3215.2282785004272</v>
      </c>
      <c r="DY106" s="114">
        <v>16340.035134262367</v>
      </c>
      <c r="DZ106" s="114">
        <v>16336.068004584173</v>
      </c>
      <c r="EA106" s="114">
        <v>12019.999739055525</v>
      </c>
      <c r="EB106" s="114">
        <v>4043.0948272703158</v>
      </c>
      <c r="EC106" s="114">
        <v>3950.731400195265</v>
      </c>
      <c r="ED106" s="114">
        <v>7740.2906123130142</v>
      </c>
      <c r="EE106" s="114">
        <v>1550.3357415026446</v>
      </c>
      <c r="EF106" s="114">
        <v>3418.1362393063205</v>
      </c>
      <c r="EG106" s="114">
        <v>2512.7222875032962</v>
      </c>
      <c r="EH106" s="114">
        <v>3214.4509434979241</v>
      </c>
      <c r="EI106" s="114">
        <v>3485.5929571739416</v>
      </c>
      <c r="EJ106" s="114">
        <v>11655.596105913035</v>
      </c>
      <c r="EK106" s="114">
        <v>11740.67551552035</v>
      </c>
      <c r="EL106" s="114">
        <v>12799.790909965965</v>
      </c>
      <c r="EM106" s="114">
        <v>8737.3780068218439</v>
      </c>
      <c r="EN106" s="114">
        <v>2364.9453098507402</v>
      </c>
      <c r="EO106" s="114">
        <v>3994.5059152662111</v>
      </c>
      <c r="EP106" s="114">
        <v>1809.2552753846508</v>
      </c>
      <c r="EQ106" s="114">
        <v>1433.6534102432174</v>
      </c>
      <c r="ER106" s="114">
        <v>2477.7936982130504</v>
      </c>
      <c r="ES106" s="114">
        <v>3944.005291299417</v>
      </c>
      <c r="ET106" s="114">
        <v>9651.8488001363166</v>
      </c>
      <c r="EU106" s="114">
        <v>9683.605750018829</v>
      </c>
      <c r="EV106" s="114">
        <v>9787.3599549348965</v>
      </c>
      <c r="EW106" s="114">
        <v>2279.401426620293</v>
      </c>
      <c r="EX106" s="114">
        <v>4788.3565056064226</v>
      </c>
      <c r="EY106" s="114">
        <v>1480.173332868201</v>
      </c>
      <c r="EZ106" s="114">
        <v>5687.1522829340593</v>
      </c>
      <c r="FA106" s="114">
        <v>1770.6199819796409</v>
      </c>
      <c r="FB106" s="114">
        <v>5693.8118900813961</v>
      </c>
      <c r="FC106" s="114">
        <v>7943.5438340113715</v>
      </c>
      <c r="FD106" s="114">
        <v>2220.6145610281965</v>
      </c>
      <c r="FE106" s="114">
        <v>2257.1063793400976</v>
      </c>
      <c r="FF106" s="114">
        <v>3653.3392907380744</v>
      </c>
      <c r="FG106" s="114">
        <v>6601.0841814513933</v>
      </c>
      <c r="FH106" s="114">
        <v>7925.3315236805056</v>
      </c>
      <c r="FI106" s="114">
        <v>3212.1377017591503</v>
      </c>
      <c r="FJ106" s="114">
        <v>3498.0465177325573</v>
      </c>
      <c r="FK106" s="114">
        <v>3031.6573957234659</v>
      </c>
      <c r="FL106" s="114">
        <v>5446.3109091125407</v>
      </c>
      <c r="FM106" s="114">
        <v>2047.7164054439709</v>
      </c>
      <c r="FN106" s="114">
        <v>9707.9636670098498</v>
      </c>
      <c r="FO106" s="114">
        <v>3125.7729234996914</v>
      </c>
      <c r="FP106" s="114">
        <v>2769.53291773505</v>
      </c>
      <c r="FQ106" s="114">
        <v>84.701815356963564</v>
      </c>
      <c r="FR106" s="114">
        <v>8179.1815358684999</v>
      </c>
      <c r="FS106" s="114">
        <v>3017.2267010121373</v>
      </c>
      <c r="FT106" s="114">
        <v>4505.2044709379907</v>
      </c>
      <c r="FU106" s="114">
        <v>6881.3222444037456</v>
      </c>
      <c r="FV106" s="114">
        <v>10514.567682591156</v>
      </c>
      <c r="FW106" s="114">
        <v>4653.5148275254924</v>
      </c>
      <c r="FX106" s="114">
        <v>9975.932346257232</v>
      </c>
      <c r="FY106" s="114">
        <v>2311.8414510940056</v>
      </c>
      <c r="FZ106" s="114">
        <v>715.63951208604442</v>
      </c>
      <c r="GA106" s="114">
        <v>2057.4360738223045</v>
      </c>
      <c r="GB106" s="114">
        <v>3719.4404365532696</v>
      </c>
      <c r="GC106" s="114">
        <v>1909.4965602524255</v>
      </c>
      <c r="GD106" s="114">
        <v>2103.5436816972178</v>
      </c>
      <c r="GE106" s="114">
        <v>3462.0691209644297</v>
      </c>
      <c r="GF106" s="114">
        <v>12009.485652901923</v>
      </c>
      <c r="GG106" s="114">
        <v>9039.9521094218253</v>
      </c>
      <c r="GH106" s="114">
        <v>8733.8533165847384</v>
      </c>
      <c r="GI106" s="114">
        <v>9366.3915622939003</v>
      </c>
      <c r="GJ106" s="114">
        <v>12149.405802502597</v>
      </c>
      <c r="GK106" s="114">
        <v>3084.0423319002048</v>
      </c>
      <c r="GL106" s="114">
        <v>10452.570327439113</v>
      </c>
      <c r="GM106" s="114">
        <v>6947.4596310482157</v>
      </c>
      <c r="GN106" s="114">
        <v>2207.8699481237459</v>
      </c>
      <c r="GO106" s="114">
        <v>5480.1737006761605</v>
      </c>
      <c r="GP106" s="114">
        <v>5684.7503111384203</v>
      </c>
      <c r="GQ106" s="114">
        <v>7620.4694157810991</v>
      </c>
      <c r="GR106" s="114">
        <v>14055.815630094399</v>
      </c>
      <c r="GS106" s="114">
        <v>2716.834246659731</v>
      </c>
      <c r="GT106" s="115">
        <v>6686.0121094942851</v>
      </c>
    </row>
    <row r="107" spans="2:202" x14ac:dyDescent="0.6">
      <c r="B107" s="106" t="s">
        <v>95</v>
      </c>
      <c r="C107" s="63" t="s">
        <v>476</v>
      </c>
      <c r="D107" s="113">
        <v>8311.255255730819</v>
      </c>
      <c r="E107" s="114">
        <v>7720.8694574535602</v>
      </c>
      <c r="F107" s="114">
        <v>8383.0798575116187</v>
      </c>
      <c r="G107" s="114">
        <v>2733.3777119451097</v>
      </c>
      <c r="H107" s="114">
        <v>10844.547826523505</v>
      </c>
      <c r="I107" s="114">
        <v>7920.3110210787054</v>
      </c>
      <c r="J107" s="114">
        <v>7901.4596507212855</v>
      </c>
      <c r="K107" s="114">
        <v>10841.52154157117</v>
      </c>
      <c r="L107" s="114">
        <v>8666.2340146392471</v>
      </c>
      <c r="M107" s="114">
        <v>8059.230276217585</v>
      </c>
      <c r="N107" s="114">
        <v>12660.476796868605</v>
      </c>
      <c r="O107" s="114">
        <v>6618.3230540285722</v>
      </c>
      <c r="P107" s="114">
        <v>8917.0822046680569</v>
      </c>
      <c r="Q107" s="114">
        <v>10387.78574649542</v>
      </c>
      <c r="R107" s="114">
        <v>9195.8204335050068</v>
      </c>
      <c r="S107" s="114">
        <v>9148.0786511021033</v>
      </c>
      <c r="T107" s="114">
        <v>13376.027299799332</v>
      </c>
      <c r="U107" s="114">
        <v>4752.1579309674862</v>
      </c>
      <c r="V107" s="114">
        <v>9120.9160736949998</v>
      </c>
      <c r="W107" s="114">
        <v>9643.4291003280923</v>
      </c>
      <c r="X107" s="114">
        <v>8136.2795614493007</v>
      </c>
      <c r="Y107" s="114">
        <v>553.23595866751532</v>
      </c>
      <c r="Z107" s="114">
        <v>7272.2744432716418</v>
      </c>
      <c r="AA107" s="114">
        <v>6972.3357529398272</v>
      </c>
      <c r="AB107" s="114">
        <v>10029.797313432919</v>
      </c>
      <c r="AC107" s="114">
        <v>7975.957373831613</v>
      </c>
      <c r="AD107" s="114">
        <v>5526.5309138101384</v>
      </c>
      <c r="AE107" s="114">
        <v>2900.0993839173893</v>
      </c>
      <c r="AF107" s="114">
        <v>7327.0010895457226</v>
      </c>
      <c r="AG107" s="114">
        <v>9408.5656654079703</v>
      </c>
      <c r="AH107" s="114">
        <v>4144.6962636181179</v>
      </c>
      <c r="AI107" s="114">
        <v>4012.4097157249544</v>
      </c>
      <c r="AJ107" s="114">
        <v>13478.230120990605</v>
      </c>
      <c r="AK107" s="114">
        <v>13209.339079690908</v>
      </c>
      <c r="AL107" s="114">
        <v>3835.9528860956275</v>
      </c>
      <c r="AM107" s="114">
        <v>4788.6455721749408</v>
      </c>
      <c r="AN107" s="114">
        <v>8923.0016847256393</v>
      </c>
      <c r="AO107" s="114">
        <v>11994.630127093831</v>
      </c>
      <c r="AP107" s="114">
        <v>11932.232473784365</v>
      </c>
      <c r="AQ107" s="114">
        <v>11339.098061180708</v>
      </c>
      <c r="AR107" s="114">
        <v>2571.3023006227363</v>
      </c>
      <c r="AS107" s="114">
        <v>3038.4778148859546</v>
      </c>
      <c r="AT107" s="114">
        <v>3071.2394096303956</v>
      </c>
      <c r="AU107" s="114">
        <v>12587.154631868645</v>
      </c>
      <c r="AV107" s="114">
        <v>5092.7257353508076</v>
      </c>
      <c r="AW107" s="114">
        <v>8388.1642260975659</v>
      </c>
      <c r="AX107" s="114">
        <v>13049.336566639331</v>
      </c>
      <c r="AY107" s="114">
        <v>7174.7952512204074</v>
      </c>
      <c r="AZ107" s="114">
        <v>8904.1760438330584</v>
      </c>
      <c r="BA107" s="114">
        <v>9513.4071623234759</v>
      </c>
      <c r="BB107" s="114">
        <v>4753.6994191995345</v>
      </c>
      <c r="BC107" s="114">
        <v>10686.474582230157</v>
      </c>
      <c r="BD107" s="114">
        <v>11634.026792760462</v>
      </c>
      <c r="BE107" s="114">
        <v>3058.6934799059381</v>
      </c>
      <c r="BF107" s="114">
        <v>11513.936743850256</v>
      </c>
      <c r="BG107" s="114">
        <v>6594.2110543445888</v>
      </c>
      <c r="BH107" s="114">
        <v>13274.663603978903</v>
      </c>
      <c r="BI107" s="114">
        <v>4145.4571389877065</v>
      </c>
      <c r="BJ107" s="114">
        <v>5079.5288865369912</v>
      </c>
      <c r="BK107" s="114">
        <v>9833.0799425873902</v>
      </c>
      <c r="BL107" s="114">
        <v>498.28916014587645</v>
      </c>
      <c r="BM107" s="114">
        <v>4411.7640257677695</v>
      </c>
      <c r="BN107" s="114">
        <v>9935.2155532675843</v>
      </c>
      <c r="BO107" s="114">
        <v>8991.9127789988543</v>
      </c>
      <c r="BP107" s="114">
        <v>3792.0198258028258</v>
      </c>
      <c r="BQ107" s="114">
        <v>6654.4565724683316</v>
      </c>
      <c r="BR107" s="114">
        <v>8048.1651031907877</v>
      </c>
      <c r="BS107" s="114">
        <v>9162.939936842371</v>
      </c>
      <c r="BT107" s="114">
        <v>8738.9893825636027</v>
      </c>
      <c r="BU107" s="114">
        <v>9006.227740331311</v>
      </c>
      <c r="BV107" s="114">
        <v>4825.7383979719452</v>
      </c>
      <c r="BW107" s="114">
        <v>7434.1400950310517</v>
      </c>
      <c r="BX107" s="114">
        <v>10566.736329159077</v>
      </c>
      <c r="BY107" s="114">
        <v>13431.994264478781</v>
      </c>
      <c r="BZ107" s="114">
        <v>6115.1543452657261</v>
      </c>
      <c r="CA107" s="114">
        <v>6436.7773847474637</v>
      </c>
      <c r="CB107" s="114">
        <v>9917.8600818047762</v>
      </c>
      <c r="CC107" s="114">
        <v>11886.263483858787</v>
      </c>
      <c r="CD107" s="114">
        <v>13116.082587220328</v>
      </c>
      <c r="CE107" s="114">
        <v>8543.2052886197034</v>
      </c>
      <c r="CF107" s="114">
        <v>11210.718723084026</v>
      </c>
      <c r="CG107" s="114">
        <v>7258.7115811364656</v>
      </c>
      <c r="CH107" s="114">
        <v>8306.1791323052585</v>
      </c>
      <c r="CI107" s="114">
        <v>8621.1866530027255</v>
      </c>
      <c r="CJ107" s="114">
        <v>7612.5998292051972</v>
      </c>
      <c r="CK107" s="114">
        <v>7163.7995567512953</v>
      </c>
      <c r="CL107" s="114">
        <v>9715.501886548489</v>
      </c>
      <c r="CM107" s="114">
        <v>9447.1447110350782</v>
      </c>
      <c r="CN107" s="114">
        <v>8013.5975548725337</v>
      </c>
      <c r="CO107" s="114">
        <v>8499.6482915654833</v>
      </c>
      <c r="CP107" s="114">
        <v>12277.003321825166</v>
      </c>
      <c r="CQ107" s="114">
        <v>13758.428450317944</v>
      </c>
      <c r="CR107" s="114">
        <v>6810.7606221805163</v>
      </c>
      <c r="CS107" s="114">
        <v>9912.2554564095426</v>
      </c>
      <c r="CT107" s="114">
        <v>3263.0050476203246</v>
      </c>
      <c r="CU107" s="114">
        <v>6863.9448158688774</v>
      </c>
      <c r="CV107" s="114">
        <v>9319.5708184147752</v>
      </c>
      <c r="CW107" s="114">
        <v>9572.9628048208233</v>
      </c>
      <c r="CX107" s="114">
        <v>9535.3738688461508</v>
      </c>
      <c r="CY107" s="114">
        <v>7023.8339389318735</v>
      </c>
      <c r="CZ107" s="114" t="s">
        <v>237</v>
      </c>
      <c r="DA107" s="114">
        <v>5635.2748213468631</v>
      </c>
      <c r="DB107" s="114">
        <v>7019.8422148499221</v>
      </c>
      <c r="DC107" s="114">
        <v>8669.7056783201824</v>
      </c>
      <c r="DD107" s="114">
        <v>9293.6584934443254</v>
      </c>
      <c r="DE107" s="114">
        <v>8983.7789248481968</v>
      </c>
      <c r="DF107" s="114">
        <v>2347.670934329205</v>
      </c>
      <c r="DG107" s="114">
        <v>1803.8429517045154</v>
      </c>
      <c r="DH107" s="114">
        <v>8642.8965371769955</v>
      </c>
      <c r="DI107" s="114">
        <v>6133.9365068485276</v>
      </c>
      <c r="DJ107" s="114">
        <v>5941.5471207614673</v>
      </c>
      <c r="DK107" s="114">
        <v>7324.0388309164891</v>
      </c>
      <c r="DL107" s="114">
        <v>3184.988606915349</v>
      </c>
      <c r="DM107" s="114">
        <v>3201.0791308641215</v>
      </c>
      <c r="DN107" s="114">
        <v>14512.470049517333</v>
      </c>
      <c r="DO107" s="114">
        <v>8473.451687246752</v>
      </c>
      <c r="DP107" s="114">
        <v>8357.16135774543</v>
      </c>
      <c r="DQ107" s="114">
        <v>11659.775218527931</v>
      </c>
      <c r="DR107" s="114">
        <v>8006.3248966600604</v>
      </c>
      <c r="DS107" s="114">
        <v>7890.9527548003334</v>
      </c>
      <c r="DT107" s="114">
        <v>636.98348813406403</v>
      </c>
      <c r="DU107" s="114">
        <v>8961.9635983378284</v>
      </c>
      <c r="DV107" s="114">
        <v>1276.61872010601</v>
      </c>
      <c r="DW107" s="114">
        <v>8809.2796613800547</v>
      </c>
      <c r="DX107" s="114">
        <v>9319.9083039890575</v>
      </c>
      <c r="DY107" s="114">
        <v>11924.597495867616</v>
      </c>
      <c r="DZ107" s="114">
        <v>11489.8456035573</v>
      </c>
      <c r="EA107" s="114">
        <v>12926.694343451238</v>
      </c>
      <c r="EB107" s="114">
        <v>5442.819522466506</v>
      </c>
      <c r="EC107" s="114">
        <v>4760.0095175453343</v>
      </c>
      <c r="ED107" s="114">
        <v>12641.379814729518</v>
      </c>
      <c r="EE107" s="114">
        <v>7940.1897195139782</v>
      </c>
      <c r="EF107" s="114">
        <v>9987.365075569578</v>
      </c>
      <c r="EG107" s="114">
        <v>6721.8960919776346</v>
      </c>
      <c r="EH107" s="114">
        <v>7363.2332514954123</v>
      </c>
      <c r="EI107" s="114">
        <v>8464.9167903194393</v>
      </c>
      <c r="EJ107" s="114">
        <v>12095.617827814811</v>
      </c>
      <c r="EK107" s="114">
        <v>8191.3480060931606</v>
      </c>
      <c r="EL107" s="114">
        <v>10707.031325048923</v>
      </c>
      <c r="EM107" s="114">
        <v>11133.56193428911</v>
      </c>
      <c r="EN107" s="114">
        <v>9062.1149736646512</v>
      </c>
      <c r="EO107" s="114">
        <v>8413.4485046479513</v>
      </c>
      <c r="EP107" s="114">
        <v>6564.4380562579418</v>
      </c>
      <c r="EQ107" s="114">
        <v>8168.1786461109432</v>
      </c>
      <c r="ER107" s="114">
        <v>9495.2218906037688</v>
      </c>
      <c r="ES107" s="114">
        <v>3081.5654190449322</v>
      </c>
      <c r="ET107" s="114">
        <v>10902.417003586557</v>
      </c>
      <c r="EU107" s="114">
        <v>10561.112201869344</v>
      </c>
      <c r="EV107" s="114">
        <v>10560.994908449265</v>
      </c>
      <c r="EW107" s="114">
        <v>8230.5743071859051</v>
      </c>
      <c r="EX107" s="114">
        <v>3940.561307108133</v>
      </c>
      <c r="EY107" s="114">
        <v>6299.5872146621696</v>
      </c>
      <c r="EZ107" s="114">
        <v>6805.9299353175265</v>
      </c>
      <c r="FA107" s="114">
        <v>8223.0231706060858</v>
      </c>
      <c r="FB107" s="114">
        <v>6011.7869404289149</v>
      </c>
      <c r="FC107" s="114">
        <v>8776.8972361347896</v>
      </c>
      <c r="FD107" s="114">
        <v>8653.6209447533274</v>
      </c>
      <c r="FE107" s="114">
        <v>8465.7522221114032</v>
      </c>
      <c r="FF107" s="114">
        <v>3960.8058883544886</v>
      </c>
      <c r="FG107" s="114">
        <v>423.68210867330032</v>
      </c>
      <c r="FH107" s="114">
        <v>12674.895764153731</v>
      </c>
      <c r="FI107" s="114">
        <v>3811.7086219970624</v>
      </c>
      <c r="FJ107" s="114">
        <v>8347.2380301778612</v>
      </c>
      <c r="FK107" s="114">
        <v>8260.8076345281879</v>
      </c>
      <c r="FL107" s="114">
        <v>6904.0634437469034</v>
      </c>
      <c r="FM107" s="114">
        <v>4976.7099800988408</v>
      </c>
      <c r="FN107" s="114">
        <v>9572.6375061107028</v>
      </c>
      <c r="FO107" s="114">
        <v>9864.616869652551</v>
      </c>
      <c r="FP107" s="114">
        <v>8660.356973720427</v>
      </c>
      <c r="FQ107" s="114">
        <v>7010.1349172907858</v>
      </c>
      <c r="FR107" s="114">
        <v>11717.206822160088</v>
      </c>
      <c r="FS107" s="114">
        <v>8639.3338780313989</v>
      </c>
      <c r="FT107" s="114">
        <v>2786.9848879121928</v>
      </c>
      <c r="FU107" s="114">
        <v>9145.7072953003026</v>
      </c>
      <c r="FV107" s="114">
        <v>10325.868553398766</v>
      </c>
      <c r="FW107" s="114">
        <v>4813.4545358327005</v>
      </c>
      <c r="FX107" s="114">
        <v>10467.959403091649</v>
      </c>
      <c r="FY107" s="114">
        <v>7520.8365245829427</v>
      </c>
      <c r="FZ107" s="114">
        <v>7663.8664971555472</v>
      </c>
      <c r="GA107" s="114">
        <v>8103.3286522462049</v>
      </c>
      <c r="GB107" s="114">
        <v>3309.7955228426804</v>
      </c>
      <c r="GC107" s="114">
        <v>8842.6593077104262</v>
      </c>
      <c r="GD107" s="114">
        <v>6604.2223207673369</v>
      </c>
      <c r="GE107" s="114">
        <v>9347.4943255766939</v>
      </c>
      <c r="GF107" s="114">
        <v>16723.461706884962</v>
      </c>
      <c r="GG107" s="114">
        <v>12965.337138432002</v>
      </c>
      <c r="GH107" s="114">
        <v>12785.152729244985</v>
      </c>
      <c r="GI107" s="114">
        <v>13155.583861168436</v>
      </c>
      <c r="GJ107" s="114">
        <v>7669.9717080601686</v>
      </c>
      <c r="GK107" s="114">
        <v>8928.3893238425371</v>
      </c>
      <c r="GL107" s="114">
        <v>10933.670564688409</v>
      </c>
      <c r="GM107" s="114">
        <v>10061.646475038791</v>
      </c>
      <c r="GN107" s="114">
        <v>5275.3889731293148</v>
      </c>
      <c r="GO107" s="114">
        <v>1548.1235712939301</v>
      </c>
      <c r="GP107" s="114">
        <v>1360.3574803499471</v>
      </c>
      <c r="GQ107" s="114">
        <v>9578.8139043195188</v>
      </c>
      <c r="GR107" s="114">
        <v>10615.228831457905</v>
      </c>
      <c r="GS107" s="114">
        <v>8717.7097340333294</v>
      </c>
      <c r="GT107" s="115">
        <v>339.1471663567778</v>
      </c>
    </row>
    <row r="108" spans="2:202" x14ac:dyDescent="0.6">
      <c r="B108" s="106" t="s">
        <v>96</v>
      </c>
      <c r="C108" s="63" t="s">
        <v>477</v>
      </c>
      <c r="D108" s="113">
        <v>8664.7396213890388</v>
      </c>
      <c r="E108" s="114">
        <v>3634.3636030974853</v>
      </c>
      <c r="F108" s="114">
        <v>4182.1735040236354</v>
      </c>
      <c r="G108" s="114">
        <v>3085.7509829144119</v>
      </c>
      <c r="H108" s="114">
        <v>5707.5087320560997</v>
      </c>
      <c r="I108" s="114">
        <v>6988.6402059639959</v>
      </c>
      <c r="J108" s="114">
        <v>6613.2661464720486</v>
      </c>
      <c r="K108" s="114">
        <v>16393.001651820443</v>
      </c>
      <c r="L108" s="114">
        <v>5302.9989636703649</v>
      </c>
      <c r="M108" s="114">
        <v>7044.8747493154133</v>
      </c>
      <c r="N108" s="114">
        <v>7375.9977242110408</v>
      </c>
      <c r="O108" s="114">
        <v>6793.6353281968914</v>
      </c>
      <c r="P108" s="114">
        <v>10819.053280832697</v>
      </c>
      <c r="Q108" s="114">
        <v>5399.2882099091375</v>
      </c>
      <c r="R108" s="114">
        <v>6268.2736129052255</v>
      </c>
      <c r="S108" s="114">
        <v>5114.7040175483826</v>
      </c>
      <c r="T108" s="114">
        <v>8515.6566388520059</v>
      </c>
      <c r="U108" s="114">
        <v>1424.8811702105163</v>
      </c>
      <c r="V108" s="114">
        <v>10663.577115218633</v>
      </c>
      <c r="W108" s="114">
        <v>6809.8471611152663</v>
      </c>
      <c r="X108" s="114">
        <v>5011.0268894080364</v>
      </c>
      <c r="Y108" s="114">
        <v>5180.1886819364645</v>
      </c>
      <c r="Z108" s="114">
        <v>5132.4636509113507</v>
      </c>
      <c r="AA108" s="114">
        <v>4805.9624572734247</v>
      </c>
      <c r="AB108" s="114">
        <v>13845.470395142405</v>
      </c>
      <c r="AC108" s="114">
        <v>5215.8922937963862</v>
      </c>
      <c r="AD108" s="114">
        <v>1205.3861336599607</v>
      </c>
      <c r="AE108" s="114">
        <v>4523.1940451339788</v>
      </c>
      <c r="AF108" s="114">
        <v>1714.723239898387</v>
      </c>
      <c r="AG108" s="114">
        <v>12562.473021324979</v>
      </c>
      <c r="AH108" s="114">
        <v>2246.6617123822016</v>
      </c>
      <c r="AI108" s="114">
        <v>2435.5899635909432</v>
      </c>
      <c r="AJ108" s="114">
        <v>7846.0918299022796</v>
      </c>
      <c r="AK108" s="114">
        <v>7574.1509179672439</v>
      </c>
      <c r="AL108" s="114">
        <v>3198.3392330450811</v>
      </c>
      <c r="AM108" s="114">
        <v>2826.9850356569195</v>
      </c>
      <c r="AN108" s="114">
        <v>7677.4796904241248</v>
      </c>
      <c r="AO108" s="114">
        <v>13434.219686534188</v>
      </c>
      <c r="AP108" s="114">
        <v>12554.867197819503</v>
      </c>
      <c r="AQ108" s="114">
        <v>7033.6761815564814</v>
      </c>
      <c r="AR108" s="114">
        <v>6246.5004144856221</v>
      </c>
      <c r="AS108" s="114">
        <v>3091.8488532983656</v>
      </c>
      <c r="AT108" s="114">
        <v>3062.0793951913643</v>
      </c>
      <c r="AU108" s="114">
        <v>8096.4345408418576</v>
      </c>
      <c r="AV108" s="114">
        <v>719.10063775220931</v>
      </c>
      <c r="AW108" s="114">
        <v>5042.204883626513</v>
      </c>
      <c r="AX108" s="114">
        <v>7874.2319058483536</v>
      </c>
      <c r="AY108" s="114">
        <v>5501.5145785058485</v>
      </c>
      <c r="AZ108" s="114">
        <v>5393.5207497600304</v>
      </c>
      <c r="BA108" s="114">
        <v>5836.7375520924543</v>
      </c>
      <c r="BB108" s="114">
        <v>5809.0144230916076</v>
      </c>
      <c r="BC108" s="114">
        <v>5624.3342841845988</v>
      </c>
      <c r="BD108" s="114">
        <v>6536.5637204781797</v>
      </c>
      <c r="BE108" s="114">
        <v>3069.7175411311123</v>
      </c>
      <c r="BF108" s="114">
        <v>7564.8985863327616</v>
      </c>
      <c r="BG108" s="114">
        <v>5089.5162083325713</v>
      </c>
      <c r="BH108" s="114">
        <v>8623.0156720045743</v>
      </c>
      <c r="BI108" s="114">
        <v>2123.4618242237848</v>
      </c>
      <c r="BJ108" s="114">
        <v>5437.1150516517828</v>
      </c>
      <c r="BK108" s="114">
        <v>6601.5691188055698</v>
      </c>
      <c r="BL108" s="114">
        <v>5743.644345350247</v>
      </c>
      <c r="BM108" s="114">
        <v>5394.1478730557983</v>
      </c>
      <c r="BN108" s="114">
        <v>6699.4248722878701</v>
      </c>
      <c r="BO108" s="114">
        <v>4855.6426929320596</v>
      </c>
      <c r="BP108" s="114">
        <v>2286.5386082753462</v>
      </c>
      <c r="BQ108" s="114">
        <v>1022.2801195252913</v>
      </c>
      <c r="BR108" s="114">
        <v>6678.3007715427966</v>
      </c>
      <c r="BS108" s="114">
        <v>5568.0382963101065</v>
      </c>
      <c r="BT108" s="114">
        <v>5110.7903258791303</v>
      </c>
      <c r="BU108" s="114">
        <v>5200.9443563786517</v>
      </c>
      <c r="BV108" s="114">
        <v>1155.3503578664504</v>
      </c>
      <c r="BW108" s="114">
        <v>4892.1365410857097</v>
      </c>
      <c r="BX108" s="114">
        <v>5659.882051150109</v>
      </c>
      <c r="BY108" s="114">
        <v>8736.8910643635809</v>
      </c>
      <c r="BZ108" s="114">
        <v>479.87956943495016</v>
      </c>
      <c r="CA108" s="114">
        <v>801.62380886605081</v>
      </c>
      <c r="CB108" s="114">
        <v>5264.1604789579751</v>
      </c>
      <c r="CC108" s="114">
        <v>6812.1913303272158</v>
      </c>
      <c r="CD108" s="114">
        <v>8407.6070368236906</v>
      </c>
      <c r="CE108" s="114">
        <v>5364.9340399503326</v>
      </c>
      <c r="CF108" s="114">
        <v>6501.3132192255343</v>
      </c>
      <c r="CG108" s="114">
        <v>9087.267061100818</v>
      </c>
      <c r="CH108" s="114">
        <v>9447.5467961096674</v>
      </c>
      <c r="CI108" s="114">
        <v>13040.129736094499</v>
      </c>
      <c r="CJ108" s="114">
        <v>7065.4416995606971</v>
      </c>
      <c r="CK108" s="114">
        <v>6382.0860945741615</v>
      </c>
      <c r="CL108" s="114">
        <v>5244.2103430569387</v>
      </c>
      <c r="CM108" s="114">
        <v>3821.7672185567144</v>
      </c>
      <c r="CN108" s="114">
        <v>4530.9670408896545</v>
      </c>
      <c r="CO108" s="114">
        <v>4762.540440989952</v>
      </c>
      <c r="CP108" s="114">
        <v>7264.3346868990493</v>
      </c>
      <c r="CQ108" s="114">
        <v>14417.009068618721</v>
      </c>
      <c r="CR108" s="114">
        <v>5542.350316291695</v>
      </c>
      <c r="CS108" s="114">
        <v>8898.8270648539929</v>
      </c>
      <c r="CT108" s="114">
        <v>5275.3666653973032</v>
      </c>
      <c r="CU108" s="114">
        <v>6626.8974250324482</v>
      </c>
      <c r="CV108" s="114">
        <v>9128.6221142411468</v>
      </c>
      <c r="CW108" s="114">
        <v>12179.162669924077</v>
      </c>
      <c r="CX108" s="114">
        <v>6362.7297017882138</v>
      </c>
      <c r="CY108" s="114">
        <v>5604.0185524825056</v>
      </c>
      <c r="CZ108" s="114">
        <v>5635.2748213468631</v>
      </c>
      <c r="DA108" s="114" t="s">
        <v>237</v>
      </c>
      <c r="DB108" s="114">
        <v>3808.0451628122155</v>
      </c>
      <c r="DC108" s="114">
        <v>4923.9654850118241</v>
      </c>
      <c r="DD108" s="114">
        <v>6236.3824053907138</v>
      </c>
      <c r="DE108" s="114">
        <v>5047.5108554359649</v>
      </c>
      <c r="DF108" s="114">
        <v>6902.6349639326263</v>
      </c>
      <c r="DG108" s="114">
        <v>5343.1272648269487</v>
      </c>
      <c r="DH108" s="114">
        <v>12381.087412957671</v>
      </c>
      <c r="DI108" s="114">
        <v>9270.1752068464266</v>
      </c>
      <c r="DJ108" s="114">
        <v>756.14621523396181</v>
      </c>
      <c r="DK108" s="114">
        <v>4130.7732412740779</v>
      </c>
      <c r="DL108" s="114">
        <v>7957.7035415564478</v>
      </c>
      <c r="DM108" s="114">
        <v>7979.5179896684958</v>
      </c>
      <c r="DN108" s="114">
        <v>9638.769508056248</v>
      </c>
      <c r="DO108" s="114">
        <v>5883.2369764809728</v>
      </c>
      <c r="DP108" s="114">
        <v>4527.1094449113307</v>
      </c>
      <c r="DQ108" s="114">
        <v>11463.807316527509</v>
      </c>
      <c r="DR108" s="114">
        <v>4980.0488774705891</v>
      </c>
      <c r="DS108" s="114">
        <v>3118.2249854535758</v>
      </c>
      <c r="DT108" s="114">
        <v>5814.9778992026449</v>
      </c>
      <c r="DU108" s="114">
        <v>11571.571541108355</v>
      </c>
      <c r="DV108" s="114">
        <v>4362.3214081460392</v>
      </c>
      <c r="DW108" s="114">
        <v>10246.772296745507</v>
      </c>
      <c r="DX108" s="114">
        <v>5301.9181774025956</v>
      </c>
      <c r="DY108" s="114">
        <v>16561.67452262609</v>
      </c>
      <c r="DZ108" s="114">
        <v>16092.259294806177</v>
      </c>
      <c r="EA108" s="114">
        <v>8317.6856445526901</v>
      </c>
      <c r="EB108" s="114">
        <v>1582.5648058306874</v>
      </c>
      <c r="EC108" s="114">
        <v>1986.162052190635</v>
      </c>
      <c r="ED108" s="114">
        <v>13233.876397287067</v>
      </c>
      <c r="EE108" s="114">
        <v>5064.3916324066804</v>
      </c>
      <c r="EF108" s="114">
        <v>6194.283580658428</v>
      </c>
      <c r="EG108" s="114">
        <v>7577.1978126567883</v>
      </c>
      <c r="EH108" s="114">
        <v>8465.3568991226221</v>
      </c>
      <c r="EI108" s="114">
        <v>9034.0218071966701</v>
      </c>
      <c r="EJ108" s="114">
        <v>7577.3931442154653</v>
      </c>
      <c r="EK108" s="114">
        <v>6141.2284900957202</v>
      </c>
      <c r="EL108" s="114">
        <v>7627.6788862839139</v>
      </c>
      <c r="EM108" s="114">
        <v>14194.730538091871</v>
      </c>
      <c r="EN108" s="114">
        <v>5863.7362653775917</v>
      </c>
      <c r="EO108" s="114">
        <v>3587.582689139806</v>
      </c>
      <c r="EP108" s="114">
        <v>6884.925578206241</v>
      </c>
      <c r="EQ108" s="114">
        <v>5525.5404690420555</v>
      </c>
      <c r="ER108" s="114">
        <v>6942.8306803814121</v>
      </c>
      <c r="ES108" s="114">
        <v>4579.477583371412</v>
      </c>
      <c r="ET108" s="114">
        <v>5770.4395605413774</v>
      </c>
      <c r="EU108" s="114">
        <v>5544.027201568063</v>
      </c>
      <c r="EV108" s="114">
        <v>5594.2685950670066</v>
      </c>
      <c r="EW108" s="114">
        <v>4713.522436850747</v>
      </c>
      <c r="EX108" s="114">
        <v>1989.4202686956792</v>
      </c>
      <c r="EY108" s="114">
        <v>6380.7195072548011</v>
      </c>
      <c r="EZ108" s="114">
        <v>1174.3417995437471</v>
      </c>
      <c r="FA108" s="114">
        <v>5206.1339720721207</v>
      </c>
      <c r="FB108" s="114">
        <v>379.82040494712538</v>
      </c>
      <c r="FC108" s="114">
        <v>12673.229090994271</v>
      </c>
      <c r="FD108" s="114">
        <v>5339.8056026623226</v>
      </c>
      <c r="FE108" s="114">
        <v>5031.9896575879366</v>
      </c>
      <c r="FF108" s="114">
        <v>6194.444265158415</v>
      </c>
      <c r="FG108" s="114">
        <v>5453.323965327113</v>
      </c>
      <c r="FH108" s="114">
        <v>13437.824841626787</v>
      </c>
      <c r="FI108" s="114">
        <v>4655.5334442037565</v>
      </c>
      <c r="FJ108" s="114">
        <v>3852.624403371984</v>
      </c>
      <c r="FK108" s="114">
        <v>4110.2897744721322</v>
      </c>
      <c r="FL108" s="114">
        <v>9961.1710140081977</v>
      </c>
      <c r="FM108" s="114">
        <v>4777.4419922299776</v>
      </c>
      <c r="FN108" s="114">
        <v>4936.0474009660174</v>
      </c>
      <c r="FO108" s="114">
        <v>6374.4543677949096</v>
      </c>
      <c r="FP108" s="114">
        <v>4802.2561432055545</v>
      </c>
      <c r="FQ108" s="114">
        <v>5669.3705617862097</v>
      </c>
      <c r="FR108" s="114">
        <v>13776.040949778295</v>
      </c>
      <c r="FS108" s="114">
        <v>8618.886557483831</v>
      </c>
      <c r="FT108" s="114">
        <v>5706.659131050963</v>
      </c>
      <c r="FU108" s="114">
        <v>12068.297236200522</v>
      </c>
      <c r="FV108" s="114">
        <v>15132.786349123427</v>
      </c>
      <c r="FW108" s="114">
        <v>1290.2260792987547</v>
      </c>
      <c r="FX108" s="114">
        <v>5629.5405587362129</v>
      </c>
      <c r="FY108" s="114">
        <v>3968.1991112643022</v>
      </c>
      <c r="FZ108" s="114">
        <v>5673.8051276194692</v>
      </c>
      <c r="GA108" s="114">
        <v>7660.3784138951642</v>
      </c>
      <c r="GB108" s="114">
        <v>4792.235503832424</v>
      </c>
      <c r="GC108" s="114">
        <v>6190.4909339745327</v>
      </c>
      <c r="GD108" s="114">
        <v>7163.6634880001084</v>
      </c>
      <c r="GE108" s="114">
        <v>5115.0945295943484</v>
      </c>
      <c r="GF108" s="114">
        <v>11233.000990782171</v>
      </c>
      <c r="GG108" s="114">
        <v>7343.7107246080204</v>
      </c>
      <c r="GH108" s="114">
        <v>7152.4309371292256</v>
      </c>
      <c r="GI108" s="114">
        <v>7555.2387179393336</v>
      </c>
      <c r="GJ108" s="114">
        <v>6583.9757794425859</v>
      </c>
      <c r="GK108" s="114">
        <v>8683.500461362386</v>
      </c>
      <c r="GL108" s="114">
        <v>6181.41198142539</v>
      </c>
      <c r="GM108" s="114">
        <v>12406.009174645133</v>
      </c>
      <c r="GN108" s="114">
        <v>6041.9850686278724</v>
      </c>
      <c r="GO108" s="114">
        <v>4878.9085683430339</v>
      </c>
      <c r="GP108" s="114">
        <v>5258.5008790620204</v>
      </c>
      <c r="GQ108" s="114">
        <v>12801.43714758265</v>
      </c>
      <c r="GR108" s="114">
        <v>16171.863299927005</v>
      </c>
      <c r="GS108" s="114">
        <v>4925.6339371523936</v>
      </c>
      <c r="GT108" s="115">
        <v>5494.8849944192161</v>
      </c>
    </row>
    <row r="109" spans="2:202" x14ac:dyDescent="0.6">
      <c r="B109" s="106" t="s">
        <v>97</v>
      </c>
      <c r="C109" s="63" t="s">
        <v>478</v>
      </c>
      <c r="D109" s="113">
        <v>5139.5256707618846</v>
      </c>
      <c r="E109" s="114">
        <v>1014.1400846156459</v>
      </c>
      <c r="F109" s="114">
        <v>1503.6477824983042</v>
      </c>
      <c r="G109" s="114">
        <v>4557.8879415211486</v>
      </c>
      <c r="H109" s="114">
        <v>7606.7009153421768</v>
      </c>
      <c r="I109" s="114">
        <v>10774.197284165337</v>
      </c>
      <c r="J109" s="114">
        <v>2907.7951412673842</v>
      </c>
      <c r="K109" s="114">
        <v>16124.300336298013</v>
      </c>
      <c r="L109" s="114">
        <v>1757.9824121990221</v>
      </c>
      <c r="M109" s="114">
        <v>3353.7478795436768</v>
      </c>
      <c r="N109" s="114">
        <v>8569.31087881249</v>
      </c>
      <c r="O109" s="114">
        <v>3660.6051356811413</v>
      </c>
      <c r="P109" s="114">
        <v>7488.4088275058639</v>
      </c>
      <c r="Q109" s="114">
        <v>7591.797801326873</v>
      </c>
      <c r="R109" s="114">
        <v>2597.9354025971502</v>
      </c>
      <c r="S109" s="114">
        <v>2131.6159093931215</v>
      </c>
      <c r="T109" s="114">
        <v>10008.864755361805</v>
      </c>
      <c r="U109" s="114">
        <v>3121.5330070405698</v>
      </c>
      <c r="V109" s="114">
        <v>7225.4522078820883</v>
      </c>
      <c r="W109" s="114">
        <v>10170.17512697928</v>
      </c>
      <c r="X109" s="114">
        <v>1307.3513955825206</v>
      </c>
      <c r="Y109" s="114">
        <v>6468.8440060846888</v>
      </c>
      <c r="Z109" s="114">
        <v>8884.7947179767652</v>
      </c>
      <c r="AA109" s="114">
        <v>8576.9700679070538</v>
      </c>
      <c r="AB109" s="114">
        <v>10847.690240312113</v>
      </c>
      <c r="AC109" s="114">
        <v>1421.0718522536422</v>
      </c>
      <c r="AD109" s="114">
        <v>2695.1477037118539</v>
      </c>
      <c r="AE109" s="114">
        <v>4312.5142504123378</v>
      </c>
      <c r="AF109" s="114">
        <v>4154.193442148272</v>
      </c>
      <c r="AG109" s="114">
        <v>9466.0623089688506</v>
      </c>
      <c r="AH109" s="114">
        <v>3181.935470054339</v>
      </c>
      <c r="AI109" s="114">
        <v>3228.5238268466251</v>
      </c>
      <c r="AJ109" s="114">
        <v>7764.4959211898295</v>
      </c>
      <c r="AK109" s="114">
        <v>7404.8565426689238</v>
      </c>
      <c r="AL109" s="114">
        <v>3190.0644533813543</v>
      </c>
      <c r="AM109" s="114">
        <v>2272.5653330262758</v>
      </c>
      <c r="AN109" s="114">
        <v>11382.930624955739</v>
      </c>
      <c r="AO109" s="114">
        <v>9683.1481937398112</v>
      </c>
      <c r="AP109" s="114">
        <v>8761.7978938322631</v>
      </c>
      <c r="AQ109" s="114">
        <v>9474.0446975017094</v>
      </c>
      <c r="AR109" s="114">
        <v>5833.8436991943909</v>
      </c>
      <c r="AS109" s="114">
        <v>4100.7778069860333</v>
      </c>
      <c r="AT109" s="114">
        <v>4073.2634088598993</v>
      </c>
      <c r="AU109" s="114">
        <v>10093.867231206543</v>
      </c>
      <c r="AV109" s="114">
        <v>3501.2338495085132</v>
      </c>
      <c r="AW109" s="114">
        <v>1462.6115877161023</v>
      </c>
      <c r="AX109" s="114">
        <v>9118.9028736156288</v>
      </c>
      <c r="AY109" s="114">
        <v>1883.8698391656876</v>
      </c>
      <c r="AZ109" s="114">
        <v>1954.8852910789994</v>
      </c>
      <c r="BA109" s="114">
        <v>2549.2234457576437</v>
      </c>
      <c r="BB109" s="114">
        <v>3811.7658813496155</v>
      </c>
      <c r="BC109" s="114">
        <v>7654.7423849874003</v>
      </c>
      <c r="BD109" s="114">
        <v>8259.3172987993548</v>
      </c>
      <c r="BE109" s="114">
        <v>4085.6482704293098</v>
      </c>
      <c r="BF109" s="114">
        <v>10149.683994478955</v>
      </c>
      <c r="BG109" s="114">
        <v>1737.5777060779449</v>
      </c>
      <c r="BH109" s="114">
        <v>10316.612050328196</v>
      </c>
      <c r="BI109" s="114">
        <v>3264.0603766814588</v>
      </c>
      <c r="BJ109" s="114">
        <v>3211.932035754759</v>
      </c>
      <c r="BK109" s="114">
        <v>3090.8879634078121</v>
      </c>
      <c r="BL109" s="114">
        <v>6796.3611104247502</v>
      </c>
      <c r="BM109" s="114">
        <v>3688.3076399363572</v>
      </c>
      <c r="BN109" s="114">
        <v>3198.4730807677292</v>
      </c>
      <c r="BO109" s="114">
        <v>1998.8502657651991</v>
      </c>
      <c r="BP109" s="114">
        <v>3607.1263711966744</v>
      </c>
      <c r="BQ109" s="114">
        <v>3676.0820511862498</v>
      </c>
      <c r="BR109" s="114">
        <v>2944.8385145607031</v>
      </c>
      <c r="BS109" s="114">
        <v>2202.8193478607204</v>
      </c>
      <c r="BT109" s="114">
        <v>1744.1346543560335</v>
      </c>
      <c r="BU109" s="114">
        <v>1992.4526823494416</v>
      </c>
      <c r="BV109" s="114">
        <v>3311.376682369611</v>
      </c>
      <c r="BW109" s="114">
        <v>1101.3333836855452</v>
      </c>
      <c r="BX109" s="114">
        <v>7876.9965537312019</v>
      </c>
      <c r="BY109" s="114">
        <v>10353.17514303873</v>
      </c>
      <c r="BZ109" s="114">
        <v>3754.9220326149616</v>
      </c>
      <c r="CA109" s="114">
        <v>3735.1210032780382</v>
      </c>
      <c r="CB109" s="114">
        <v>7858.0352256246751</v>
      </c>
      <c r="CC109" s="114">
        <v>8492.6197636741308</v>
      </c>
      <c r="CD109" s="114">
        <v>10100.797376615259</v>
      </c>
      <c r="CE109" s="114">
        <v>1721.6224078566761</v>
      </c>
      <c r="CF109" s="114">
        <v>4242.8065376571776</v>
      </c>
      <c r="CG109" s="114">
        <v>6093.9561278324863</v>
      </c>
      <c r="CH109" s="114">
        <v>6066.5062919734773</v>
      </c>
      <c r="CI109" s="114">
        <v>10682.254200091464</v>
      </c>
      <c r="CJ109" s="114">
        <v>3519.0491743397647</v>
      </c>
      <c r="CK109" s="114">
        <v>2907.6790584217742</v>
      </c>
      <c r="CL109" s="114">
        <v>2766.9327997271375</v>
      </c>
      <c r="CM109" s="114">
        <v>4498.5329395701528</v>
      </c>
      <c r="CN109" s="114">
        <v>1008.6808519729633</v>
      </c>
      <c r="CO109" s="114">
        <v>1480.6512589462425</v>
      </c>
      <c r="CP109" s="114">
        <v>8906.1928552470235</v>
      </c>
      <c r="CQ109" s="114">
        <v>10620.291900436983</v>
      </c>
      <c r="CR109" s="114">
        <v>2114.8892804727952</v>
      </c>
      <c r="CS109" s="114">
        <v>5094.9402279251362</v>
      </c>
      <c r="CT109" s="114">
        <v>4478.6314874088548</v>
      </c>
      <c r="CU109" s="114">
        <v>3336.9637629755489</v>
      </c>
      <c r="CV109" s="114">
        <v>5408.7072142128482</v>
      </c>
      <c r="CW109" s="114">
        <v>8899.4904666153197</v>
      </c>
      <c r="CX109" s="114">
        <v>2804.0265476994277</v>
      </c>
      <c r="CY109" s="114">
        <v>2073.0366489283902</v>
      </c>
      <c r="CZ109" s="114">
        <v>7019.8422148499221</v>
      </c>
      <c r="DA109" s="114">
        <v>3808.0451628122155</v>
      </c>
      <c r="DB109" s="114" t="s">
        <v>237</v>
      </c>
      <c r="DC109" s="114">
        <v>1653.3150636675632</v>
      </c>
      <c r="DD109" s="114">
        <v>2614.8174369353205</v>
      </c>
      <c r="DE109" s="114">
        <v>1964.316075928389</v>
      </c>
      <c r="DF109" s="114">
        <v>6743.6568555205313</v>
      </c>
      <c r="DG109" s="114">
        <v>5606.8940149413065</v>
      </c>
      <c r="DH109" s="114">
        <v>9666.5270354227541</v>
      </c>
      <c r="DI109" s="114">
        <v>6994.400165658727</v>
      </c>
      <c r="DJ109" s="114">
        <v>3071.6966535221895</v>
      </c>
      <c r="DK109" s="114">
        <v>357.87359339868067</v>
      </c>
      <c r="DL109" s="114">
        <v>7503.5659640568165</v>
      </c>
      <c r="DM109" s="114">
        <v>7522.1096634594978</v>
      </c>
      <c r="DN109" s="114">
        <v>10799.18783454424</v>
      </c>
      <c r="DO109" s="114">
        <v>2096.4733096014538</v>
      </c>
      <c r="DP109" s="114">
        <v>1343.8877689590372</v>
      </c>
      <c r="DQ109" s="114">
        <v>7656.2086556781969</v>
      </c>
      <c r="DR109" s="114">
        <v>1233.2739479531474</v>
      </c>
      <c r="DS109" s="114">
        <v>1856.3503889436552</v>
      </c>
      <c r="DT109" s="114">
        <v>6771.6996208996925</v>
      </c>
      <c r="DU109" s="114">
        <v>8405.1169819599345</v>
      </c>
      <c r="DV109" s="114">
        <v>6112.5058124111056</v>
      </c>
      <c r="DW109" s="114">
        <v>6837.4414102177743</v>
      </c>
      <c r="DX109" s="114">
        <v>2300.3616937017064</v>
      </c>
      <c r="DY109" s="114">
        <v>18275.248549637436</v>
      </c>
      <c r="DZ109" s="114">
        <v>18098.527298733927</v>
      </c>
      <c r="EA109" s="114">
        <v>10139.084045110314</v>
      </c>
      <c r="EB109" s="114">
        <v>2412.6166106185015</v>
      </c>
      <c r="EC109" s="114">
        <v>2672.7395318179824</v>
      </c>
      <c r="ED109" s="114">
        <v>9426.8804816301872</v>
      </c>
      <c r="EE109" s="114">
        <v>1281.5749286441196</v>
      </c>
      <c r="EF109" s="114">
        <v>3015.1865355873479</v>
      </c>
      <c r="EG109" s="114">
        <v>4528.9308345791087</v>
      </c>
      <c r="EH109" s="114">
        <v>5280.294559096973</v>
      </c>
      <c r="EI109" s="114">
        <v>5520.7569058015042</v>
      </c>
      <c r="EJ109" s="114">
        <v>9686.9164397645236</v>
      </c>
      <c r="EK109" s="114">
        <v>9824.3756652216143</v>
      </c>
      <c r="EL109" s="114">
        <v>10727.008496847151</v>
      </c>
      <c r="EM109" s="114">
        <v>10760.61885320458</v>
      </c>
      <c r="EN109" s="114">
        <v>2275.8659512572585</v>
      </c>
      <c r="EO109" s="114">
        <v>2107.3656083424512</v>
      </c>
      <c r="EP109" s="114">
        <v>3796.4891475873565</v>
      </c>
      <c r="EQ109" s="114">
        <v>1729.3061982331683</v>
      </c>
      <c r="ER109" s="114">
        <v>3209.3316990353046</v>
      </c>
      <c r="ES109" s="114">
        <v>4188.7209301085732</v>
      </c>
      <c r="ET109" s="114">
        <v>7658.9098363981175</v>
      </c>
      <c r="EU109" s="114">
        <v>7657.8782500323405</v>
      </c>
      <c r="EV109" s="114">
        <v>7757.6749369733216</v>
      </c>
      <c r="EW109" s="114">
        <v>1231.647931467789</v>
      </c>
      <c r="EX109" s="114">
        <v>3669.143434953221</v>
      </c>
      <c r="EY109" s="114">
        <v>3366.7469422056897</v>
      </c>
      <c r="EZ109" s="114">
        <v>3675.1870261774129</v>
      </c>
      <c r="FA109" s="114">
        <v>1477.3411115880745</v>
      </c>
      <c r="FB109" s="114">
        <v>3813.0524116294487</v>
      </c>
      <c r="FC109" s="114">
        <v>9997.0949305871763</v>
      </c>
      <c r="FD109" s="114">
        <v>1767.9500326827915</v>
      </c>
      <c r="FE109" s="114">
        <v>1510.5361666029826</v>
      </c>
      <c r="FF109" s="114">
        <v>4771.6148458572388</v>
      </c>
      <c r="FG109" s="114">
        <v>6636.1172175947722</v>
      </c>
      <c r="FH109" s="114">
        <v>9632.5757035544902</v>
      </c>
      <c r="FI109" s="114">
        <v>3625.5060466984628</v>
      </c>
      <c r="FJ109" s="114">
        <v>1708.2646813541598</v>
      </c>
      <c r="FK109" s="114">
        <v>1382.063904001905</v>
      </c>
      <c r="FL109" s="114">
        <v>7422.1435533280719</v>
      </c>
      <c r="FM109" s="114">
        <v>2727.4499482067072</v>
      </c>
      <c r="FN109" s="114">
        <v>7636.0697972412027</v>
      </c>
      <c r="FO109" s="114">
        <v>2992.8598042567892</v>
      </c>
      <c r="FP109" s="114">
        <v>1641.3069651152782</v>
      </c>
      <c r="FQ109" s="114">
        <v>2155.1860239897646</v>
      </c>
      <c r="FR109" s="114">
        <v>10104.078514312987</v>
      </c>
      <c r="FS109" s="114">
        <v>4988.7817466403549</v>
      </c>
      <c r="FT109" s="114">
        <v>5176.5924119411266</v>
      </c>
      <c r="FU109" s="114">
        <v>8954.1808461934434</v>
      </c>
      <c r="FV109" s="114">
        <v>12582.304734270045</v>
      </c>
      <c r="FW109" s="114">
        <v>3182.913160629148</v>
      </c>
      <c r="FX109" s="114">
        <v>7933.407410475289</v>
      </c>
      <c r="FY109" s="114">
        <v>521.84971053938227</v>
      </c>
      <c r="FZ109" s="114">
        <v>1914.365264334386</v>
      </c>
      <c r="GA109" s="114">
        <v>4042.5637670783767</v>
      </c>
      <c r="GB109" s="114">
        <v>4117.8441582242704</v>
      </c>
      <c r="GC109" s="114">
        <v>2433.1810916306495</v>
      </c>
      <c r="GD109" s="114">
        <v>4101.5423267570732</v>
      </c>
      <c r="GE109" s="114">
        <v>2354.1125420340536</v>
      </c>
      <c r="GF109" s="114">
        <v>11035.117473859871</v>
      </c>
      <c r="GG109" s="114">
        <v>7503.6028959466976</v>
      </c>
      <c r="GH109" s="114">
        <v>7206.1175023328642</v>
      </c>
      <c r="GI109" s="114">
        <v>7822.1583523210247</v>
      </c>
      <c r="GJ109" s="114">
        <v>10371.979939723591</v>
      </c>
      <c r="GK109" s="114">
        <v>4991.8082720575276</v>
      </c>
      <c r="GL109" s="114">
        <v>8426.8457041442307</v>
      </c>
      <c r="GM109" s="114">
        <v>8986.6259140520106</v>
      </c>
      <c r="GN109" s="114">
        <v>3669.8790878643072</v>
      </c>
      <c r="GO109" s="114">
        <v>5549.2270470203403</v>
      </c>
      <c r="GP109" s="114">
        <v>5870.3989585443996</v>
      </c>
      <c r="GQ109" s="114">
        <v>9692.4642973542159</v>
      </c>
      <c r="GR109" s="114">
        <v>15978.90339939226</v>
      </c>
      <c r="GS109" s="114">
        <v>1699.0112700764789</v>
      </c>
      <c r="GT109" s="115">
        <v>6715.7255610925513</v>
      </c>
    </row>
    <row r="110" spans="2:202" x14ac:dyDescent="0.6">
      <c r="B110" s="106" t="s">
        <v>98</v>
      </c>
      <c r="C110" s="63" t="s">
        <v>479</v>
      </c>
      <c r="D110" s="113">
        <v>5107.4648327442519</v>
      </c>
      <c r="E110" s="114">
        <v>1292.0533317534002</v>
      </c>
      <c r="F110" s="114">
        <v>823.99512325242415</v>
      </c>
      <c r="G110" s="114">
        <v>6191.8844175312888</v>
      </c>
      <c r="H110" s="114">
        <v>7205.0001908233799</v>
      </c>
      <c r="I110" s="114">
        <v>11549.231478539215</v>
      </c>
      <c r="J110" s="114">
        <v>2896.9912344976888</v>
      </c>
      <c r="K110" s="114">
        <v>16501.921172493607</v>
      </c>
      <c r="L110" s="114">
        <v>530.65485250625034</v>
      </c>
      <c r="M110" s="114">
        <v>3284.842231107958</v>
      </c>
      <c r="N110" s="114">
        <v>7745.6410939459993</v>
      </c>
      <c r="O110" s="114">
        <v>4269.0833168134959</v>
      </c>
      <c r="P110" s="114">
        <v>7458.7968939533566</v>
      </c>
      <c r="Q110" s="114">
        <v>7334.9150909127429</v>
      </c>
      <c r="R110" s="114">
        <v>1458.900345905741</v>
      </c>
      <c r="S110" s="114">
        <v>533.63570923798613</v>
      </c>
      <c r="T110" s="114">
        <v>9176.0193737802347</v>
      </c>
      <c r="U110" s="114">
        <v>4589.7276333857371</v>
      </c>
      <c r="V110" s="114">
        <v>7107.7721980263677</v>
      </c>
      <c r="W110" s="114">
        <v>10401.305205814091</v>
      </c>
      <c r="X110" s="114">
        <v>803.47765761426876</v>
      </c>
      <c r="Y110" s="114">
        <v>8119.6235451050698</v>
      </c>
      <c r="Z110" s="114">
        <v>9645.1043839947906</v>
      </c>
      <c r="AA110" s="114">
        <v>9388.7670498980297</v>
      </c>
      <c r="AB110" s="114">
        <v>10811.623071265269</v>
      </c>
      <c r="AC110" s="114">
        <v>1209.1571312154078</v>
      </c>
      <c r="AD110" s="114">
        <v>4008.9372267745853</v>
      </c>
      <c r="AE110" s="114">
        <v>5915.0121853632081</v>
      </c>
      <c r="AF110" s="114">
        <v>4666.2094505895802</v>
      </c>
      <c r="AG110" s="114">
        <v>9475.1458735662109</v>
      </c>
      <c r="AH110" s="114">
        <v>4785.0602160636818</v>
      </c>
      <c r="AI110" s="114">
        <v>4849.8548322659199</v>
      </c>
      <c r="AJ110" s="114">
        <v>6545.6694692915471</v>
      </c>
      <c r="AK110" s="114">
        <v>6187.8103570681878</v>
      </c>
      <c r="AL110" s="114">
        <v>4843.2064248016695</v>
      </c>
      <c r="AM110" s="114">
        <v>3920.8861982426447</v>
      </c>
      <c r="AN110" s="114">
        <v>11946.542948494243</v>
      </c>
      <c r="AO110" s="114">
        <v>8983.4658446170015</v>
      </c>
      <c r="AP110" s="114">
        <v>7974.356034207377</v>
      </c>
      <c r="AQ110" s="114">
        <v>9147.900056226079</v>
      </c>
      <c r="AR110" s="114">
        <v>7318.5542591311923</v>
      </c>
      <c r="AS110" s="114">
        <v>5746.5620864710172</v>
      </c>
      <c r="AT110" s="114">
        <v>5718.3293118475376</v>
      </c>
      <c r="AU110" s="114">
        <v>9481.4148340023585</v>
      </c>
      <c r="AV110" s="114">
        <v>4813.0353783590181</v>
      </c>
      <c r="AW110" s="114">
        <v>512.62119095043511</v>
      </c>
      <c r="AX110" s="114">
        <v>8263.4509938526626</v>
      </c>
      <c r="AY110" s="114">
        <v>2392.9110985239536</v>
      </c>
      <c r="AZ110" s="114">
        <v>489.30429190656344</v>
      </c>
      <c r="BA110" s="114">
        <v>949.72559213693853</v>
      </c>
      <c r="BB110" s="114">
        <v>5050.5043726394251</v>
      </c>
      <c r="BC110" s="114">
        <v>7310.3301516032197</v>
      </c>
      <c r="BD110" s="114">
        <v>7699.4327705541236</v>
      </c>
      <c r="BE110" s="114">
        <v>5730.806834044779</v>
      </c>
      <c r="BF110" s="114">
        <v>9842.6016555271653</v>
      </c>
      <c r="BG110" s="114">
        <v>2666.8619735241987</v>
      </c>
      <c r="BH110" s="114">
        <v>9543.1645825967316</v>
      </c>
      <c r="BI110" s="114">
        <v>4852.0617957953336</v>
      </c>
      <c r="BJ110" s="114">
        <v>4454.9105924650685</v>
      </c>
      <c r="BK110" s="114">
        <v>1678.5396435619712</v>
      </c>
      <c r="BL110" s="114">
        <v>8433.7267336130517</v>
      </c>
      <c r="BM110" s="114">
        <v>5045.9202910508875</v>
      </c>
      <c r="BN110" s="114">
        <v>1775.5234342389463</v>
      </c>
      <c r="BO110" s="114">
        <v>553.89388493085687</v>
      </c>
      <c r="BP110" s="114">
        <v>5207.2606798157631</v>
      </c>
      <c r="BQ110" s="114">
        <v>4454.4633054731767</v>
      </c>
      <c r="BR110" s="114">
        <v>2846.5905343889003</v>
      </c>
      <c r="BS110" s="114">
        <v>645.70123229865885</v>
      </c>
      <c r="BT110" s="114">
        <v>206.8092893229045</v>
      </c>
      <c r="BU110" s="114">
        <v>340.16583309865666</v>
      </c>
      <c r="BV110" s="114">
        <v>4726.1039610932003</v>
      </c>
      <c r="BW110" s="114">
        <v>1566.819969549048</v>
      </c>
      <c r="BX110" s="114">
        <v>7598.8361492977865</v>
      </c>
      <c r="BY110" s="114">
        <v>9542.596947528471</v>
      </c>
      <c r="BZ110" s="114">
        <v>4721.3205080887665</v>
      </c>
      <c r="CA110" s="114">
        <v>4590.6561740543702</v>
      </c>
      <c r="CB110" s="114">
        <v>7779.8074323158799</v>
      </c>
      <c r="CC110" s="114">
        <v>7888.2311076527276</v>
      </c>
      <c r="CD110" s="114">
        <v>9346.5076224966961</v>
      </c>
      <c r="CE110" s="114">
        <v>735.96039097456151</v>
      </c>
      <c r="CF110" s="114">
        <v>2660.9667924696669</v>
      </c>
      <c r="CG110" s="114">
        <v>6480.6926777283334</v>
      </c>
      <c r="CH110" s="114">
        <v>6111.1084046964743</v>
      </c>
      <c r="CI110" s="114">
        <v>11039.488659022674</v>
      </c>
      <c r="CJ110" s="114">
        <v>3688.9950522584813</v>
      </c>
      <c r="CK110" s="114">
        <v>3313.0748894245994</v>
      </c>
      <c r="CL110" s="114">
        <v>1291.4295634949556</v>
      </c>
      <c r="CM110" s="114">
        <v>4112.9800076242545</v>
      </c>
      <c r="CN110" s="114">
        <v>659.94498155142855</v>
      </c>
      <c r="CO110" s="114">
        <v>179.9052844462133</v>
      </c>
      <c r="CP110" s="114">
        <v>8241.8272409464535</v>
      </c>
      <c r="CQ110" s="114">
        <v>9572.1034679617678</v>
      </c>
      <c r="CR110" s="114">
        <v>2815.5180019996242</v>
      </c>
      <c r="CS110" s="114">
        <v>4401.0855350641577</v>
      </c>
      <c r="CT110" s="114">
        <v>5981.1050120543323</v>
      </c>
      <c r="CU110" s="114">
        <v>3861.1100860887527</v>
      </c>
      <c r="CV110" s="114">
        <v>5013.9933615992986</v>
      </c>
      <c r="CW110" s="114">
        <v>8807.0262843006312</v>
      </c>
      <c r="CX110" s="114">
        <v>1455.4245238439858</v>
      </c>
      <c r="CY110" s="114">
        <v>2650.2949127412053</v>
      </c>
      <c r="CZ110" s="114">
        <v>8669.7056783201824</v>
      </c>
      <c r="DA110" s="114">
        <v>4923.9654850118241</v>
      </c>
      <c r="DB110" s="114">
        <v>1653.3150636675632</v>
      </c>
      <c r="DC110" s="114" t="s">
        <v>237</v>
      </c>
      <c r="DD110" s="114">
        <v>1376.2493253215735</v>
      </c>
      <c r="DE110" s="114">
        <v>348.84628610117232</v>
      </c>
      <c r="DF110" s="114">
        <v>8227.5597026370087</v>
      </c>
      <c r="DG110" s="114">
        <v>7206.2488207330289</v>
      </c>
      <c r="DH110" s="114">
        <v>9914.0395759763942</v>
      </c>
      <c r="DI110" s="114">
        <v>7734.9254034527939</v>
      </c>
      <c r="DJ110" s="114">
        <v>4171.9187900917213</v>
      </c>
      <c r="DK110" s="114">
        <v>1348.692880357718</v>
      </c>
      <c r="DL110" s="114">
        <v>8878.2473650067986</v>
      </c>
      <c r="DM110" s="114">
        <v>8894.8369993333417</v>
      </c>
      <c r="DN110" s="114">
        <v>9767.1023994263105</v>
      </c>
      <c r="DO110" s="114">
        <v>1477.7517998780402</v>
      </c>
      <c r="DP110" s="114">
        <v>399.62411318394442</v>
      </c>
      <c r="DQ110" s="114">
        <v>6795.2623669883851</v>
      </c>
      <c r="DR110" s="114">
        <v>938.93145144851019</v>
      </c>
      <c r="DS110" s="114">
        <v>1984.8878510859224</v>
      </c>
      <c r="DT110" s="114">
        <v>8403.1703900642424</v>
      </c>
      <c r="DU110" s="114">
        <v>8445.0092183097404</v>
      </c>
      <c r="DV110" s="114">
        <v>7759.1652001232433</v>
      </c>
      <c r="DW110" s="114">
        <v>6782.2709357322874</v>
      </c>
      <c r="DX110" s="114">
        <v>667.37507725881505</v>
      </c>
      <c r="DY110" s="114">
        <v>18366.261869128313</v>
      </c>
      <c r="DZ110" s="114">
        <v>18660.049828115469</v>
      </c>
      <c r="EA110" s="114">
        <v>9439.3831785583388</v>
      </c>
      <c r="EB110" s="114">
        <v>3819.7480258850592</v>
      </c>
      <c r="EC110" s="114">
        <v>4232.9355423244106</v>
      </c>
      <c r="ED110" s="114">
        <v>8528.1101720174156</v>
      </c>
      <c r="EE110" s="114">
        <v>1100.3559119998388</v>
      </c>
      <c r="EF110" s="114">
        <v>1388.6147592692782</v>
      </c>
      <c r="EG110" s="114">
        <v>5065.8859814862499</v>
      </c>
      <c r="EH110" s="114">
        <v>5601.306429940968</v>
      </c>
      <c r="EI110" s="114">
        <v>5464.1416519772929</v>
      </c>
      <c r="EJ110" s="114">
        <v>9167.5798462109542</v>
      </c>
      <c r="EK110" s="114">
        <v>10427.266524786144</v>
      </c>
      <c r="EL110" s="114">
        <v>10705.839867714973</v>
      </c>
      <c r="EM110" s="114">
        <v>10400.594033980093</v>
      </c>
      <c r="EN110" s="114">
        <v>1010.5151952429454</v>
      </c>
      <c r="EO110" s="114">
        <v>1778.3787979143503</v>
      </c>
      <c r="EP110" s="114">
        <v>4418.1988428925933</v>
      </c>
      <c r="EQ110" s="114">
        <v>1338.5378391204576</v>
      </c>
      <c r="ER110" s="114">
        <v>2166.5450140469784</v>
      </c>
      <c r="ES110" s="114">
        <v>5776.7723754233566</v>
      </c>
      <c r="ET110" s="114">
        <v>7245.7609581839451</v>
      </c>
      <c r="EU110" s="114">
        <v>7353.9681328852548</v>
      </c>
      <c r="EV110" s="114">
        <v>7466.4709107663311</v>
      </c>
      <c r="EW110" s="114">
        <v>456.78795748173894</v>
      </c>
      <c r="EX110" s="114">
        <v>5231.6379023468535</v>
      </c>
      <c r="EY110" s="114">
        <v>4129.8547251265645</v>
      </c>
      <c r="EZ110" s="114">
        <v>4395.4428156506947</v>
      </c>
      <c r="FA110" s="114">
        <v>903.31700521959931</v>
      </c>
      <c r="FB110" s="114">
        <v>4809.3447763178265</v>
      </c>
      <c r="FC110" s="114">
        <v>10238.544276050288</v>
      </c>
      <c r="FD110" s="114">
        <v>592.62482296734186</v>
      </c>
      <c r="FE110" s="114">
        <v>400.7734765569395</v>
      </c>
      <c r="FF110" s="114">
        <v>6090.5338370202971</v>
      </c>
      <c r="FG110" s="114">
        <v>8282.0909433208035</v>
      </c>
      <c r="FH110" s="114">
        <v>8748.2363912509882</v>
      </c>
      <c r="FI110" s="114">
        <v>5157.4121117471086</v>
      </c>
      <c r="FJ110" s="114">
        <v>1274.1645936670384</v>
      </c>
      <c r="FK110" s="114">
        <v>850.33436594234422</v>
      </c>
      <c r="FL110" s="114">
        <v>7976.607855244195</v>
      </c>
      <c r="FM110" s="114">
        <v>4123.3027020909058</v>
      </c>
      <c r="FN110" s="114">
        <v>7641.0330157058243</v>
      </c>
      <c r="FO110" s="114">
        <v>1464.9632340476744</v>
      </c>
      <c r="FP110" s="114">
        <v>164.52398129726865</v>
      </c>
      <c r="FQ110" s="114">
        <v>2727.2562321659207</v>
      </c>
      <c r="FR110" s="114">
        <v>9521.7008844235406</v>
      </c>
      <c r="FS110" s="114">
        <v>4813.2020414666322</v>
      </c>
      <c r="FT110" s="114">
        <v>6679.9954493475843</v>
      </c>
      <c r="FU110" s="114">
        <v>8990.9553985662023</v>
      </c>
      <c r="FV110" s="114">
        <v>12635.44840157768</v>
      </c>
      <c r="FW110" s="114">
        <v>4623.271003827007</v>
      </c>
      <c r="FX110" s="114">
        <v>7692.9904145210694</v>
      </c>
      <c r="FY110" s="114">
        <v>1178.292386954831</v>
      </c>
      <c r="FZ110" s="114">
        <v>2046.1978641204289</v>
      </c>
      <c r="GA110" s="114">
        <v>4007.5947383744469</v>
      </c>
      <c r="GB110" s="114">
        <v>5669.9521483296094</v>
      </c>
      <c r="GC110" s="114">
        <v>1574.6546578329621</v>
      </c>
      <c r="GD110" s="114">
        <v>4693.0295224837464</v>
      </c>
      <c r="GE110" s="114">
        <v>828.82127814689966</v>
      </c>
      <c r="GF110" s="114">
        <v>9585.6953706374134</v>
      </c>
      <c r="GG110" s="114">
        <v>6390.3949257398899</v>
      </c>
      <c r="GH110" s="114">
        <v>6084.3406593539485</v>
      </c>
      <c r="GI110" s="114">
        <v>6716.8336375013369</v>
      </c>
      <c r="GJ110" s="114">
        <v>11169.282850973235</v>
      </c>
      <c r="GK110" s="114">
        <v>4698.3959392949264</v>
      </c>
      <c r="GL110" s="114">
        <v>8102.2851178760993</v>
      </c>
      <c r="GM110" s="114">
        <v>8760.4066786971853</v>
      </c>
      <c r="GN110" s="114">
        <v>4768.3607408923426</v>
      </c>
      <c r="GO110" s="114">
        <v>7184.9680121565825</v>
      </c>
      <c r="GP110" s="114">
        <v>7494.7235149434837</v>
      </c>
      <c r="GQ110" s="114">
        <v>9674.1866493292055</v>
      </c>
      <c r="GR110" s="114">
        <v>16447.568743721968</v>
      </c>
      <c r="GS110" s="114">
        <v>66.755003190773081</v>
      </c>
      <c r="GT110" s="115">
        <v>8362.4394778704627</v>
      </c>
    </row>
    <row r="111" spans="2:202" x14ac:dyDescent="0.6">
      <c r="B111" s="106" t="s">
        <v>99</v>
      </c>
      <c r="C111" s="63" t="s">
        <v>480</v>
      </c>
      <c r="D111" s="113">
        <v>4051.7659744056054</v>
      </c>
      <c r="E111" s="114">
        <v>2617.0970611888797</v>
      </c>
      <c r="F111" s="114">
        <v>2198.4077114587958</v>
      </c>
      <c r="G111" s="114">
        <v>7082.3102241342031</v>
      </c>
      <c r="H111" s="114">
        <v>8278.0931164174126</v>
      </c>
      <c r="I111" s="114">
        <v>12923.563215546279</v>
      </c>
      <c r="J111" s="114">
        <v>2132.0424681738768</v>
      </c>
      <c r="K111" s="114">
        <v>15276.87927268933</v>
      </c>
      <c r="L111" s="114">
        <v>933.60012940794377</v>
      </c>
      <c r="M111" s="114">
        <v>2392.1802423640047</v>
      </c>
      <c r="N111" s="114">
        <v>8522.5707087834689</v>
      </c>
      <c r="O111" s="114">
        <v>3755.7486462824827</v>
      </c>
      <c r="P111" s="114">
        <v>6308.8873497419554</v>
      </c>
      <c r="Q111" s="114">
        <v>8476.3469069451658</v>
      </c>
      <c r="R111" s="114">
        <v>167.94307013628412</v>
      </c>
      <c r="S111" s="114">
        <v>1479.2564768406619</v>
      </c>
      <c r="T111" s="114">
        <v>9890.7812689047405</v>
      </c>
      <c r="U111" s="114">
        <v>5730.2267910616565</v>
      </c>
      <c r="V111" s="114">
        <v>5926.0876496223327</v>
      </c>
      <c r="W111" s="114">
        <v>11675.923573233074</v>
      </c>
      <c r="X111" s="114">
        <v>1307.8021351823984</v>
      </c>
      <c r="Y111" s="114">
        <v>8765.571789926893</v>
      </c>
      <c r="Z111" s="114">
        <v>11020.880792563765</v>
      </c>
      <c r="AA111" s="114">
        <v>10764.883066374552</v>
      </c>
      <c r="AB111" s="114">
        <v>9586.8319519739962</v>
      </c>
      <c r="AC111" s="114">
        <v>1334.5196570783019</v>
      </c>
      <c r="AD111" s="114">
        <v>5237.663808046922</v>
      </c>
      <c r="AE111" s="114">
        <v>6408.7929926151992</v>
      </c>
      <c r="AF111" s="114">
        <v>6040.7446475041916</v>
      </c>
      <c r="AG111" s="114">
        <v>8294.6550438173672</v>
      </c>
      <c r="AH111" s="114">
        <v>5769.2725246507944</v>
      </c>
      <c r="AI111" s="114">
        <v>5794.9971732704707</v>
      </c>
      <c r="AJ111" s="114">
        <v>6994.0470109730077</v>
      </c>
      <c r="AK111" s="114">
        <v>6656.6806127672508</v>
      </c>
      <c r="AL111" s="114">
        <v>5610.6545886150279</v>
      </c>
      <c r="AM111" s="114">
        <v>4792.6324936539331</v>
      </c>
      <c r="AN111" s="114">
        <v>13292.284803796518</v>
      </c>
      <c r="AO111" s="114">
        <v>7613.4867924280179</v>
      </c>
      <c r="AP111" s="114">
        <v>6600.1194159292818</v>
      </c>
      <c r="AQ111" s="114">
        <v>10206.560608305728</v>
      </c>
      <c r="AR111" s="114">
        <v>7507.6736349319781</v>
      </c>
      <c r="AS111" s="114">
        <v>6591.9582977747923</v>
      </c>
      <c r="AT111" s="114">
        <v>6568.2451983143901</v>
      </c>
      <c r="AU111" s="114">
        <v>10352.433832632572</v>
      </c>
      <c r="AV111" s="114">
        <v>6051.2089813699949</v>
      </c>
      <c r="AW111" s="114">
        <v>1200.9713959367728</v>
      </c>
      <c r="AX111" s="114">
        <v>8994.3888979228232</v>
      </c>
      <c r="AY111" s="114">
        <v>2232.8835490843226</v>
      </c>
      <c r="AZ111" s="114">
        <v>887.54204445878383</v>
      </c>
      <c r="BA111" s="114">
        <v>828.42399144175408</v>
      </c>
      <c r="BB111" s="114">
        <v>5042.7311527240017</v>
      </c>
      <c r="BC111" s="114">
        <v>8410.0220987309131</v>
      </c>
      <c r="BD111" s="114">
        <v>8665.0320405109323</v>
      </c>
      <c r="BE111" s="114">
        <v>6579.9963062480201</v>
      </c>
      <c r="BF111" s="114">
        <v>10892.664333436329</v>
      </c>
      <c r="BG111" s="114">
        <v>2751.4700302519441</v>
      </c>
      <c r="BH111" s="114">
        <v>10292.208725356428</v>
      </c>
      <c r="BI111" s="114">
        <v>5861.65287547147</v>
      </c>
      <c r="BJ111" s="114">
        <v>4508.904226400985</v>
      </c>
      <c r="BK111" s="114">
        <v>539.90857510423575</v>
      </c>
      <c r="BL111" s="114">
        <v>8975.5590361203667</v>
      </c>
      <c r="BM111" s="114">
        <v>5179.0869474119609</v>
      </c>
      <c r="BN111" s="114">
        <v>641.6663493491676</v>
      </c>
      <c r="BO111" s="114">
        <v>1712.6123944861724</v>
      </c>
      <c r="BP111" s="114">
        <v>6193.1211763427782</v>
      </c>
      <c r="BQ111" s="114">
        <v>5822.370355874401</v>
      </c>
      <c r="BR111" s="114">
        <v>2023.1677643964133</v>
      </c>
      <c r="BS111" s="114">
        <v>824.60062378945952</v>
      </c>
      <c r="BT111" s="114">
        <v>1171.0366885192857</v>
      </c>
      <c r="BU111" s="114">
        <v>1216.3542226234108</v>
      </c>
      <c r="BV111" s="114">
        <v>5905.7252953449461</v>
      </c>
      <c r="BW111" s="114">
        <v>1872.7065749779661</v>
      </c>
      <c r="BX111" s="114">
        <v>8723.3103136846548</v>
      </c>
      <c r="BY111" s="114">
        <v>10261.787505452769</v>
      </c>
      <c r="BZ111" s="114">
        <v>6066.2559064925399</v>
      </c>
      <c r="CA111" s="114">
        <v>5951.3662571121222</v>
      </c>
      <c r="CB111" s="114">
        <v>8987.4274882276968</v>
      </c>
      <c r="CC111" s="114">
        <v>8818.7768533717099</v>
      </c>
      <c r="CD111" s="114">
        <v>10117.857919287419</v>
      </c>
      <c r="CE111" s="114">
        <v>897.79406337888486</v>
      </c>
      <c r="CF111" s="114">
        <v>2791.6659329441786</v>
      </c>
      <c r="CG111" s="114">
        <v>5614.8983033651321</v>
      </c>
      <c r="CH111" s="114">
        <v>5047.9836286947766</v>
      </c>
      <c r="CI111" s="114">
        <v>9993.1669919242613</v>
      </c>
      <c r="CJ111" s="114">
        <v>2910.7340433763188</v>
      </c>
      <c r="CK111" s="114">
        <v>2790.6187466256433</v>
      </c>
      <c r="CL111" s="114">
        <v>2045.4812572361143</v>
      </c>
      <c r="CM111" s="114">
        <v>5305.5466635810517</v>
      </c>
      <c r="CN111" s="114">
        <v>1714.8770518123004</v>
      </c>
      <c r="CO111" s="114">
        <v>1508.6545602930962</v>
      </c>
      <c r="CP111" s="114">
        <v>9119.2933633895154</v>
      </c>
      <c r="CQ111" s="114">
        <v>8216.3269701761928</v>
      </c>
      <c r="CR111" s="114">
        <v>2665.4324654139564</v>
      </c>
      <c r="CS111" s="114">
        <v>3069.2530095052903</v>
      </c>
      <c r="CT111" s="114">
        <v>6263.5321407856991</v>
      </c>
      <c r="CU111" s="114">
        <v>3336.2118863440646</v>
      </c>
      <c r="CV111" s="114">
        <v>3774.1808664689979</v>
      </c>
      <c r="CW111" s="114">
        <v>7597.1238802928583</v>
      </c>
      <c r="CX111" s="114">
        <v>249.09480155503331</v>
      </c>
      <c r="CY111" s="114">
        <v>2450.057129010172</v>
      </c>
      <c r="CZ111" s="114">
        <v>9293.6584934443254</v>
      </c>
      <c r="DA111" s="114">
        <v>6236.3824053907138</v>
      </c>
      <c r="DB111" s="114">
        <v>2614.8174369353205</v>
      </c>
      <c r="DC111" s="114">
        <v>1376.2493253215735</v>
      </c>
      <c r="DD111" s="114" t="s">
        <v>237</v>
      </c>
      <c r="DE111" s="114">
        <v>1418.9125578374212</v>
      </c>
      <c r="DF111" s="114">
        <v>8378.6271068692859</v>
      </c>
      <c r="DG111" s="114">
        <v>7643.9250480328146</v>
      </c>
      <c r="DH111" s="114">
        <v>8838.6600538623006</v>
      </c>
      <c r="DI111" s="114">
        <v>7070.9454166519863</v>
      </c>
      <c r="DJ111" s="114">
        <v>5480.2981799135059</v>
      </c>
      <c r="DK111" s="114">
        <v>2256.9555597700955</v>
      </c>
      <c r="DL111" s="114">
        <v>8829.1474662123564</v>
      </c>
      <c r="DM111" s="114">
        <v>8842.2351824633788</v>
      </c>
      <c r="DN111" s="114">
        <v>10278.592983857852</v>
      </c>
      <c r="DO111" s="114">
        <v>859.0347062347779</v>
      </c>
      <c r="DP111" s="114">
        <v>1744.7273701894458</v>
      </c>
      <c r="DQ111" s="114">
        <v>5419.4331738675119</v>
      </c>
      <c r="DR111" s="114">
        <v>1396.5364939161805</v>
      </c>
      <c r="DS111" s="114">
        <v>3361.0661325407536</v>
      </c>
      <c r="DT111" s="114">
        <v>8917.4199966047781</v>
      </c>
      <c r="DU111" s="114">
        <v>7302.4287184560826</v>
      </c>
      <c r="DV111" s="114">
        <v>8567.5741049943281</v>
      </c>
      <c r="DW111" s="114">
        <v>5640.1862559775873</v>
      </c>
      <c r="DX111" s="114">
        <v>1387.5350088048892</v>
      </c>
      <c r="DY111" s="114">
        <v>16991.598999674276</v>
      </c>
      <c r="DZ111" s="114">
        <v>17319.866868021938</v>
      </c>
      <c r="EA111" s="114">
        <v>10248.93795597465</v>
      </c>
      <c r="EB111" s="114">
        <v>4996.7790260539241</v>
      </c>
      <c r="EC111" s="114">
        <v>5284.4898858838869</v>
      </c>
      <c r="ED111" s="114">
        <v>7152.9771536028584</v>
      </c>
      <c r="EE111" s="114">
        <v>1405.4234532442331</v>
      </c>
      <c r="EF111" s="114">
        <v>1058.9485467341715</v>
      </c>
      <c r="EG111" s="114">
        <v>4408.8425973754747</v>
      </c>
      <c r="EH111" s="114">
        <v>4741.9679064351831</v>
      </c>
      <c r="EI111" s="114">
        <v>4374.417021165903</v>
      </c>
      <c r="EJ111" s="114">
        <v>10111.262882552177</v>
      </c>
      <c r="EK111" s="114">
        <v>11788.394111688156</v>
      </c>
      <c r="EL111" s="114">
        <v>11877.410960900992</v>
      </c>
      <c r="EM111" s="114">
        <v>9080.1284539726639</v>
      </c>
      <c r="EN111" s="114">
        <v>374.43195077782428</v>
      </c>
      <c r="EO111" s="114">
        <v>3124.3042874651042</v>
      </c>
      <c r="EP111" s="114">
        <v>3897.238243239954</v>
      </c>
      <c r="EQ111" s="114">
        <v>1126.0881174760314</v>
      </c>
      <c r="ER111" s="114">
        <v>804.75119697700313</v>
      </c>
      <c r="ES111" s="114">
        <v>6239.5913591721846</v>
      </c>
      <c r="ET111" s="114">
        <v>8311.4895280450037</v>
      </c>
      <c r="EU111" s="114">
        <v>8472.5389097710959</v>
      </c>
      <c r="EV111" s="114">
        <v>8588.1645033515615</v>
      </c>
      <c r="EW111" s="114">
        <v>1523.2979028882853</v>
      </c>
      <c r="EX111" s="114">
        <v>6276.2779256724161</v>
      </c>
      <c r="EY111" s="114">
        <v>3766.2799806277503</v>
      </c>
      <c r="EZ111" s="114">
        <v>5767.3841382915725</v>
      </c>
      <c r="FA111" s="114">
        <v>1151.8734410956224</v>
      </c>
      <c r="FB111" s="114">
        <v>6149.3528713412443</v>
      </c>
      <c r="FC111" s="114">
        <v>9151.4496827251569</v>
      </c>
      <c r="FD111" s="114">
        <v>897.23195826832421</v>
      </c>
      <c r="FE111" s="114">
        <v>1204.4008742357516</v>
      </c>
      <c r="FF111" s="114">
        <v>6101.6222683160695</v>
      </c>
      <c r="FG111" s="114">
        <v>8880.0291302759724</v>
      </c>
      <c r="FH111" s="114">
        <v>7372.7481701637253</v>
      </c>
      <c r="FI111" s="114">
        <v>5537.4479487583258</v>
      </c>
      <c r="FJ111" s="114">
        <v>2640.1485946729804</v>
      </c>
      <c r="FK111" s="114">
        <v>2225.5559219814568</v>
      </c>
      <c r="FL111" s="114">
        <v>7158.9500491127119</v>
      </c>
      <c r="FM111" s="114">
        <v>4388.4774883575474</v>
      </c>
      <c r="FN111" s="114">
        <v>8882.3819811939866</v>
      </c>
      <c r="FO111" s="114">
        <v>690.16821515430433</v>
      </c>
      <c r="FP111" s="114">
        <v>1529.4752009983806</v>
      </c>
      <c r="FQ111" s="114">
        <v>2497.3487248958627</v>
      </c>
      <c r="FR111" s="114">
        <v>8163.805149895722</v>
      </c>
      <c r="FS111" s="114">
        <v>3692.3847594709537</v>
      </c>
      <c r="FT111" s="114">
        <v>6930.0047605971276</v>
      </c>
      <c r="FU111" s="114">
        <v>7833.6759661204151</v>
      </c>
      <c r="FV111" s="114">
        <v>11410.099347989057</v>
      </c>
      <c r="FW111" s="114">
        <v>5784.781655191613</v>
      </c>
      <c r="FX111" s="114">
        <v>8832.9200140186804</v>
      </c>
      <c r="FY111" s="114">
        <v>2299.2930973133034</v>
      </c>
      <c r="FZ111" s="114">
        <v>1736.3620952693045</v>
      </c>
      <c r="GA111" s="114">
        <v>3039.2801643777752</v>
      </c>
      <c r="GB111" s="114">
        <v>6059.6592587820096</v>
      </c>
      <c r="GC111" s="114">
        <v>570.12719547491554</v>
      </c>
      <c r="GD111" s="114">
        <v>4116.14065876528</v>
      </c>
      <c r="GE111" s="114">
        <v>1717.2860508901051</v>
      </c>
      <c r="GF111" s="114">
        <v>9576.4107145256003</v>
      </c>
      <c r="GG111" s="114">
        <v>6964.5571105495119</v>
      </c>
      <c r="GH111" s="114">
        <v>6665.2390092212872</v>
      </c>
      <c r="GI111" s="114">
        <v>7283.2366341413872</v>
      </c>
      <c r="GJ111" s="114">
        <v>12544.9508211995</v>
      </c>
      <c r="GK111" s="114">
        <v>3520.795017468884</v>
      </c>
      <c r="GL111" s="114">
        <v>9190.1420346663072</v>
      </c>
      <c r="GM111" s="114">
        <v>7500.2601942419078</v>
      </c>
      <c r="GN111" s="114">
        <v>4638.8147062276676</v>
      </c>
      <c r="GO111" s="114">
        <v>7750.9653156377162</v>
      </c>
      <c r="GP111" s="114">
        <v>8004.1721396439707</v>
      </c>
      <c r="GQ111" s="114">
        <v>8477.8743248402061</v>
      </c>
      <c r="GR111" s="114">
        <v>15261.29115057787</v>
      </c>
      <c r="GS111" s="114">
        <v>1398.4027834515502</v>
      </c>
      <c r="GT111" s="115">
        <v>8964.2436056902061</v>
      </c>
    </row>
    <row r="112" spans="2:202" x14ac:dyDescent="0.6">
      <c r="B112" s="106" t="s">
        <v>100</v>
      </c>
      <c r="C112" s="63" t="s">
        <v>100</v>
      </c>
      <c r="D112" s="113">
        <v>5316.4561560651282</v>
      </c>
      <c r="E112" s="114">
        <v>1460.3837199277225</v>
      </c>
      <c r="F112" s="114">
        <v>867.21181225356736</v>
      </c>
      <c r="G112" s="114">
        <v>6471.519983660357</v>
      </c>
      <c r="H112" s="114">
        <v>6982.0328205878668</v>
      </c>
      <c r="I112" s="114">
        <v>11529.324302816045</v>
      </c>
      <c r="J112" s="114">
        <v>3150.9576109680588</v>
      </c>
      <c r="K112" s="114">
        <v>16670.668170631052</v>
      </c>
      <c r="L112" s="114">
        <v>755.04813242689272</v>
      </c>
      <c r="M112" s="114">
        <v>3519.6640664344454</v>
      </c>
      <c r="N112" s="114">
        <v>7453.2732308009718</v>
      </c>
      <c r="O112" s="114">
        <v>4575.1818362415961</v>
      </c>
      <c r="P112" s="114">
        <v>7644.482880543902</v>
      </c>
      <c r="Q112" s="114">
        <v>7136.5454907094918</v>
      </c>
      <c r="R112" s="114">
        <v>1533.9953690045841</v>
      </c>
      <c r="S112" s="114">
        <v>184.83943201371616</v>
      </c>
      <c r="T112" s="114">
        <v>8876.824399089699</v>
      </c>
      <c r="U112" s="114">
        <v>4809.3049572718737</v>
      </c>
      <c r="V112" s="114">
        <v>7280.3945418997928</v>
      </c>
      <c r="W112" s="114">
        <v>10271.1781478424</v>
      </c>
      <c r="X112" s="114">
        <v>1134.734898330956</v>
      </c>
      <c r="Y112" s="114">
        <v>8432.4080741984017</v>
      </c>
      <c r="Z112" s="114">
        <v>9636.7205112610882</v>
      </c>
      <c r="AA112" s="114">
        <v>9394.7606560450076</v>
      </c>
      <c r="AB112" s="114">
        <v>10970.473764674212</v>
      </c>
      <c r="AC112" s="114">
        <v>1526.0290904001624</v>
      </c>
      <c r="AD112" s="114">
        <v>4194.0530403246876</v>
      </c>
      <c r="AE112" s="114">
        <v>6249.4288922997712</v>
      </c>
      <c r="AF112" s="114">
        <v>4657.7687131794492</v>
      </c>
      <c r="AG112" s="114">
        <v>9652.3827486643586</v>
      </c>
      <c r="AH112" s="114">
        <v>5051.111374680735</v>
      </c>
      <c r="AI112" s="114">
        <v>5124.7608048256861</v>
      </c>
      <c r="AJ112" s="114">
        <v>6210.236688728407</v>
      </c>
      <c r="AK112" s="114">
        <v>5853.2636242257731</v>
      </c>
      <c r="AL112" s="114">
        <v>5151.1061806284351</v>
      </c>
      <c r="AM112" s="114">
        <v>4217.2641486109433</v>
      </c>
      <c r="AN112" s="114">
        <v>11873.891304653542</v>
      </c>
      <c r="AO112" s="114">
        <v>9017.2009081743854</v>
      </c>
      <c r="AP112" s="114">
        <v>7995.3155318827485</v>
      </c>
      <c r="AQ112" s="114">
        <v>8924.5019126472889</v>
      </c>
      <c r="AR112" s="114">
        <v>7666.0131507414198</v>
      </c>
      <c r="AS112" s="114">
        <v>6037.0169920601156</v>
      </c>
      <c r="AT112" s="114">
        <v>6008.0792076664147</v>
      </c>
      <c r="AU112" s="114">
        <v>9211.1346905220616</v>
      </c>
      <c r="AV112" s="114">
        <v>4987.0119827609005</v>
      </c>
      <c r="AW112" s="114">
        <v>832.56411093287181</v>
      </c>
      <c r="AX112" s="114">
        <v>7964.7058984899013</v>
      </c>
      <c r="AY112" s="114">
        <v>2717.5162118728667</v>
      </c>
      <c r="AZ112" s="114">
        <v>589.15607995960852</v>
      </c>
      <c r="BA112" s="114">
        <v>793.62018708945095</v>
      </c>
      <c r="BB112" s="114">
        <v>5397.2244598627258</v>
      </c>
      <c r="BC112" s="114">
        <v>7096.5510745568517</v>
      </c>
      <c r="BD112" s="114">
        <v>7446.7317305741217</v>
      </c>
      <c r="BE112" s="114">
        <v>6020.6330861098386</v>
      </c>
      <c r="BF112" s="114">
        <v>9618.0091831436603</v>
      </c>
      <c r="BG112" s="114">
        <v>3010.5461050171111</v>
      </c>
      <c r="BH112" s="114">
        <v>9250.2886226905957</v>
      </c>
      <c r="BI112" s="114">
        <v>5111.1677926483762</v>
      </c>
      <c r="BJ112" s="114">
        <v>4802.4335268549712</v>
      </c>
      <c r="BK112" s="114">
        <v>1609.9449809801961</v>
      </c>
      <c r="BL112" s="114">
        <v>8757.7496964371167</v>
      </c>
      <c r="BM112" s="114">
        <v>5394.7529920940715</v>
      </c>
      <c r="BN112" s="114">
        <v>1695.2933250635554</v>
      </c>
      <c r="BO112" s="114">
        <v>300.12156446973637</v>
      </c>
      <c r="BP112" s="114">
        <v>5470.2858254254515</v>
      </c>
      <c r="BQ112" s="114">
        <v>4508.4242135325494</v>
      </c>
      <c r="BR112" s="114">
        <v>3088.8551884918934</v>
      </c>
      <c r="BS112" s="114">
        <v>598.72283653617558</v>
      </c>
      <c r="BT112" s="114">
        <v>425.28310285747375</v>
      </c>
      <c r="BU112" s="114">
        <v>203.65894076588552</v>
      </c>
      <c r="BV112" s="114">
        <v>4928.9150398025786</v>
      </c>
      <c r="BW112" s="114">
        <v>1910.5929005477292</v>
      </c>
      <c r="BX112" s="114">
        <v>7394.545482393064</v>
      </c>
      <c r="BY112" s="114">
        <v>9244.9116088504416</v>
      </c>
      <c r="BZ112" s="114">
        <v>4812.7614782597966</v>
      </c>
      <c r="CA112" s="114">
        <v>4659.19848946608</v>
      </c>
      <c r="CB112" s="114">
        <v>7610.6965492216386</v>
      </c>
      <c r="CC112" s="114">
        <v>7627.4044383357941</v>
      </c>
      <c r="CD112" s="114">
        <v>9056.9568249681233</v>
      </c>
      <c r="CE112" s="114">
        <v>984.25707882372035</v>
      </c>
      <c r="CF112" s="114">
        <v>2316.3775133894969</v>
      </c>
      <c r="CG112" s="114">
        <v>6741.292160418554</v>
      </c>
      <c r="CH112" s="114">
        <v>6321.8578534720255</v>
      </c>
      <c r="CI112" s="114">
        <v>11266.997322438527</v>
      </c>
      <c r="CJ112" s="114">
        <v>3950.5949166318806</v>
      </c>
      <c r="CK112" s="114">
        <v>3610.1853037339397</v>
      </c>
      <c r="CL112" s="114">
        <v>950.56372002614842</v>
      </c>
      <c r="CM112" s="114">
        <v>3929.0791327167526</v>
      </c>
      <c r="CN112" s="114">
        <v>995.13890373873903</v>
      </c>
      <c r="CO112" s="114">
        <v>492.87084295992929</v>
      </c>
      <c r="CP112" s="114">
        <v>7969.9892784308122</v>
      </c>
      <c r="CQ112" s="114">
        <v>9513.5230617164343</v>
      </c>
      <c r="CR112" s="114">
        <v>3146.024599859692</v>
      </c>
      <c r="CS112" s="114">
        <v>4486.8833474729017</v>
      </c>
      <c r="CT112" s="114">
        <v>6327.0950638732484</v>
      </c>
      <c r="CU112" s="114">
        <v>4162.9234174692383</v>
      </c>
      <c r="CV112" s="114">
        <v>5156.3485839302621</v>
      </c>
      <c r="CW112" s="114">
        <v>8970.3830470768607</v>
      </c>
      <c r="CX112" s="114">
        <v>1437.7360471131888</v>
      </c>
      <c r="CY112" s="114">
        <v>2974.7967341427584</v>
      </c>
      <c r="CZ112" s="114">
        <v>8983.7789248481968</v>
      </c>
      <c r="DA112" s="114">
        <v>5047.5108554359649</v>
      </c>
      <c r="DB112" s="114">
        <v>1964.316075928389</v>
      </c>
      <c r="DC112" s="114">
        <v>348.84628610117232</v>
      </c>
      <c r="DD112" s="114">
        <v>1418.9125578374212</v>
      </c>
      <c r="DE112" s="114" t="s">
        <v>237</v>
      </c>
      <c r="DF112" s="114">
        <v>8575.3227829116822</v>
      </c>
      <c r="DG112" s="114">
        <v>7542.0733163970463</v>
      </c>
      <c r="DH112" s="114">
        <v>10130.287452175855</v>
      </c>
      <c r="DI112" s="114">
        <v>8034.468832745637</v>
      </c>
      <c r="DJ112" s="114">
        <v>4303.764018654465</v>
      </c>
      <c r="DK112" s="114">
        <v>1676.7676392937403</v>
      </c>
      <c r="DL112" s="114">
        <v>9226.5525615945444</v>
      </c>
      <c r="DM112" s="114">
        <v>9243.0972554774144</v>
      </c>
      <c r="DN112" s="114">
        <v>9443.2465950904971</v>
      </c>
      <c r="DO112" s="114">
        <v>1701.7700406816464</v>
      </c>
      <c r="DP112" s="114">
        <v>634.43734270766208</v>
      </c>
      <c r="DQ112" s="114">
        <v>6808.3392983806016</v>
      </c>
      <c r="DR112" s="114">
        <v>1274.7204848213789</v>
      </c>
      <c r="DS112" s="114">
        <v>2010.0229614541888</v>
      </c>
      <c r="DT112" s="114">
        <v>8730.01615282688</v>
      </c>
      <c r="DU112" s="114">
        <v>8635.3890815538289</v>
      </c>
      <c r="DV112" s="114">
        <v>8048.3330948037128</v>
      </c>
      <c r="DW112" s="114">
        <v>6969.2738106128918</v>
      </c>
      <c r="DX112" s="114">
        <v>336.13569401531788</v>
      </c>
      <c r="DY112" s="114">
        <v>18352.503451613778</v>
      </c>
      <c r="DZ112" s="114">
        <v>18727.974872739236</v>
      </c>
      <c r="EA112" s="114">
        <v>9156.8918929565189</v>
      </c>
      <c r="EB112" s="114">
        <v>4031.0512224531149</v>
      </c>
      <c r="EC112" s="114">
        <v>4484.8381917538582</v>
      </c>
      <c r="ED112" s="114">
        <v>8516.6034313604578</v>
      </c>
      <c r="EE112" s="114">
        <v>1430.4245953345799</v>
      </c>
      <c r="EF112" s="114">
        <v>1165.8869276869675</v>
      </c>
      <c r="EG112" s="114">
        <v>5357.0396341785681</v>
      </c>
      <c r="EH112" s="114">
        <v>5859.7841441971323</v>
      </c>
      <c r="EI112" s="114">
        <v>5664.5298816639042</v>
      </c>
      <c r="EJ112" s="114">
        <v>8912.8867546830552</v>
      </c>
      <c r="EK112" s="114">
        <v>10376.062255440012</v>
      </c>
      <c r="EL112" s="114">
        <v>10525.182800955075</v>
      </c>
      <c r="EM112" s="114">
        <v>10498.051166900441</v>
      </c>
      <c r="EN112" s="114">
        <v>1090.7031927473233</v>
      </c>
      <c r="EO112" s="114">
        <v>1715.4353422834847</v>
      </c>
      <c r="EP112" s="114">
        <v>4724.2644110249867</v>
      </c>
      <c r="EQ112" s="114">
        <v>1618.7858828657577</v>
      </c>
      <c r="ER112" s="114">
        <v>2223.6220347072272</v>
      </c>
      <c r="ES112" s="114">
        <v>6113.8378863994458</v>
      </c>
      <c r="ET112" s="114">
        <v>7020.5104549986127</v>
      </c>
      <c r="EU112" s="114">
        <v>7147.0122121626564</v>
      </c>
      <c r="EV112" s="114">
        <v>7260.8895773270197</v>
      </c>
      <c r="EW112" s="114">
        <v>802.5680521110886</v>
      </c>
      <c r="EX112" s="114">
        <v>5478.6490797873203</v>
      </c>
      <c r="EY112" s="114">
        <v>4451.4824034710082</v>
      </c>
      <c r="EZ112" s="114">
        <v>4437.8031792245147</v>
      </c>
      <c r="FA112" s="114">
        <v>1209.306417114135</v>
      </c>
      <c r="FB112" s="114">
        <v>4906.2792288035689</v>
      </c>
      <c r="FC112" s="114">
        <v>10451.650807380563</v>
      </c>
      <c r="FD112" s="114">
        <v>816.77178900357876</v>
      </c>
      <c r="FE112" s="114">
        <v>718.63157125222676</v>
      </c>
      <c r="FF112" s="114">
        <v>6438.5787369091777</v>
      </c>
      <c r="FG112" s="114">
        <v>8600.3244991823503</v>
      </c>
      <c r="FH112" s="114">
        <v>8738.701717923539</v>
      </c>
      <c r="FI112" s="114">
        <v>5500.703907600755</v>
      </c>
      <c r="FJ112" s="114">
        <v>1260.7062276888646</v>
      </c>
      <c r="FK112" s="114">
        <v>938.76371539504544</v>
      </c>
      <c r="FL112" s="114">
        <v>8251.2687567849407</v>
      </c>
      <c r="FM112" s="114">
        <v>4471.6481445847949</v>
      </c>
      <c r="FN112" s="114">
        <v>7488.9874286537606</v>
      </c>
      <c r="FO112" s="114">
        <v>1335.6481583638233</v>
      </c>
      <c r="FP112" s="114">
        <v>323.69319786643268</v>
      </c>
      <c r="FQ112" s="114">
        <v>3049.9985325594726</v>
      </c>
      <c r="FR112" s="114">
        <v>9578.0699019141157</v>
      </c>
      <c r="FS112" s="114">
        <v>5000.9714883709548</v>
      </c>
      <c r="FT112" s="114">
        <v>7026.3076291081925</v>
      </c>
      <c r="FU112" s="114">
        <v>9176.7579159485285</v>
      </c>
      <c r="FV112" s="114">
        <v>12796.319619433369</v>
      </c>
      <c r="FW112" s="114">
        <v>4834.3782378671449</v>
      </c>
      <c r="FX112" s="114">
        <v>7494.7226403221121</v>
      </c>
      <c r="FY112" s="114">
        <v>1467.4611164532507</v>
      </c>
      <c r="FZ112" s="114">
        <v>2347.7775857296197</v>
      </c>
      <c r="GA112" s="114">
        <v>4232.6972388340801</v>
      </c>
      <c r="GB112" s="114">
        <v>6011.7727210415032</v>
      </c>
      <c r="GC112" s="114">
        <v>1730.322931163995</v>
      </c>
      <c r="GD112" s="114">
        <v>4993.5023050076643</v>
      </c>
      <c r="GE112" s="114">
        <v>488.28920677774261</v>
      </c>
      <c r="GF112" s="114">
        <v>9236.8806568084019</v>
      </c>
      <c r="GG112" s="114">
        <v>6066.2430477152147</v>
      </c>
      <c r="GH112" s="114">
        <v>5760.1400465172337</v>
      </c>
      <c r="GI112" s="114">
        <v>6392.6305601138556</v>
      </c>
      <c r="GJ112" s="114">
        <v>11157.87276127326</v>
      </c>
      <c r="GK112" s="114">
        <v>4865.7677872438926</v>
      </c>
      <c r="GL112" s="114">
        <v>7886.1299920177962</v>
      </c>
      <c r="GM112" s="114">
        <v>8898.274085477984</v>
      </c>
      <c r="GN112" s="114">
        <v>5109.769952267462</v>
      </c>
      <c r="GO112" s="114">
        <v>7509.5486225793366</v>
      </c>
      <c r="GP112" s="114">
        <v>7824.0489153648878</v>
      </c>
      <c r="GQ112" s="114">
        <v>9844.9070409282667</v>
      </c>
      <c r="GR112" s="114">
        <v>16636.557560244113</v>
      </c>
      <c r="GS112" s="114">
        <v>286.15930314789188</v>
      </c>
      <c r="GT112" s="115">
        <v>8680.0116347468629</v>
      </c>
    </row>
    <row r="113" spans="2:202" x14ac:dyDescent="0.6">
      <c r="B113" s="106" t="s">
        <v>101</v>
      </c>
      <c r="C113" s="63" t="s">
        <v>481</v>
      </c>
      <c r="D113" s="113">
        <v>6311.3254667025194</v>
      </c>
      <c r="E113" s="114">
        <v>7676.5749653595431</v>
      </c>
      <c r="F113" s="114">
        <v>8246.1601208676075</v>
      </c>
      <c r="G113" s="114">
        <v>3850.122998833906</v>
      </c>
      <c r="H113" s="114">
        <v>12565.980481870338</v>
      </c>
      <c r="I113" s="114">
        <v>10256.077929399757</v>
      </c>
      <c r="J113" s="114">
        <v>6528.993976189684</v>
      </c>
      <c r="K113" s="114">
        <v>10064.965446133252</v>
      </c>
      <c r="L113" s="114">
        <v>8032.1477352407492</v>
      </c>
      <c r="M113" s="114">
        <v>6546.8595122289425</v>
      </c>
      <c r="N113" s="114">
        <v>14278.616581549059</v>
      </c>
      <c r="O113" s="114">
        <v>4975.3517455894744</v>
      </c>
      <c r="P113" s="114">
        <v>6596.3502980870862</v>
      </c>
      <c r="Q113" s="114">
        <v>12189.590361523226</v>
      </c>
      <c r="R113" s="114">
        <v>8240.408616875593</v>
      </c>
      <c r="S113" s="114">
        <v>8759.1106721131946</v>
      </c>
      <c r="T113" s="114">
        <v>15326.502603471192</v>
      </c>
      <c r="U113" s="114">
        <v>5639.3553460423718</v>
      </c>
      <c r="V113" s="114">
        <v>6827.5518495781107</v>
      </c>
      <c r="W113" s="114">
        <v>11961.375655920658</v>
      </c>
      <c r="X113" s="114">
        <v>7511.0081761330011</v>
      </c>
      <c r="Y113" s="114">
        <v>2339.7321530363965</v>
      </c>
      <c r="Z113" s="114">
        <v>9578.571931259612</v>
      </c>
      <c r="AA113" s="114">
        <v>9263.8411575688351</v>
      </c>
      <c r="AB113" s="114">
        <v>7839.9324322471457</v>
      </c>
      <c r="AC113" s="114">
        <v>7219.4696045289347</v>
      </c>
      <c r="AD113" s="114">
        <v>6329.0492096507414</v>
      </c>
      <c r="AE113" s="114">
        <v>2611.7142679731137</v>
      </c>
      <c r="AF113" s="114">
        <v>8588.1851803788813</v>
      </c>
      <c r="AG113" s="114">
        <v>7096.4617796350731</v>
      </c>
      <c r="AH113" s="114">
        <v>4824.3592112228825</v>
      </c>
      <c r="AI113" s="114">
        <v>4637.9440819776255</v>
      </c>
      <c r="AJ113" s="114">
        <v>14345.542969142598</v>
      </c>
      <c r="AK113" s="114">
        <v>14002.452285428393</v>
      </c>
      <c r="AL113" s="114">
        <v>4059.4848560816999</v>
      </c>
      <c r="AM113" s="114">
        <v>4948.5812449798113</v>
      </c>
      <c r="AN113" s="114">
        <v>11253.521312582945</v>
      </c>
      <c r="AO113" s="114">
        <v>9647.0716082670097</v>
      </c>
      <c r="AP113" s="114">
        <v>9620.5282220671434</v>
      </c>
      <c r="AQ113" s="114">
        <v>13456.767234605613</v>
      </c>
      <c r="AR113" s="114">
        <v>911.31855785761945</v>
      </c>
      <c r="AS113" s="114">
        <v>3818.1023243668728</v>
      </c>
      <c r="AT113" s="114">
        <v>3849.2613314767555</v>
      </c>
      <c r="AU113" s="114">
        <v>14686.80966534754</v>
      </c>
      <c r="AV113" s="114">
        <v>6219.9235276181134</v>
      </c>
      <c r="AW113" s="114">
        <v>7809.0619350459247</v>
      </c>
      <c r="AX113" s="114">
        <v>14770.055329630199</v>
      </c>
      <c r="AY113" s="114">
        <v>6147.5303749889054</v>
      </c>
      <c r="AZ113" s="114">
        <v>8291.2517391483289</v>
      </c>
      <c r="BA113" s="114">
        <v>8860.0710033712858</v>
      </c>
      <c r="BB113" s="114">
        <v>3342.0474449570484</v>
      </c>
      <c r="BC113" s="114">
        <v>12452.849422143016</v>
      </c>
      <c r="BD113" s="114">
        <v>13395.949567616075</v>
      </c>
      <c r="BE113" s="114">
        <v>3840.7134480578825</v>
      </c>
      <c r="BF113" s="114">
        <v>13731.922318925321</v>
      </c>
      <c r="BG113" s="114">
        <v>5670.6303405665403</v>
      </c>
      <c r="BH113" s="114">
        <v>15331.114862854049</v>
      </c>
      <c r="BI113" s="114">
        <v>4902.4571518347748</v>
      </c>
      <c r="BJ113" s="114">
        <v>3872.4322826379544</v>
      </c>
      <c r="BK113" s="114">
        <v>8894.4212723158398</v>
      </c>
      <c r="BL113" s="114">
        <v>1871.6527294702908</v>
      </c>
      <c r="BM113" s="114">
        <v>3217.0470553232572</v>
      </c>
      <c r="BN113" s="114">
        <v>8979.1542467323998</v>
      </c>
      <c r="BO113" s="114">
        <v>8691.6414457110204</v>
      </c>
      <c r="BP113" s="114">
        <v>4650.9112263781781</v>
      </c>
      <c r="BQ113" s="114">
        <v>7827.1394690643365</v>
      </c>
      <c r="BR113" s="114">
        <v>6675.7587327650672</v>
      </c>
      <c r="BS113" s="114">
        <v>8538.2307167364634</v>
      </c>
      <c r="BT113" s="114">
        <v>8221.3250284436072</v>
      </c>
      <c r="BU113" s="114">
        <v>8523.2818590155548</v>
      </c>
      <c r="BV113" s="114">
        <v>5830.8714927444526</v>
      </c>
      <c r="BW113" s="114">
        <v>6721.9573947162671</v>
      </c>
      <c r="BX113" s="114">
        <v>12416.657016232079</v>
      </c>
      <c r="BY113" s="114">
        <v>15473.066382781346</v>
      </c>
      <c r="BZ113" s="114">
        <v>7350.3395952497131</v>
      </c>
      <c r="CA113" s="114">
        <v>7646.6253285032062</v>
      </c>
      <c r="CB113" s="114">
        <v>11859.6415514653</v>
      </c>
      <c r="CC113" s="114">
        <v>13668.542417242701</v>
      </c>
      <c r="CD113" s="114">
        <v>15140.288170831598</v>
      </c>
      <c r="CE113" s="114">
        <v>7847.1270132792924</v>
      </c>
      <c r="CF113" s="114">
        <v>10882.903274250446</v>
      </c>
      <c r="CG113" s="114">
        <v>5029.2483497893236</v>
      </c>
      <c r="CH113" s="114">
        <v>6123.574697342684</v>
      </c>
      <c r="CI113" s="114">
        <v>6538.4234302042714</v>
      </c>
      <c r="CJ113" s="114">
        <v>6018.146550598206</v>
      </c>
      <c r="CK113" s="114">
        <v>5763.2113634430871</v>
      </c>
      <c r="CL113" s="114">
        <v>9476.4198996670184</v>
      </c>
      <c r="CM113" s="114">
        <v>10394.427919455531</v>
      </c>
      <c r="CN113" s="114">
        <v>7591.7376643553871</v>
      </c>
      <c r="CO113" s="114">
        <v>8090.8113846447841</v>
      </c>
      <c r="CP113" s="114">
        <v>14107.452524977165</v>
      </c>
      <c r="CQ113" s="114">
        <v>11410.778645335724</v>
      </c>
      <c r="CR113" s="114">
        <v>5713.2876927650213</v>
      </c>
      <c r="CS113" s="114">
        <v>8090.8652957052718</v>
      </c>
      <c r="CT113" s="114">
        <v>2265.0744830130084</v>
      </c>
      <c r="CU113" s="114">
        <v>5321.1924009002869</v>
      </c>
      <c r="CV113" s="114">
        <v>7340.7381343269217</v>
      </c>
      <c r="CW113" s="114">
        <v>7229.049223781094</v>
      </c>
      <c r="CX113" s="114">
        <v>8626.4629916786835</v>
      </c>
      <c r="CY113" s="114">
        <v>5929.345076645538</v>
      </c>
      <c r="CZ113" s="114">
        <v>2347.670934329205</v>
      </c>
      <c r="DA113" s="114">
        <v>6902.6349639326263</v>
      </c>
      <c r="DB113" s="114">
        <v>6743.6568555205313</v>
      </c>
      <c r="DC113" s="114">
        <v>8227.5597026370087</v>
      </c>
      <c r="DD113" s="114">
        <v>8378.6271068692859</v>
      </c>
      <c r="DE113" s="114">
        <v>8575.3227829116822</v>
      </c>
      <c r="DF113" s="114" t="s">
        <v>237</v>
      </c>
      <c r="DG113" s="114">
        <v>1559.7652908163404</v>
      </c>
      <c r="DH113" s="114">
        <v>6387.773447375519</v>
      </c>
      <c r="DI113" s="114">
        <v>3791.8875003789894</v>
      </c>
      <c r="DJ113" s="114">
        <v>6925.7507065432264</v>
      </c>
      <c r="DK113" s="114">
        <v>6947.4562391832169</v>
      </c>
      <c r="DL113" s="114">
        <v>1062.1364380870107</v>
      </c>
      <c r="DM113" s="114">
        <v>1083.6390216057875</v>
      </c>
      <c r="DN113" s="114">
        <v>16485.642820411078</v>
      </c>
      <c r="DO113" s="114">
        <v>7520.5768436669396</v>
      </c>
      <c r="DP113" s="114">
        <v>8028.5836405497557</v>
      </c>
      <c r="DQ113" s="114">
        <v>9463.4769490202398</v>
      </c>
      <c r="DR113" s="114">
        <v>7366.3822154028612</v>
      </c>
      <c r="DS113" s="114">
        <v>8184.9622011639094</v>
      </c>
      <c r="DT113" s="114">
        <v>1729.4050614939727</v>
      </c>
      <c r="DU113" s="114">
        <v>6614.581859173345</v>
      </c>
      <c r="DV113" s="114">
        <v>3176.5597483261099</v>
      </c>
      <c r="DW113" s="114">
        <v>6543.6523632801745</v>
      </c>
      <c r="DX113" s="114">
        <v>8888.2248555672722</v>
      </c>
      <c r="DY113" s="114">
        <v>11752.021240409042</v>
      </c>
      <c r="DZ113" s="114">
        <v>11425.5620701435</v>
      </c>
      <c r="EA113" s="114">
        <v>14990.344969076681</v>
      </c>
      <c r="EB113" s="114">
        <v>6092.2261341880285</v>
      </c>
      <c r="EC113" s="114">
        <v>5353.2983183084643</v>
      </c>
      <c r="ED113" s="114">
        <v>10310.160951221051</v>
      </c>
      <c r="EE113" s="114">
        <v>7246.413370242698</v>
      </c>
      <c r="EF113" s="114">
        <v>9304.2700784124208</v>
      </c>
      <c r="EG113" s="114">
        <v>4813.1510247105634</v>
      </c>
      <c r="EH113" s="114">
        <v>5285.0062856386166</v>
      </c>
      <c r="EI113" s="114">
        <v>6392.089613029706</v>
      </c>
      <c r="EJ113" s="114">
        <v>14167.482655270293</v>
      </c>
      <c r="EK113" s="114">
        <v>10527.998481772076</v>
      </c>
      <c r="EL113" s="114">
        <v>13028.225212173769</v>
      </c>
      <c r="EM113" s="114">
        <v>8862.4889771140734</v>
      </c>
      <c r="EN113" s="114">
        <v>8262.0766875988083</v>
      </c>
      <c r="EO113" s="114">
        <v>8638.4673263772474</v>
      </c>
      <c r="EP113" s="114">
        <v>4878.8512331085158</v>
      </c>
      <c r="EQ113" s="114">
        <v>7310.4843679423875</v>
      </c>
      <c r="ER113" s="114">
        <v>8312.7701441449553</v>
      </c>
      <c r="ES113" s="114">
        <v>2664.9436461632254</v>
      </c>
      <c r="ET113" s="114">
        <v>12628.27123025107</v>
      </c>
      <c r="EU113" s="114">
        <v>12351.226589837379</v>
      </c>
      <c r="EV113" s="114">
        <v>12379.202608620191</v>
      </c>
      <c r="EW113" s="114">
        <v>7772.9507729890956</v>
      </c>
      <c r="EX113" s="114">
        <v>4924.8553913260685</v>
      </c>
      <c r="EY113" s="114">
        <v>4777.9076311778181</v>
      </c>
      <c r="EZ113" s="114">
        <v>7964.6593371604022</v>
      </c>
      <c r="FA113" s="114">
        <v>7525.3004894297555</v>
      </c>
      <c r="FB113" s="114">
        <v>7271.9348818116096</v>
      </c>
      <c r="FC113" s="114">
        <v>6557.2585456386878</v>
      </c>
      <c r="FD113" s="114">
        <v>7998.1630651431806</v>
      </c>
      <c r="FE113" s="114">
        <v>7911.8114438084467</v>
      </c>
      <c r="FF113" s="114">
        <v>2298.3569216882479</v>
      </c>
      <c r="FG113" s="114">
        <v>2118.7935332414768</v>
      </c>
      <c r="FH113" s="114">
        <v>10335.190487548834</v>
      </c>
      <c r="FI113" s="114">
        <v>3121.2250304120657</v>
      </c>
      <c r="FJ113" s="114">
        <v>8383.4862021886893</v>
      </c>
      <c r="FK113" s="114">
        <v>8123.4077176103556</v>
      </c>
      <c r="FL113" s="114">
        <v>4556.9802302631815</v>
      </c>
      <c r="FM113" s="114">
        <v>4106.016944855859</v>
      </c>
      <c r="FN113" s="114">
        <v>11507.685046770406</v>
      </c>
      <c r="FO113" s="114">
        <v>9047.2558775645357</v>
      </c>
      <c r="FP113" s="114">
        <v>8278.8611849606914</v>
      </c>
      <c r="FQ113" s="114">
        <v>5885.3182994276112</v>
      </c>
      <c r="FR113" s="114">
        <v>9379.156834235353</v>
      </c>
      <c r="FS113" s="114">
        <v>6699.5823749409683</v>
      </c>
      <c r="FT113" s="114">
        <v>1567.8569770744314</v>
      </c>
      <c r="FU113" s="114">
        <v>6810.3728498509608</v>
      </c>
      <c r="FV113" s="114">
        <v>8456.3425711387827</v>
      </c>
      <c r="FW113" s="114">
        <v>5748.6252307575005</v>
      </c>
      <c r="FX113" s="114">
        <v>12348.717441248975</v>
      </c>
      <c r="FY113" s="114">
        <v>7261.5122028147316</v>
      </c>
      <c r="FZ113" s="114">
        <v>6642.2726797612504</v>
      </c>
      <c r="GA113" s="114">
        <v>6377.6389437272956</v>
      </c>
      <c r="GB113" s="114">
        <v>2652.3703584463824</v>
      </c>
      <c r="GC113" s="114">
        <v>7836.1996598186097</v>
      </c>
      <c r="GD113" s="114">
        <v>4821.0159532910729</v>
      </c>
      <c r="GE113" s="114">
        <v>9032.059001698397</v>
      </c>
      <c r="GF113" s="114">
        <v>17774.337205870444</v>
      </c>
      <c r="GG113" s="114">
        <v>13957.363006527372</v>
      </c>
      <c r="GH113" s="114">
        <v>13696.529172694227</v>
      </c>
      <c r="GI113" s="114">
        <v>14234.545325901692</v>
      </c>
      <c r="GJ113" s="114">
        <v>10014.807659387028</v>
      </c>
      <c r="GK113" s="114">
        <v>7013.7370267391452</v>
      </c>
      <c r="GL113" s="114">
        <v>12869.011946441178</v>
      </c>
      <c r="GM113" s="114">
        <v>7715.1416462065845</v>
      </c>
      <c r="GN113" s="114">
        <v>3787.0976023822691</v>
      </c>
      <c r="GO113" s="114">
        <v>2068.3069526468407</v>
      </c>
      <c r="GP113" s="114">
        <v>1726.7117744635586</v>
      </c>
      <c r="GQ113" s="114">
        <v>7278.2790482729615</v>
      </c>
      <c r="GR113" s="114">
        <v>9850.2759170814497</v>
      </c>
      <c r="GS113" s="114">
        <v>8289.1680438422118</v>
      </c>
      <c r="GT113" s="115">
        <v>2153.5442368454533</v>
      </c>
    </row>
    <row r="114" spans="2:202" x14ac:dyDescent="0.6">
      <c r="B114" s="106" t="s">
        <v>102</v>
      </c>
      <c r="C114" s="63" t="s">
        <v>482</v>
      </c>
      <c r="D114" s="113">
        <v>6557.8108201505484</v>
      </c>
      <c r="E114" s="114">
        <v>6450.1425862139786</v>
      </c>
      <c r="F114" s="114">
        <v>7072.2305538921282</v>
      </c>
      <c r="G114" s="114">
        <v>2298.6041588525918</v>
      </c>
      <c r="H114" s="114">
        <v>11013.192541788543</v>
      </c>
      <c r="I114" s="114">
        <v>9396.5576773468547</v>
      </c>
      <c r="J114" s="114">
        <v>6119.0133916980867</v>
      </c>
      <c r="K114" s="114">
        <v>11534.880562888527</v>
      </c>
      <c r="L114" s="114">
        <v>7115.9004313329642</v>
      </c>
      <c r="M114" s="114">
        <v>6261.1791186868186</v>
      </c>
      <c r="N114" s="114">
        <v>12718.98469475688</v>
      </c>
      <c r="O114" s="114">
        <v>4815.939254609988</v>
      </c>
      <c r="P114" s="114">
        <v>7444.3506855617616</v>
      </c>
      <c r="Q114" s="114">
        <v>10648.72780157888</v>
      </c>
      <c r="R114" s="114">
        <v>7530.979329342561</v>
      </c>
      <c r="S114" s="114">
        <v>7718.7663391896203</v>
      </c>
      <c r="T114" s="114">
        <v>13791.852880427476</v>
      </c>
      <c r="U114" s="114">
        <v>4099.5340004345899</v>
      </c>
      <c r="V114" s="114">
        <v>7582.6969413168554</v>
      </c>
      <c r="W114" s="114">
        <v>10770.993437326728</v>
      </c>
      <c r="X114" s="114">
        <v>6580.6353979118794</v>
      </c>
      <c r="Y114" s="114">
        <v>1427.3101416058007</v>
      </c>
      <c r="Z114" s="114">
        <v>8402.2970091543921</v>
      </c>
      <c r="AA114" s="114">
        <v>8063.0585310058368</v>
      </c>
      <c r="AB114" s="114">
        <v>9218.2378230600189</v>
      </c>
      <c r="AC114" s="114">
        <v>6364.4159182726225</v>
      </c>
      <c r="AD114" s="114">
        <v>4810.9435090088919</v>
      </c>
      <c r="AE114" s="114">
        <v>1294.4837917604286</v>
      </c>
      <c r="AF114" s="114">
        <v>7032.5160647477669</v>
      </c>
      <c r="AG114" s="114">
        <v>8319.2944359928606</v>
      </c>
      <c r="AH114" s="114">
        <v>3302.2145134621228</v>
      </c>
      <c r="AI114" s="114">
        <v>3121.286384124302</v>
      </c>
      <c r="AJ114" s="114">
        <v>12909.211672780457</v>
      </c>
      <c r="AK114" s="114">
        <v>12581.151882063195</v>
      </c>
      <c r="AL114" s="114">
        <v>2625.7428545196444</v>
      </c>
      <c r="AM114" s="114">
        <v>3571.6540819421775</v>
      </c>
      <c r="AN114" s="114">
        <v>10403.24763101944</v>
      </c>
      <c r="AO114" s="114">
        <v>10620.901513372559</v>
      </c>
      <c r="AP114" s="114">
        <v>10385.168676591622</v>
      </c>
      <c r="AQ114" s="114">
        <v>12008.417081954565</v>
      </c>
      <c r="AR114" s="114">
        <v>1088.9476391533819</v>
      </c>
      <c r="AS114" s="114">
        <v>2263.3262036729088</v>
      </c>
      <c r="AT114" s="114">
        <v>2295.0700856781623</v>
      </c>
      <c r="AU114" s="114">
        <v>13211.459930759309</v>
      </c>
      <c r="AV114" s="114">
        <v>4663.3949822096283</v>
      </c>
      <c r="AW114" s="114">
        <v>6856.891152352051</v>
      </c>
      <c r="AX114" s="114">
        <v>13211.276392035112</v>
      </c>
      <c r="AY114" s="114">
        <v>5459.7248102094627</v>
      </c>
      <c r="AZ114" s="114">
        <v>7366.8795431716935</v>
      </c>
      <c r="BA114" s="114">
        <v>7968.5450330998274</v>
      </c>
      <c r="BB114" s="114">
        <v>2949.8638165994635</v>
      </c>
      <c r="BC114" s="114">
        <v>10905.500627578569</v>
      </c>
      <c r="BD114" s="114">
        <v>11844.073648066043</v>
      </c>
      <c r="BE114" s="114">
        <v>2286.1081739463102</v>
      </c>
      <c r="BF114" s="114">
        <v>12354.964374158004</v>
      </c>
      <c r="BG114" s="114">
        <v>4900.1099556302406</v>
      </c>
      <c r="BH114" s="114">
        <v>13827.6730723562</v>
      </c>
      <c r="BI114" s="114">
        <v>3369.435078206925</v>
      </c>
      <c r="BJ114" s="114">
        <v>3293.3219844776695</v>
      </c>
      <c r="BK114" s="114">
        <v>8182.3334030035885</v>
      </c>
      <c r="BL114" s="114">
        <v>1377.6078186834484</v>
      </c>
      <c r="BM114" s="114">
        <v>2617.0935937709232</v>
      </c>
      <c r="BN114" s="114">
        <v>8279.7980829365733</v>
      </c>
      <c r="BO114" s="114">
        <v>7604.5902718511861</v>
      </c>
      <c r="BP114" s="114">
        <v>3101.5524426176125</v>
      </c>
      <c r="BQ114" s="114">
        <v>6274.710742903133</v>
      </c>
      <c r="BR114" s="114">
        <v>6266.7534615065342</v>
      </c>
      <c r="BS114" s="114">
        <v>7624.7710846584378</v>
      </c>
      <c r="BT114" s="114">
        <v>7241.3804364842554</v>
      </c>
      <c r="BU114" s="114">
        <v>7529.2860564408738</v>
      </c>
      <c r="BV114" s="114">
        <v>4280.453733839382</v>
      </c>
      <c r="BW114" s="114">
        <v>5830.2542400782704</v>
      </c>
      <c r="BX114" s="114">
        <v>10883.136948036463</v>
      </c>
      <c r="BY114" s="114">
        <v>13962.088129259264</v>
      </c>
      <c r="BZ114" s="114">
        <v>5792.5434194996478</v>
      </c>
      <c r="CA114" s="114">
        <v>6090.9716265407178</v>
      </c>
      <c r="CB114" s="114">
        <v>10353.687191370196</v>
      </c>
      <c r="CC114" s="114">
        <v>12117.714114111364</v>
      </c>
      <c r="CD114" s="114">
        <v>13627.868740258848</v>
      </c>
      <c r="CE114" s="114">
        <v>6965.0044421944021</v>
      </c>
      <c r="CF114" s="114">
        <v>9847.1598410144597</v>
      </c>
      <c r="CG114" s="114">
        <v>5669.1307801234916</v>
      </c>
      <c r="CH114" s="114">
        <v>6651.0555385540374</v>
      </c>
      <c r="CI114" s="114">
        <v>8005.8829816238722</v>
      </c>
      <c r="CJ114" s="114">
        <v>5809.1330081604729</v>
      </c>
      <c r="CK114" s="114">
        <v>5372.6204640412843</v>
      </c>
      <c r="CL114" s="114">
        <v>8372.6535131242363</v>
      </c>
      <c r="CM114" s="114">
        <v>8891.399390603643</v>
      </c>
      <c r="CN114" s="114">
        <v>6547.9468129811958</v>
      </c>
      <c r="CO114" s="114">
        <v>7049.2279848722419</v>
      </c>
      <c r="CP114" s="114">
        <v>12560.476024081359</v>
      </c>
      <c r="CQ114" s="114">
        <v>12367.741646884131</v>
      </c>
      <c r="CR114" s="114">
        <v>5071.8255537373288</v>
      </c>
      <c r="CS114" s="114">
        <v>8112.7449130877139</v>
      </c>
      <c r="CT114" s="114">
        <v>1464.2860352282298</v>
      </c>
      <c r="CU114" s="114">
        <v>5060.8237685003223</v>
      </c>
      <c r="CV114" s="114">
        <v>7550.6080734600973</v>
      </c>
      <c r="CW114" s="114">
        <v>8324.4067502642356</v>
      </c>
      <c r="CX114" s="114">
        <v>7891.0686977823252</v>
      </c>
      <c r="CY114" s="114">
        <v>5288.6569746217947</v>
      </c>
      <c r="CZ114" s="114">
        <v>1803.8429517045154</v>
      </c>
      <c r="DA114" s="114">
        <v>5343.1272648269487</v>
      </c>
      <c r="DB114" s="114">
        <v>5606.8940149413065</v>
      </c>
      <c r="DC114" s="114">
        <v>7206.2488207330289</v>
      </c>
      <c r="DD114" s="114">
        <v>7643.9250480328146</v>
      </c>
      <c r="DE114" s="114">
        <v>7542.0733163970463</v>
      </c>
      <c r="DF114" s="114">
        <v>1559.7652908163404</v>
      </c>
      <c r="DG114" s="114" t="s">
        <v>237</v>
      </c>
      <c r="DH114" s="114">
        <v>7721.5396079653028</v>
      </c>
      <c r="DI114" s="114">
        <v>4824.0419364518157</v>
      </c>
      <c r="DJ114" s="114">
        <v>5386.7790170096896</v>
      </c>
      <c r="DK114" s="114">
        <v>5866.7980663613607</v>
      </c>
      <c r="DL114" s="114">
        <v>2618.4952586984186</v>
      </c>
      <c r="DM114" s="114">
        <v>2640.2037041177891</v>
      </c>
      <c r="DN114" s="114">
        <v>14943.698962679802</v>
      </c>
      <c r="DO114" s="114">
        <v>6799.6791462581623</v>
      </c>
      <c r="DP114" s="114">
        <v>6944.0073902901158</v>
      </c>
      <c r="DQ114" s="114">
        <v>9970.6706178393433</v>
      </c>
      <c r="DR114" s="114">
        <v>6442.1881097958458</v>
      </c>
      <c r="DS114" s="114">
        <v>6833.8530573014013</v>
      </c>
      <c r="DT114" s="114">
        <v>1293.3174965030844</v>
      </c>
      <c r="DU114" s="114">
        <v>7674.8665503428765</v>
      </c>
      <c r="DV114" s="114">
        <v>1967.1231672179165</v>
      </c>
      <c r="DW114" s="114">
        <v>7232.6679089664813</v>
      </c>
      <c r="DX114" s="114">
        <v>7872.6851133423106</v>
      </c>
      <c r="DY114" s="114">
        <v>13056.935992747411</v>
      </c>
      <c r="DZ114" s="114">
        <v>12681.489967320076</v>
      </c>
      <c r="EA114" s="114">
        <v>13494.436953750797</v>
      </c>
      <c r="EB114" s="114">
        <v>4600.8729245120903</v>
      </c>
      <c r="EC114" s="114">
        <v>3859.9649737249238</v>
      </c>
      <c r="ED114" s="114">
        <v>11137.686137481753</v>
      </c>
      <c r="EE114" s="114">
        <v>6352.7326080013963</v>
      </c>
      <c r="EF114" s="114">
        <v>8437.2480091718535</v>
      </c>
      <c r="EG114" s="114">
        <v>4958.9134712928699</v>
      </c>
      <c r="EH114" s="114">
        <v>5656.1310189920905</v>
      </c>
      <c r="EI114" s="114">
        <v>6739.1705034059078</v>
      </c>
      <c r="EJ114" s="114">
        <v>12686.017216845792</v>
      </c>
      <c r="EK114" s="114">
        <v>9429.1436801207583</v>
      </c>
      <c r="EL114" s="114">
        <v>11827.348358391615</v>
      </c>
      <c r="EM114" s="114">
        <v>10131.768232349557</v>
      </c>
      <c r="EN114" s="114">
        <v>7451.0450546614511</v>
      </c>
      <c r="EO114" s="114">
        <v>7320.082764669829</v>
      </c>
      <c r="EP114" s="114">
        <v>4764.8412906395324</v>
      </c>
      <c r="EQ114" s="114">
        <v>6522.3515009397315</v>
      </c>
      <c r="ER114" s="114">
        <v>7766.1503765514972</v>
      </c>
      <c r="ES114" s="114">
        <v>1430.8153384570599</v>
      </c>
      <c r="ET114" s="114">
        <v>11075.683614834597</v>
      </c>
      <c r="EU114" s="114">
        <v>10807.674642301297</v>
      </c>
      <c r="EV114" s="114">
        <v>10840.017543664919</v>
      </c>
      <c r="EW114" s="114">
        <v>6751.893201333658</v>
      </c>
      <c r="EX114" s="114">
        <v>3368.8563102525331</v>
      </c>
      <c r="EY114" s="114">
        <v>4496.1197008043673</v>
      </c>
      <c r="EZ114" s="114">
        <v>6413.994427808042</v>
      </c>
      <c r="FA114" s="114">
        <v>6638.8295748451355</v>
      </c>
      <c r="FB114" s="114">
        <v>5713.1069951071704</v>
      </c>
      <c r="FC114" s="114">
        <v>7927.9623196700295</v>
      </c>
      <c r="FD114" s="114">
        <v>7094.0398038983967</v>
      </c>
      <c r="FE114" s="114">
        <v>6946.9879371132693</v>
      </c>
      <c r="FF114" s="114">
        <v>2203.6107830519422</v>
      </c>
      <c r="FG114" s="114">
        <v>1389.7707286161531</v>
      </c>
      <c r="FH114" s="114">
        <v>11207.884337271646</v>
      </c>
      <c r="FI114" s="114">
        <v>2106.6468183819657</v>
      </c>
      <c r="FJ114" s="114">
        <v>7135.601039202742</v>
      </c>
      <c r="FK114" s="114">
        <v>6947.4406552162036</v>
      </c>
      <c r="FL114" s="114">
        <v>5621.7500946780747</v>
      </c>
      <c r="FM114" s="114">
        <v>3261.4911786732232</v>
      </c>
      <c r="FN114" s="114">
        <v>10002.783318315092</v>
      </c>
      <c r="FO114" s="114">
        <v>8258.6231538077536</v>
      </c>
      <c r="FP114" s="114">
        <v>7226.2074108286133</v>
      </c>
      <c r="FQ114" s="114">
        <v>5267.3202671257523</v>
      </c>
      <c r="FR114" s="114">
        <v>10473.005927554064</v>
      </c>
      <c r="FS114" s="114">
        <v>6865.2701422832051</v>
      </c>
      <c r="FT114" s="114">
        <v>1020.8868368387591</v>
      </c>
      <c r="FU114" s="114">
        <v>7964.6820891120688</v>
      </c>
      <c r="FV114" s="114">
        <v>9979.594427326876</v>
      </c>
      <c r="FW114" s="114">
        <v>4204.3669597921817</v>
      </c>
      <c r="FX114" s="114">
        <v>10822.309600418928</v>
      </c>
      <c r="FY114" s="114">
        <v>6127.2693415821168</v>
      </c>
      <c r="FZ114" s="114">
        <v>5957.5092228213971</v>
      </c>
      <c r="GA114" s="114">
        <v>6301.4998909349897</v>
      </c>
      <c r="GB114" s="114">
        <v>1584.3031970988607</v>
      </c>
      <c r="GC114" s="114">
        <v>7156.6649153305489</v>
      </c>
      <c r="GD114" s="114">
        <v>4815.6355472271916</v>
      </c>
      <c r="GE114" s="114">
        <v>7958.5585685984115</v>
      </c>
      <c r="GF114" s="114">
        <v>16401.969022317262</v>
      </c>
      <c r="GG114" s="114">
        <v>12482.586482178764</v>
      </c>
      <c r="GH114" s="114">
        <v>12238.029717213865</v>
      </c>
      <c r="GI114" s="114">
        <v>12743.532528713804</v>
      </c>
      <c r="GJ114" s="114">
        <v>9094.9774961357634</v>
      </c>
      <c r="GK114" s="114">
        <v>7146.5985899385696</v>
      </c>
      <c r="GL114" s="114">
        <v>11352.381215270736</v>
      </c>
      <c r="GM114" s="114">
        <v>8772.5514681747081</v>
      </c>
      <c r="GN114" s="114">
        <v>3471.6072325636169</v>
      </c>
      <c r="GO114" s="114">
        <v>589.75569631520227</v>
      </c>
      <c r="GP114" s="114">
        <v>463.43628613242055</v>
      </c>
      <c r="GQ114" s="114">
        <v>8523.4592332551583</v>
      </c>
      <c r="GR114" s="114">
        <v>11314.94121999151</v>
      </c>
      <c r="GS114" s="114">
        <v>7261.6262048817616</v>
      </c>
      <c r="GT114" s="115">
        <v>1470.3612154892071</v>
      </c>
    </row>
    <row r="115" spans="2:202" x14ac:dyDescent="0.6">
      <c r="B115" s="106" t="s">
        <v>103</v>
      </c>
      <c r="C115" s="63" t="s">
        <v>312</v>
      </c>
      <c r="D115" s="113">
        <v>4813.9472057879429</v>
      </c>
      <c r="E115" s="114">
        <v>10545.046102515606</v>
      </c>
      <c r="F115" s="114">
        <v>10600.637452764926</v>
      </c>
      <c r="G115" s="114">
        <v>9866.1493365755214</v>
      </c>
      <c r="H115" s="114">
        <v>17110.980504032876</v>
      </c>
      <c r="I115" s="114">
        <v>15858.708937014329</v>
      </c>
      <c r="J115" s="114">
        <v>7035.8159787683944</v>
      </c>
      <c r="K115" s="114">
        <v>6617.6618167476681</v>
      </c>
      <c r="L115" s="114">
        <v>9394.0493774394035</v>
      </c>
      <c r="M115" s="114">
        <v>6631.4238389231332</v>
      </c>
      <c r="N115" s="114">
        <v>16882.415681360002</v>
      </c>
      <c r="O115" s="114">
        <v>6012.1008115259965</v>
      </c>
      <c r="P115" s="114">
        <v>2559.4655267492026</v>
      </c>
      <c r="Q115" s="114">
        <v>17229.332806826824</v>
      </c>
      <c r="R115" s="114">
        <v>8685.7429576031154</v>
      </c>
      <c r="S115" s="114">
        <v>10248.928061155893</v>
      </c>
      <c r="T115" s="114">
        <v>17522.409257798055</v>
      </c>
      <c r="U115" s="114">
        <v>10960.966761082716</v>
      </c>
      <c r="V115" s="114">
        <v>2977.7148661919932</v>
      </c>
      <c r="W115" s="114">
        <v>18159.397271012578</v>
      </c>
      <c r="X115" s="114">
        <v>9218.0312060950382</v>
      </c>
      <c r="Y115" s="114">
        <v>8723.3150620231409</v>
      </c>
      <c r="Z115" s="114">
        <v>15895.501458208391</v>
      </c>
      <c r="AA115" s="114">
        <v>15611.474004499159</v>
      </c>
      <c r="AB115" s="114">
        <v>1517.2174014664242</v>
      </c>
      <c r="AC115" s="114">
        <v>8808.7603377972519</v>
      </c>
      <c r="AD115" s="114">
        <v>11311.624274711632</v>
      </c>
      <c r="AE115" s="114">
        <v>8056.4338500954709</v>
      </c>
      <c r="AF115" s="114">
        <v>13608.658367108372</v>
      </c>
      <c r="AG115" s="114">
        <v>977.87764070939875</v>
      </c>
      <c r="AH115" s="114">
        <v>10171.100705200439</v>
      </c>
      <c r="AI115" s="114">
        <v>9992.1190473219576</v>
      </c>
      <c r="AJ115" s="114">
        <v>14811.663183456663</v>
      </c>
      <c r="AK115" s="114">
        <v>14628.481269444052</v>
      </c>
      <c r="AL115" s="114">
        <v>9212.4567022888259</v>
      </c>
      <c r="AM115" s="114">
        <v>9589.1060997881814</v>
      </c>
      <c r="AN115" s="114">
        <v>16555.787702684454</v>
      </c>
      <c r="AO115" s="114">
        <v>3768.8508555771427</v>
      </c>
      <c r="AP115" s="114">
        <v>4320.5646924027651</v>
      </c>
      <c r="AQ115" s="114">
        <v>19043.592373282972</v>
      </c>
      <c r="AR115" s="114">
        <v>6638.0022163875001</v>
      </c>
      <c r="AS115" s="114">
        <v>9600.2164232341183</v>
      </c>
      <c r="AT115" s="114">
        <v>9620.0964893822638</v>
      </c>
      <c r="AU115" s="114">
        <v>18486.681679323778</v>
      </c>
      <c r="AV115" s="114">
        <v>11679.3220730459</v>
      </c>
      <c r="AW115" s="114">
        <v>9436.8149239138893</v>
      </c>
      <c r="AX115" s="114">
        <v>17078.74960215007</v>
      </c>
      <c r="AY115" s="114">
        <v>7830.8386236261786</v>
      </c>
      <c r="AZ115" s="114">
        <v>9542.8844984938714</v>
      </c>
      <c r="BA115" s="114">
        <v>9665.4097710125934</v>
      </c>
      <c r="BB115" s="114">
        <v>6582.1152749534804</v>
      </c>
      <c r="BC115" s="114">
        <v>17224.361193693796</v>
      </c>
      <c r="BD115" s="114">
        <v>17439.997599824153</v>
      </c>
      <c r="BE115" s="114">
        <v>9617.4915280680816</v>
      </c>
      <c r="BF115" s="114">
        <v>19686.995121732394</v>
      </c>
      <c r="BG115" s="114">
        <v>7938.9910826525902</v>
      </c>
      <c r="BH115" s="114">
        <v>17846.065543917557</v>
      </c>
      <c r="BI115" s="114">
        <v>10308.264233781983</v>
      </c>
      <c r="BJ115" s="114">
        <v>7006.1950585830737</v>
      </c>
      <c r="BK115" s="114">
        <v>8971.1548727175905</v>
      </c>
      <c r="BL115" s="114">
        <v>8214.7343685912692</v>
      </c>
      <c r="BM115" s="114">
        <v>6987.4510007227627</v>
      </c>
      <c r="BN115" s="114">
        <v>8958.7758334091341</v>
      </c>
      <c r="BO115" s="114">
        <v>10424.595970247974</v>
      </c>
      <c r="BP115" s="114">
        <v>10243.652640958604</v>
      </c>
      <c r="BQ115" s="114">
        <v>12916.355454625678</v>
      </c>
      <c r="BR115" s="114">
        <v>7072.8055184648592</v>
      </c>
      <c r="BS115" s="114">
        <v>9609.9659546526382</v>
      </c>
      <c r="BT115" s="114">
        <v>9738.220598650074</v>
      </c>
      <c r="BU115" s="114">
        <v>9937.4941010803796</v>
      </c>
      <c r="BV115" s="114">
        <v>11241.694365468778</v>
      </c>
      <c r="BW115" s="114">
        <v>8736.2890577722883</v>
      </c>
      <c r="BX115" s="114">
        <v>17504.049518238262</v>
      </c>
      <c r="BY115" s="114">
        <v>17686.521942410771</v>
      </c>
      <c r="BZ115" s="114">
        <v>12671.443910150916</v>
      </c>
      <c r="CA115" s="114">
        <v>12848.74787754395</v>
      </c>
      <c r="CB115" s="114">
        <v>17503.854084492279</v>
      </c>
      <c r="CC115" s="114">
        <v>17524.832287707235</v>
      </c>
      <c r="CD115" s="114">
        <v>17889.285512271344</v>
      </c>
      <c r="CE115" s="114">
        <v>9178.4265648722976</v>
      </c>
      <c r="CF115" s="114">
        <v>11218.115907297299</v>
      </c>
      <c r="CG115" s="114">
        <v>3572.6916950404939</v>
      </c>
      <c r="CH115" s="114">
        <v>3808.5571798664864</v>
      </c>
      <c r="CI115" s="114">
        <v>1161.9825897142202</v>
      </c>
      <c r="CJ115" s="114">
        <v>6273.618933724948</v>
      </c>
      <c r="CK115" s="114">
        <v>6793.413704642121</v>
      </c>
      <c r="CL115" s="114">
        <v>10884.12077506405</v>
      </c>
      <c r="CM115" s="114">
        <v>14011.145778235374</v>
      </c>
      <c r="CN115" s="114">
        <v>9705.7273948015209</v>
      </c>
      <c r="CO115" s="114">
        <v>9934.8018920553986</v>
      </c>
      <c r="CP115" s="114">
        <v>17658.719001804555</v>
      </c>
      <c r="CQ115" s="114">
        <v>5351.8812095920748</v>
      </c>
      <c r="CR115" s="114">
        <v>7552.4719049958549</v>
      </c>
      <c r="CS115" s="114">
        <v>6030.7984252180186</v>
      </c>
      <c r="CT115" s="114">
        <v>7231.4669217297433</v>
      </c>
      <c r="CU115" s="114">
        <v>6331.0105399678805</v>
      </c>
      <c r="CV115" s="114">
        <v>5135.4807093147101</v>
      </c>
      <c r="CW115" s="114">
        <v>1614.2019610779014</v>
      </c>
      <c r="CX115" s="114">
        <v>8946.0259972032054</v>
      </c>
      <c r="CY115" s="114">
        <v>7612.4646878559179</v>
      </c>
      <c r="CZ115" s="114">
        <v>8642.8965371769955</v>
      </c>
      <c r="DA115" s="114">
        <v>12381.087412957671</v>
      </c>
      <c r="DB115" s="114">
        <v>9666.5270354227541</v>
      </c>
      <c r="DC115" s="114">
        <v>9914.0395759763942</v>
      </c>
      <c r="DD115" s="114">
        <v>8838.6600538623006</v>
      </c>
      <c r="DE115" s="114">
        <v>10130.287452175855</v>
      </c>
      <c r="DF115" s="114">
        <v>6387.773447375519</v>
      </c>
      <c r="DG115" s="114">
        <v>7721.5396079653028</v>
      </c>
      <c r="DH115" s="114" t="s">
        <v>237</v>
      </c>
      <c r="DI115" s="114">
        <v>3122.3023945454847</v>
      </c>
      <c r="DJ115" s="114">
        <v>11983.893461215017</v>
      </c>
      <c r="DK115" s="114">
        <v>9544.7107130652294</v>
      </c>
      <c r="DL115" s="114">
        <v>5458.4726225160357</v>
      </c>
      <c r="DM115" s="114">
        <v>5442.1070060520178</v>
      </c>
      <c r="DN115" s="114">
        <v>16673.282999898289</v>
      </c>
      <c r="DO115" s="114">
        <v>8438.7283702140194</v>
      </c>
      <c r="DP115" s="114">
        <v>10088.771005359196</v>
      </c>
      <c r="DQ115" s="114">
        <v>5012.9684705632762</v>
      </c>
      <c r="DR115" s="114">
        <v>9130.7050340990754</v>
      </c>
      <c r="DS115" s="114">
        <v>11478.96718919934</v>
      </c>
      <c r="DT115" s="114">
        <v>8077.5423331907969</v>
      </c>
      <c r="DU115" s="114">
        <v>1590.5954884347918</v>
      </c>
      <c r="DV115" s="114">
        <v>9559.5171298865498</v>
      </c>
      <c r="DW115" s="114">
        <v>3209.2777060324765</v>
      </c>
      <c r="DX115" s="114">
        <v>10201.518605789877</v>
      </c>
      <c r="DY115" s="114">
        <v>8748.5190531292865</v>
      </c>
      <c r="DZ115" s="114">
        <v>8827.2701408921312</v>
      </c>
      <c r="EA115" s="114">
        <v>18132.679157138977</v>
      </c>
      <c r="EB115" s="114">
        <v>10936.901978154649</v>
      </c>
      <c r="EC115" s="114">
        <v>10400.771721335101</v>
      </c>
      <c r="ED115" s="114">
        <v>4675.7391322787644</v>
      </c>
      <c r="EE115" s="114">
        <v>8963.5876649162674</v>
      </c>
      <c r="EF115" s="114">
        <v>9764.8812336994106</v>
      </c>
      <c r="EG115" s="114">
        <v>5144.4262150881659</v>
      </c>
      <c r="EH115" s="114">
        <v>4401.2093445679166</v>
      </c>
      <c r="EI115" s="114">
        <v>4471.2864846891589</v>
      </c>
      <c r="EJ115" s="114">
        <v>18668.811011416947</v>
      </c>
      <c r="EK115" s="114">
        <v>16670.644345256791</v>
      </c>
      <c r="EL115" s="114">
        <v>19008.796541919062</v>
      </c>
      <c r="EM115" s="114">
        <v>2490.8694792557994</v>
      </c>
      <c r="EN115" s="114">
        <v>9081.9074078303129</v>
      </c>
      <c r="EO115" s="114">
        <v>11554.825849949824</v>
      </c>
      <c r="EP115" s="114">
        <v>5881.4073221251474</v>
      </c>
      <c r="EQ115" s="114">
        <v>8600.4440916876629</v>
      </c>
      <c r="ER115" s="114">
        <v>8114.4045137988724</v>
      </c>
      <c r="ES115" s="114">
        <v>7948.8721175266001</v>
      </c>
      <c r="ET115" s="114">
        <v>17147.279793365531</v>
      </c>
      <c r="EU115" s="114">
        <v>17264.191523336787</v>
      </c>
      <c r="EV115" s="114">
        <v>17374.489628740896</v>
      </c>
      <c r="EW115" s="114">
        <v>9698.3824828445449</v>
      </c>
      <c r="EX115" s="114">
        <v>10563.215432955943</v>
      </c>
      <c r="EY115" s="114">
        <v>6342.3362827729388</v>
      </c>
      <c r="EZ115" s="114">
        <v>12989.054101203339</v>
      </c>
      <c r="FA115" s="114">
        <v>9055.8207791459936</v>
      </c>
      <c r="FB115" s="114">
        <v>12650.671883399293</v>
      </c>
      <c r="FC115" s="114">
        <v>331.10111906705561</v>
      </c>
      <c r="FD115" s="114">
        <v>9330.9024552066585</v>
      </c>
      <c r="FE115" s="114">
        <v>9534.1720492481545</v>
      </c>
      <c r="FF115" s="114">
        <v>6237.8817364400375</v>
      </c>
      <c r="FG115" s="114">
        <v>8487.9282439414001</v>
      </c>
      <c r="FH115" s="114">
        <v>4586.3444473138834</v>
      </c>
      <c r="FI115" s="114">
        <v>7744.2341486424166</v>
      </c>
      <c r="FJ115" s="114">
        <v>11034.498239783497</v>
      </c>
      <c r="FK115" s="114">
        <v>10546.458094804535</v>
      </c>
      <c r="FL115" s="114">
        <v>2423.1536190076267</v>
      </c>
      <c r="FM115" s="114">
        <v>7670.8958989572693</v>
      </c>
      <c r="FN115" s="114">
        <v>17235.765773524799</v>
      </c>
      <c r="FO115" s="114">
        <v>9335.2072017046976</v>
      </c>
      <c r="FP115" s="114">
        <v>10072.359671340706</v>
      </c>
      <c r="FQ115" s="114">
        <v>7528.2710997969789</v>
      </c>
      <c r="FR115" s="114">
        <v>3257.6591526487823</v>
      </c>
      <c r="FS115" s="114">
        <v>5147.5870957764009</v>
      </c>
      <c r="FT115" s="114">
        <v>6980.9284829005783</v>
      </c>
      <c r="FU115" s="114">
        <v>1158.3028235319664</v>
      </c>
      <c r="FV115" s="114">
        <v>2936.9552183969499</v>
      </c>
      <c r="FW115" s="114">
        <v>11096.614178816051</v>
      </c>
      <c r="FX115" s="114">
        <v>17582.565204314011</v>
      </c>
      <c r="FY115" s="114">
        <v>9918.3920289634243</v>
      </c>
      <c r="FZ115" s="114">
        <v>7986.4539794602479</v>
      </c>
      <c r="GA115" s="114">
        <v>5906.4961477687139</v>
      </c>
      <c r="GB115" s="114">
        <v>7685.8380016403999</v>
      </c>
      <c r="GC115" s="114">
        <v>8411.724419886581</v>
      </c>
      <c r="GD115" s="114">
        <v>5575.922296283351</v>
      </c>
      <c r="GE115" s="114">
        <v>10528.456432293042</v>
      </c>
      <c r="GF115" s="114">
        <v>14162.236591967718</v>
      </c>
      <c r="GG115" s="114">
        <v>15122.096692891682</v>
      </c>
      <c r="GH115" s="114">
        <v>14904.462510563402</v>
      </c>
      <c r="GI115" s="114">
        <v>15342.398903525689</v>
      </c>
      <c r="GJ115" s="114">
        <v>15819.388959898002</v>
      </c>
      <c r="GK115" s="114">
        <v>5325.011850526108</v>
      </c>
      <c r="GL115" s="114">
        <v>18015.892341989718</v>
      </c>
      <c r="GM115" s="114">
        <v>2045.7636823419696</v>
      </c>
      <c r="GN115" s="114">
        <v>6405.5165572338256</v>
      </c>
      <c r="GO115" s="114">
        <v>8308.3329081480097</v>
      </c>
      <c r="GP115" s="114">
        <v>8041.2847149251393</v>
      </c>
      <c r="GQ115" s="114">
        <v>1035.3532938586293</v>
      </c>
      <c r="GR115" s="114">
        <v>6540.3229198615627</v>
      </c>
      <c r="GS115" s="114">
        <v>9969.6640828511627</v>
      </c>
      <c r="GT115" s="115">
        <v>8511.4661410743356</v>
      </c>
    </row>
    <row r="116" spans="2:202" x14ac:dyDescent="0.6">
      <c r="B116" s="106" t="s">
        <v>104</v>
      </c>
      <c r="C116" s="63" t="s">
        <v>538</v>
      </c>
      <c r="D116" s="113">
        <v>3394.4527138473336</v>
      </c>
      <c r="E116" s="114">
        <v>7977.1325494773282</v>
      </c>
      <c r="F116" s="114">
        <v>8229.9224353252539</v>
      </c>
      <c r="G116" s="114">
        <v>6810.224152098981</v>
      </c>
      <c r="H116" s="114">
        <v>14557.641971327725</v>
      </c>
      <c r="I116" s="114">
        <v>14047.503449347039</v>
      </c>
      <c r="J116" s="114">
        <v>4954.891541517376</v>
      </c>
      <c r="K116" s="114">
        <v>9130.0538140268418</v>
      </c>
      <c r="L116" s="114">
        <v>7287.7550824557811</v>
      </c>
      <c r="M116" s="114">
        <v>4683.4473171136879</v>
      </c>
      <c r="N116" s="114">
        <v>15477.185049623462</v>
      </c>
      <c r="O116" s="114">
        <v>3468.4013916526815</v>
      </c>
      <c r="P116" s="114">
        <v>2827.1434154999106</v>
      </c>
      <c r="Q116" s="114">
        <v>14447.027044393692</v>
      </c>
      <c r="R116" s="114">
        <v>6903.0030587228666</v>
      </c>
      <c r="S116" s="114">
        <v>8196.4618533696539</v>
      </c>
      <c r="T116" s="114">
        <v>16910.779400318392</v>
      </c>
      <c r="U116" s="114">
        <v>7846.6057874482794</v>
      </c>
      <c r="V116" s="114">
        <v>3108.5077398415956</v>
      </c>
      <c r="W116" s="114">
        <v>15585.85006377542</v>
      </c>
      <c r="X116" s="114">
        <v>6942.5987767148963</v>
      </c>
      <c r="Y116" s="114">
        <v>6048.5816897362829</v>
      </c>
      <c r="Z116" s="114">
        <v>13226.188111049389</v>
      </c>
      <c r="AA116" s="114">
        <v>12885.244982746732</v>
      </c>
      <c r="AB116" s="114">
        <v>4625.9854886421499</v>
      </c>
      <c r="AC116" s="114">
        <v>6527.8043587149732</v>
      </c>
      <c r="AD116" s="114">
        <v>8239.3719667816786</v>
      </c>
      <c r="AE116" s="114">
        <v>4964.5869156171375</v>
      </c>
      <c r="AF116" s="114">
        <v>10600.879620849197</v>
      </c>
      <c r="AG116" s="114">
        <v>3532.5326595114229</v>
      </c>
      <c r="AH116" s="114">
        <v>7049.8400048832582</v>
      </c>
      <c r="AI116" s="114">
        <v>6870.1407649267267</v>
      </c>
      <c r="AJ116" s="114">
        <v>14048.236931400354</v>
      </c>
      <c r="AK116" s="114">
        <v>13720.210114864931</v>
      </c>
      <c r="AL116" s="114">
        <v>6090.918385358269</v>
      </c>
      <c r="AM116" s="114">
        <v>6512.3067985656971</v>
      </c>
      <c r="AN116" s="114">
        <v>15041.836311033941</v>
      </c>
      <c r="AO116" s="114">
        <v>5867.807090244788</v>
      </c>
      <c r="AP116" s="114">
        <v>5846.2525020104231</v>
      </c>
      <c r="AQ116" s="114">
        <v>16263.608323205342</v>
      </c>
      <c r="AR116" s="114">
        <v>3746.0761682591378</v>
      </c>
      <c r="AS116" s="114">
        <v>6505.9974050076262</v>
      </c>
      <c r="AT116" s="114">
        <v>6523.9409234964032</v>
      </c>
      <c r="AU116" s="114">
        <v>17083.150270980517</v>
      </c>
      <c r="AV116" s="114">
        <v>8563.1217825336371</v>
      </c>
      <c r="AW116" s="114">
        <v>7222.3566029066997</v>
      </c>
      <c r="AX116" s="114">
        <v>15998.266615036704</v>
      </c>
      <c r="AY116" s="114">
        <v>5372.2716154431037</v>
      </c>
      <c r="AZ116" s="114">
        <v>7504.7808098697742</v>
      </c>
      <c r="BA116" s="114">
        <v>7848.0690039074725</v>
      </c>
      <c r="BB116" s="114">
        <v>3512.367952820608</v>
      </c>
      <c r="BC116" s="114">
        <v>14571.877236117487</v>
      </c>
      <c r="BD116" s="114">
        <v>15250.974235938531</v>
      </c>
      <c r="BE116" s="114">
        <v>6522.1816140838091</v>
      </c>
      <c r="BF116" s="114">
        <v>16834.256356417874</v>
      </c>
      <c r="BG116" s="114">
        <v>5283.1919144654385</v>
      </c>
      <c r="BH116" s="114">
        <v>17271.708505522591</v>
      </c>
      <c r="BI116" s="114">
        <v>7186.3693971450857</v>
      </c>
      <c r="BJ116" s="114">
        <v>3998.0176687100911</v>
      </c>
      <c r="BK116" s="114">
        <v>7412.2365571912669</v>
      </c>
      <c r="BL116" s="114">
        <v>5647.2837936862379</v>
      </c>
      <c r="BM116" s="114">
        <v>3889.4434007251116</v>
      </c>
      <c r="BN116" s="114">
        <v>7447.3364761598141</v>
      </c>
      <c r="BO116" s="114">
        <v>8288.4132567591951</v>
      </c>
      <c r="BP116" s="114">
        <v>7124.1330678335462</v>
      </c>
      <c r="BQ116" s="114">
        <v>9870.8992072646961</v>
      </c>
      <c r="BR116" s="114">
        <v>5052.2373248507902</v>
      </c>
      <c r="BS116" s="114">
        <v>7661.7525463182656</v>
      </c>
      <c r="BT116" s="114">
        <v>7609.3671574909849</v>
      </c>
      <c r="BU116" s="114">
        <v>7878.7700036919096</v>
      </c>
      <c r="BV116" s="114">
        <v>8124.6906656674946</v>
      </c>
      <c r="BW116" s="114">
        <v>6277.3524957917307</v>
      </c>
      <c r="BX116" s="114">
        <v>14733.394841305404</v>
      </c>
      <c r="BY116" s="114">
        <v>17277.405270240259</v>
      </c>
      <c r="BZ116" s="114">
        <v>9582.0858923265278</v>
      </c>
      <c r="CA116" s="114">
        <v>9781.2144441457694</v>
      </c>
      <c r="CB116" s="114">
        <v>14495.166162391393</v>
      </c>
      <c r="CC116" s="114">
        <v>15486.997441774845</v>
      </c>
      <c r="CD116" s="114">
        <v>17066.896023112098</v>
      </c>
      <c r="CE116" s="114">
        <v>7056.7852443124302</v>
      </c>
      <c r="CF116" s="114">
        <v>9842.4556454357553</v>
      </c>
      <c r="CG116" s="114">
        <v>1676.5743929031944</v>
      </c>
      <c r="CH116" s="114">
        <v>2740.244866438863</v>
      </c>
      <c r="CI116" s="114">
        <v>3844.6969725280128</v>
      </c>
      <c r="CJ116" s="114">
        <v>4161.857272480449</v>
      </c>
      <c r="CK116" s="114">
        <v>4424.3478566530803</v>
      </c>
      <c r="CL116" s="114">
        <v>8948.5719610334327</v>
      </c>
      <c r="CM116" s="114">
        <v>11492.186940411964</v>
      </c>
      <c r="CN116" s="114">
        <v>7327.5038747441968</v>
      </c>
      <c r="CO116" s="114">
        <v>7692.4198604669327</v>
      </c>
      <c r="CP116" s="114">
        <v>15896.787945250993</v>
      </c>
      <c r="CQ116" s="114">
        <v>7633.6077531666569</v>
      </c>
      <c r="CR116" s="114">
        <v>4991.5956127262043</v>
      </c>
      <c r="CS116" s="114">
        <v>5240.5331035168665</v>
      </c>
      <c r="CT116" s="114">
        <v>4129.4912344508002</v>
      </c>
      <c r="CU116" s="114">
        <v>3873.8215948817246</v>
      </c>
      <c r="CV116" s="114">
        <v>4287.0460607792957</v>
      </c>
      <c r="CW116" s="114">
        <v>3502.5368235425512</v>
      </c>
      <c r="CX116" s="114">
        <v>7262.3902062631396</v>
      </c>
      <c r="CY116" s="114">
        <v>5120.0637140426052</v>
      </c>
      <c r="CZ116" s="114">
        <v>6133.9365068485276</v>
      </c>
      <c r="DA116" s="114">
        <v>9270.1752068464266</v>
      </c>
      <c r="DB116" s="114">
        <v>6994.400165658727</v>
      </c>
      <c r="DC116" s="114">
        <v>7734.9254034527939</v>
      </c>
      <c r="DD116" s="114">
        <v>7070.9454166519863</v>
      </c>
      <c r="DE116" s="114">
        <v>8034.468832745637</v>
      </c>
      <c r="DF116" s="114">
        <v>3791.8875003789894</v>
      </c>
      <c r="DG116" s="114">
        <v>4824.0419364518157</v>
      </c>
      <c r="DH116" s="114">
        <v>3122.3023945454847</v>
      </c>
      <c r="DI116" s="114" t="s">
        <v>237</v>
      </c>
      <c r="DJ116" s="114">
        <v>8917.823161552582</v>
      </c>
      <c r="DK116" s="114">
        <v>6969.535426465497</v>
      </c>
      <c r="DL116" s="114">
        <v>3198.0831116022459</v>
      </c>
      <c r="DM116" s="114">
        <v>3191.9580107570278</v>
      </c>
      <c r="DN116" s="114">
        <v>17303.974780718887</v>
      </c>
      <c r="DO116" s="114">
        <v>6396.8964616054991</v>
      </c>
      <c r="DP116" s="114">
        <v>7776.7217258485316</v>
      </c>
      <c r="DQ116" s="114">
        <v>5841.0392674041668</v>
      </c>
      <c r="DR116" s="114">
        <v>6820.6598790499656</v>
      </c>
      <c r="DS116" s="114">
        <v>8848.812183148284</v>
      </c>
      <c r="DT116" s="114">
        <v>5504.7999784798294</v>
      </c>
      <c r="DU116" s="114">
        <v>2859.5730367806173</v>
      </c>
      <c r="DV116" s="114">
        <v>6772.8223694692042</v>
      </c>
      <c r="DW116" s="114">
        <v>2897.9649095019786</v>
      </c>
      <c r="DX116" s="114">
        <v>8221.4449352023712</v>
      </c>
      <c r="DY116" s="114">
        <v>11295.469958117268</v>
      </c>
      <c r="DZ116" s="114">
        <v>11230.119316117802</v>
      </c>
      <c r="EA116" s="114">
        <v>17128.089231850125</v>
      </c>
      <c r="EB116" s="114">
        <v>7874.4809699537273</v>
      </c>
      <c r="EC116" s="114">
        <v>7300.0448722940328</v>
      </c>
      <c r="ED116" s="114">
        <v>6520.1476437029232</v>
      </c>
      <c r="EE116" s="114">
        <v>6650.9250859663962</v>
      </c>
      <c r="EF116" s="114">
        <v>8126.4574702070304</v>
      </c>
      <c r="EG116" s="114">
        <v>2684.6348705662367</v>
      </c>
      <c r="EH116" s="114">
        <v>2417.263652620672</v>
      </c>
      <c r="EI116" s="114">
        <v>3269.1841799771219</v>
      </c>
      <c r="EJ116" s="114">
        <v>16644.44593653013</v>
      </c>
      <c r="EK116" s="114">
        <v>14245.69425162629</v>
      </c>
      <c r="EL116" s="114">
        <v>16627.22511422848</v>
      </c>
      <c r="EM116" s="114">
        <v>5352.3580224595134</v>
      </c>
      <c r="EN116" s="114">
        <v>7177.654905291316</v>
      </c>
      <c r="EO116" s="114">
        <v>9067.6907450411982</v>
      </c>
      <c r="EP116" s="114">
        <v>3319.5813380243494</v>
      </c>
      <c r="EQ116" s="114">
        <v>6417.0184376275247</v>
      </c>
      <c r="ER116" s="114">
        <v>6570.1399349425355</v>
      </c>
      <c r="ES116" s="114">
        <v>4845.0607436828941</v>
      </c>
      <c r="ET116" s="114">
        <v>14613.92255434174</v>
      </c>
      <c r="EU116" s="114">
        <v>14546.826581575819</v>
      </c>
      <c r="EV116" s="114">
        <v>14631.687639642114</v>
      </c>
      <c r="EW116" s="114">
        <v>7394.0864537959296</v>
      </c>
      <c r="EX116" s="114">
        <v>7443.6111260902626</v>
      </c>
      <c r="EY116" s="114">
        <v>3663.0302586001121</v>
      </c>
      <c r="EZ116" s="114">
        <v>9958.7271218683582</v>
      </c>
      <c r="FA116" s="114">
        <v>6832.5021646633932</v>
      </c>
      <c r="FB116" s="114">
        <v>9553.5982148448147</v>
      </c>
      <c r="FC116" s="114">
        <v>3404.5277006609867</v>
      </c>
      <c r="FD116" s="114">
        <v>7228.9847357653334</v>
      </c>
      <c r="FE116" s="114">
        <v>7334.4046064276145</v>
      </c>
      <c r="FF116" s="114">
        <v>3120.0270788965408</v>
      </c>
      <c r="FG116" s="114">
        <v>5865.9574277656529</v>
      </c>
      <c r="FH116" s="114">
        <v>6543.3556792713489</v>
      </c>
      <c r="FI116" s="114">
        <v>4623.0649842766052</v>
      </c>
      <c r="FJ116" s="114">
        <v>8595.4275086922116</v>
      </c>
      <c r="FK116" s="114">
        <v>8143.1848798340361</v>
      </c>
      <c r="FL116" s="114">
        <v>797.79893947766186</v>
      </c>
      <c r="FM116" s="114">
        <v>4649.2284452669364</v>
      </c>
      <c r="FN116" s="114">
        <v>14185.894366670318</v>
      </c>
      <c r="FO116" s="114">
        <v>7722.1802684667882</v>
      </c>
      <c r="FP116" s="114">
        <v>7867.6836991187038</v>
      </c>
      <c r="FQ116" s="114">
        <v>5037.9740619832592</v>
      </c>
      <c r="FR116" s="114">
        <v>5657.4727894413236</v>
      </c>
      <c r="FS116" s="114">
        <v>3848.2164750125353</v>
      </c>
      <c r="FT116" s="114">
        <v>3959.655301969121</v>
      </c>
      <c r="FU116" s="114">
        <v>3146.1151368986689</v>
      </c>
      <c r="FV116" s="114">
        <v>5928.358801223485</v>
      </c>
      <c r="FW116" s="114">
        <v>7981.9673370813507</v>
      </c>
      <c r="FX116" s="114">
        <v>14751.420284066873</v>
      </c>
      <c r="FY116" s="114">
        <v>7361.9377247475759</v>
      </c>
      <c r="FZ116" s="114">
        <v>5689.3846490973956</v>
      </c>
      <c r="GA116" s="114">
        <v>4105.9836211565416</v>
      </c>
      <c r="GB116" s="114">
        <v>4572.2910337296844</v>
      </c>
      <c r="GC116" s="114">
        <v>6525.8096536784169</v>
      </c>
      <c r="GD116" s="114">
        <v>3041.9931419070795</v>
      </c>
      <c r="GE116" s="114">
        <v>8508.2074485763696</v>
      </c>
      <c r="GF116" s="114">
        <v>15614.523283447508</v>
      </c>
      <c r="GG116" s="114">
        <v>14033.561066839056</v>
      </c>
      <c r="GH116" s="114">
        <v>13732.273270944879</v>
      </c>
      <c r="GI116" s="114">
        <v>14353.658626440845</v>
      </c>
      <c r="GJ116" s="114">
        <v>13803.787934062422</v>
      </c>
      <c r="GK116" s="114">
        <v>4157.444637281219</v>
      </c>
      <c r="GL116" s="114">
        <v>15291.552456715966</v>
      </c>
      <c r="GM116" s="114">
        <v>3963.111468141019</v>
      </c>
      <c r="GN116" s="114">
        <v>3423.6902396255477</v>
      </c>
      <c r="GO116" s="114">
        <v>5409.7894130074301</v>
      </c>
      <c r="GP116" s="114">
        <v>5213.0410596445945</v>
      </c>
      <c r="GQ116" s="114">
        <v>3751.5808219236601</v>
      </c>
      <c r="GR116" s="114">
        <v>8989.9141458815629</v>
      </c>
      <c r="GS116" s="114">
        <v>7799.9788168203931</v>
      </c>
      <c r="GT116" s="115">
        <v>5912.6476430814464</v>
      </c>
    </row>
    <row r="117" spans="2:202" x14ac:dyDescent="0.6">
      <c r="B117" s="106" t="s">
        <v>105</v>
      </c>
      <c r="C117" s="63" t="s">
        <v>483</v>
      </c>
      <c r="D117" s="113">
        <v>8022.1086906928404</v>
      </c>
      <c r="E117" s="114">
        <v>2880.9896949890849</v>
      </c>
      <c r="F117" s="114">
        <v>3441.0996316350097</v>
      </c>
      <c r="G117" s="114">
        <v>3256.2343299043555</v>
      </c>
      <c r="H117" s="114">
        <v>5845.0980014591205</v>
      </c>
      <c r="I117" s="114">
        <v>7706.9485876538165</v>
      </c>
      <c r="J117" s="114">
        <v>5914.5868795859833</v>
      </c>
      <c r="K117" s="114">
        <v>16783.038750955322</v>
      </c>
      <c r="L117" s="114">
        <v>4546.9656061251135</v>
      </c>
      <c r="M117" s="114">
        <v>6351.7650403995176</v>
      </c>
      <c r="N117" s="114">
        <v>7397.9087696818633</v>
      </c>
      <c r="O117" s="114">
        <v>6214.1402885139196</v>
      </c>
      <c r="P117" s="114">
        <v>10242.21019804159</v>
      </c>
      <c r="Q117" s="114">
        <v>5604.1942476810582</v>
      </c>
      <c r="R117" s="114">
        <v>5512.2745050566591</v>
      </c>
      <c r="S117" s="114">
        <v>4376.9943555478303</v>
      </c>
      <c r="T117" s="114">
        <v>8639.0808175405746</v>
      </c>
      <c r="U117" s="114">
        <v>1287.3654656533515</v>
      </c>
      <c r="V117" s="114">
        <v>10056.800774779505</v>
      </c>
      <c r="W117" s="114">
        <v>7374.5754198934528</v>
      </c>
      <c r="X117" s="114">
        <v>4257.71136424617</v>
      </c>
      <c r="Y117" s="114">
        <v>5446.0861693555917</v>
      </c>
      <c r="Z117" s="114">
        <v>5830.7035445892379</v>
      </c>
      <c r="AA117" s="114">
        <v>5513.9152119134233</v>
      </c>
      <c r="AB117" s="114">
        <v>13395.956407349422</v>
      </c>
      <c r="AC117" s="114">
        <v>4470.77370036508</v>
      </c>
      <c r="AD117" s="114">
        <v>679.47051355632823</v>
      </c>
      <c r="AE117" s="114">
        <v>4408.6974322771948</v>
      </c>
      <c r="AF117" s="114">
        <v>1731.3118743363214</v>
      </c>
      <c r="AG117" s="114">
        <v>12066.695948428816</v>
      </c>
      <c r="AH117" s="114">
        <v>2109.2720157167169</v>
      </c>
      <c r="AI117" s="114">
        <v>2299.8144246064217</v>
      </c>
      <c r="AJ117" s="114">
        <v>7608.8372739499173</v>
      </c>
      <c r="AK117" s="114">
        <v>7310.3707214268716</v>
      </c>
      <c r="AL117" s="114">
        <v>2986.2515456967508</v>
      </c>
      <c r="AM117" s="114">
        <v>2405.5408229785862</v>
      </c>
      <c r="AN117" s="114">
        <v>8360.212166958876</v>
      </c>
      <c r="AO117" s="114">
        <v>12734.323999161608</v>
      </c>
      <c r="AP117" s="114">
        <v>11831.557644248705</v>
      </c>
      <c r="AQ117" s="114">
        <v>7348.3809744766613</v>
      </c>
      <c r="AR117" s="114">
        <v>6188.5953482769255</v>
      </c>
      <c r="AS117" s="114">
        <v>3133.7020418060001</v>
      </c>
      <c r="AT117" s="114">
        <v>3100.7371108210264</v>
      </c>
      <c r="AU117" s="114">
        <v>8326.2955689105966</v>
      </c>
      <c r="AV117" s="114">
        <v>868.78538615992125</v>
      </c>
      <c r="AW117" s="114">
        <v>4286.1398581769163</v>
      </c>
      <c r="AX117" s="114">
        <v>7923.0629761203809</v>
      </c>
      <c r="AY117" s="114">
        <v>4813.4436646681224</v>
      </c>
      <c r="AZ117" s="114">
        <v>4639.310073419746</v>
      </c>
      <c r="BA117" s="114">
        <v>5090.3054883801606</v>
      </c>
      <c r="BB117" s="114">
        <v>5410.9500514739939</v>
      </c>
      <c r="BC117" s="114">
        <v>5793.3853035054972</v>
      </c>
      <c r="BD117" s="114">
        <v>6657.2473311485201</v>
      </c>
      <c r="BE117" s="114">
        <v>3110.6806769266909</v>
      </c>
      <c r="BF117" s="114">
        <v>7927.5584445869899</v>
      </c>
      <c r="BG117" s="114">
        <v>4436.6105936081567</v>
      </c>
      <c r="BH117" s="114">
        <v>8795.0306130009594</v>
      </c>
      <c r="BI117" s="114">
        <v>2023.6425273291884</v>
      </c>
      <c r="BJ117" s="114">
        <v>4980.2482406850922</v>
      </c>
      <c r="BK117" s="114">
        <v>5848.4505224936756</v>
      </c>
      <c r="BL117" s="114">
        <v>5981.0772590182341</v>
      </c>
      <c r="BM117" s="114">
        <v>5030.9267161150792</v>
      </c>
      <c r="BN117" s="114">
        <v>5946.9052081496429</v>
      </c>
      <c r="BO117" s="114">
        <v>4120.6951997961887</v>
      </c>
      <c r="BP117" s="114">
        <v>2290.308795909511</v>
      </c>
      <c r="BQ117" s="114">
        <v>965.19889583369775</v>
      </c>
      <c r="BR117" s="114">
        <v>5972.4785015777825</v>
      </c>
      <c r="BS117" s="114">
        <v>4816.7354671567082</v>
      </c>
      <c r="BT117" s="114">
        <v>4357.2368692096979</v>
      </c>
      <c r="BU117" s="114">
        <v>4453.263103955569</v>
      </c>
      <c r="BV117" s="114">
        <v>1131.5638242525929</v>
      </c>
      <c r="BW117" s="114">
        <v>4164.2960156175513</v>
      </c>
      <c r="BX117" s="114">
        <v>5879.8955433287201</v>
      </c>
      <c r="BY117" s="114">
        <v>8894.1670416481629</v>
      </c>
      <c r="BZ117" s="114">
        <v>731.97883284819477</v>
      </c>
      <c r="CA117" s="114">
        <v>865.21673697953565</v>
      </c>
      <c r="CB117" s="114">
        <v>5577.3726315580616</v>
      </c>
      <c r="CC117" s="114">
        <v>6931.1258354412794</v>
      </c>
      <c r="CD117" s="114">
        <v>8573.9905084472175</v>
      </c>
      <c r="CE117" s="114">
        <v>4609.1897535823182</v>
      </c>
      <c r="CF117" s="114">
        <v>5857.9116452842791</v>
      </c>
      <c r="CG117" s="114">
        <v>8572.8741066835246</v>
      </c>
      <c r="CH117" s="114">
        <v>8846.407669559605</v>
      </c>
      <c r="CI117" s="114">
        <v>12747.947877322475</v>
      </c>
      <c r="CJ117" s="114">
        <v>6406.3519371636739</v>
      </c>
      <c r="CK117" s="114">
        <v>5730.9936586094846</v>
      </c>
      <c r="CL117" s="114">
        <v>4546.2367903953218</v>
      </c>
      <c r="CM117" s="114">
        <v>3544.8476552804809</v>
      </c>
      <c r="CN117" s="114">
        <v>3775.1162059179806</v>
      </c>
      <c r="CO117" s="114">
        <v>4009.1328628291244</v>
      </c>
      <c r="CP117" s="114">
        <v>7387.4971199950678</v>
      </c>
      <c r="CQ117" s="114">
        <v>13665.639502501674</v>
      </c>
      <c r="CR117" s="114">
        <v>4887.3340612346256</v>
      </c>
      <c r="CS117" s="114">
        <v>8166.621866686296</v>
      </c>
      <c r="CT117" s="114">
        <v>5086.5939685205458</v>
      </c>
      <c r="CU117" s="114">
        <v>6014.5793660823019</v>
      </c>
      <c r="CV117" s="114">
        <v>8433.6049101620738</v>
      </c>
      <c r="CW117" s="114">
        <v>11628.376680394485</v>
      </c>
      <c r="CX117" s="114">
        <v>5607.7211260435997</v>
      </c>
      <c r="CY117" s="114">
        <v>4932.4942694646861</v>
      </c>
      <c r="CZ117" s="114">
        <v>5941.5471207614673</v>
      </c>
      <c r="DA117" s="114">
        <v>756.14621523396181</v>
      </c>
      <c r="DB117" s="114">
        <v>3071.6966535221895</v>
      </c>
      <c r="DC117" s="114">
        <v>4171.9187900917213</v>
      </c>
      <c r="DD117" s="114">
        <v>5480.2981799135059</v>
      </c>
      <c r="DE117" s="114">
        <v>4303.764018654465</v>
      </c>
      <c r="DF117" s="114">
        <v>6925.7507065432264</v>
      </c>
      <c r="DG117" s="114">
        <v>5386.7790170096896</v>
      </c>
      <c r="DH117" s="114">
        <v>11983.893461215017</v>
      </c>
      <c r="DI117" s="114">
        <v>8917.823161552582</v>
      </c>
      <c r="DJ117" s="114" t="s">
        <v>237</v>
      </c>
      <c r="DK117" s="114">
        <v>3387.0583632085904</v>
      </c>
      <c r="DL117" s="114">
        <v>7956.2440693208255</v>
      </c>
      <c r="DM117" s="114">
        <v>7978.093586414926</v>
      </c>
      <c r="DN117" s="114">
        <v>9718.6575589912754</v>
      </c>
      <c r="DO117" s="114">
        <v>5135.1197597572091</v>
      </c>
      <c r="DP117" s="114">
        <v>3774.2569314970051</v>
      </c>
      <c r="DQ117" s="114">
        <v>10726.044616772564</v>
      </c>
      <c r="DR117" s="114">
        <v>4229.3649648397732</v>
      </c>
      <c r="DS117" s="114">
        <v>2411.8730938361018</v>
      </c>
      <c r="DT117" s="114">
        <v>6034.2504739684027</v>
      </c>
      <c r="DU117" s="114">
        <v>11045.320627843199</v>
      </c>
      <c r="DV117" s="114">
        <v>4697.1823525429127</v>
      </c>
      <c r="DW117" s="114">
        <v>9644.689667991599</v>
      </c>
      <c r="DX117" s="114">
        <v>4565.8227803666114</v>
      </c>
      <c r="DY117" s="114">
        <v>17278.066676299837</v>
      </c>
      <c r="DZ117" s="114">
        <v>16801.496594919652</v>
      </c>
      <c r="EA117" s="114">
        <v>8511.53070467613</v>
      </c>
      <c r="EB117" s="114">
        <v>1047.053395467944</v>
      </c>
      <c r="EC117" s="114">
        <v>1665.0270042505069</v>
      </c>
      <c r="ED117" s="114">
        <v>12497.13647515481</v>
      </c>
      <c r="EE117" s="114">
        <v>4317.3354369184963</v>
      </c>
      <c r="EF117" s="114">
        <v>5456.7911205287855</v>
      </c>
      <c r="EG117" s="114">
        <v>7028.0585401005519</v>
      </c>
      <c r="EH117" s="114">
        <v>7899.8945404903197</v>
      </c>
      <c r="EI117" s="114">
        <v>8396.7666187417981</v>
      </c>
      <c r="EJ117" s="114">
        <v>7821.7501920887544</v>
      </c>
      <c r="EK117" s="114">
        <v>6811.0799343709223</v>
      </c>
      <c r="EL117" s="114">
        <v>8126.4462295423291</v>
      </c>
      <c r="EM117" s="114">
        <v>13615.526619509887</v>
      </c>
      <c r="EN117" s="114">
        <v>5107.7457304502259</v>
      </c>
      <c r="EO117" s="114">
        <v>2904.019505564082</v>
      </c>
      <c r="EP117" s="114">
        <v>6315.6810058413057</v>
      </c>
      <c r="EQ117" s="114">
        <v>4780.1761404666486</v>
      </c>
      <c r="ER117" s="114">
        <v>6188.056615519944</v>
      </c>
      <c r="ES117" s="114">
        <v>4429.7605306006171</v>
      </c>
      <c r="ET117" s="114">
        <v>5907.458395310483</v>
      </c>
      <c r="EU117" s="114">
        <v>5732.5528307655168</v>
      </c>
      <c r="EV117" s="114">
        <v>5797.7464234184745</v>
      </c>
      <c r="EW117" s="114">
        <v>3957.3855636232747</v>
      </c>
      <c r="EX117" s="114">
        <v>2053.6201752305815</v>
      </c>
      <c r="EY117" s="114">
        <v>5815.1136118351778</v>
      </c>
      <c r="EZ117" s="114">
        <v>1076.8987594073665</v>
      </c>
      <c r="FA117" s="114">
        <v>4453.5640527123833</v>
      </c>
      <c r="FB117" s="114">
        <v>761.32105164192808</v>
      </c>
      <c r="FC117" s="114">
        <v>12291.244022691217</v>
      </c>
      <c r="FD117" s="114">
        <v>4583.6718529009568</v>
      </c>
      <c r="FE117" s="114">
        <v>4275.8989356007069</v>
      </c>
      <c r="FF117" s="114">
        <v>5925.3254233373946</v>
      </c>
      <c r="FG117" s="114">
        <v>5707.3933940256129</v>
      </c>
      <c r="FH117" s="114">
        <v>12703.851069382614</v>
      </c>
      <c r="FI117" s="114">
        <v>4377.0703645786307</v>
      </c>
      <c r="FJ117" s="114">
        <v>3129.3227553532702</v>
      </c>
      <c r="FK117" s="114">
        <v>3365.2498559831356</v>
      </c>
      <c r="FL117" s="114">
        <v>9563.9087498948375</v>
      </c>
      <c r="FM117" s="114">
        <v>4315.0204123601306</v>
      </c>
      <c r="FN117" s="114">
        <v>5271.2892072772474</v>
      </c>
      <c r="FO117" s="114">
        <v>5626.2685400197342</v>
      </c>
      <c r="FP117" s="114">
        <v>4052.6294428572419</v>
      </c>
      <c r="FQ117" s="114">
        <v>5001.6850010724393</v>
      </c>
      <c r="FR117" s="114">
        <v>13110.279964508198</v>
      </c>
      <c r="FS117" s="114">
        <v>7948.8257649921725</v>
      </c>
      <c r="FT117" s="114">
        <v>5597.8810601804907</v>
      </c>
      <c r="FU117" s="114">
        <v>11561.651348683276</v>
      </c>
      <c r="FV117" s="114">
        <v>14843.524849085634</v>
      </c>
      <c r="FW117" s="114">
        <v>1185.0373782850418</v>
      </c>
      <c r="FX117" s="114">
        <v>5872.1156822041958</v>
      </c>
      <c r="FY117" s="114">
        <v>3214.4057762990801</v>
      </c>
      <c r="FZ117" s="114">
        <v>4957.3656170682452</v>
      </c>
      <c r="GA117" s="114">
        <v>6988.7613253398704</v>
      </c>
      <c r="GB117" s="114">
        <v>4597.5135693656666</v>
      </c>
      <c r="GC117" s="114">
        <v>5438.1132300854124</v>
      </c>
      <c r="GD117" s="114">
        <v>6604.6269164426712</v>
      </c>
      <c r="GE117" s="114">
        <v>4391.3678737960254</v>
      </c>
      <c r="GF117" s="114">
        <v>11072.286309859559</v>
      </c>
      <c r="GG117" s="114">
        <v>7139.0514236723575</v>
      </c>
      <c r="GH117" s="114">
        <v>6919.2111779263159</v>
      </c>
      <c r="GI117" s="114">
        <v>7380.0686777548372</v>
      </c>
      <c r="GJ117" s="114">
        <v>7303.6049361846099</v>
      </c>
      <c r="GK117" s="114">
        <v>7996.1773587519174</v>
      </c>
      <c r="GL117" s="114">
        <v>6424.3042314442109</v>
      </c>
      <c r="GM117" s="114">
        <v>11816.937965642139</v>
      </c>
      <c r="GN117" s="114">
        <v>5583.5541425533538</v>
      </c>
      <c r="GO117" s="114">
        <v>4987.9527184046874</v>
      </c>
      <c r="GP117" s="114">
        <v>5375.2558598673422</v>
      </c>
      <c r="GQ117" s="114">
        <v>12305.216473033999</v>
      </c>
      <c r="GR117" s="114">
        <v>16556.721331897446</v>
      </c>
      <c r="GS117" s="114">
        <v>4174.9448315670152</v>
      </c>
      <c r="GT117" s="115">
        <v>5759.208930030537</v>
      </c>
    </row>
    <row r="118" spans="2:202" x14ac:dyDescent="0.6">
      <c r="B118" s="106" t="s">
        <v>106</v>
      </c>
      <c r="C118" s="63" t="s">
        <v>484</v>
      </c>
      <c r="D118" s="113">
        <v>4932.5576203756464</v>
      </c>
      <c r="E118" s="114">
        <v>1014.6352281424482</v>
      </c>
      <c r="F118" s="114">
        <v>1350.1631242884309</v>
      </c>
      <c r="G118" s="114">
        <v>4898.5359299354441</v>
      </c>
      <c r="H118" s="114">
        <v>7679.9633254345881</v>
      </c>
      <c r="I118" s="114">
        <v>11075.041032289068</v>
      </c>
      <c r="J118" s="114">
        <v>2670.2418868520276</v>
      </c>
      <c r="K118" s="114">
        <v>16083.597792039465</v>
      </c>
      <c r="L118" s="114">
        <v>1407.6329758846589</v>
      </c>
      <c r="M118" s="114">
        <v>3116.0284814536526</v>
      </c>
      <c r="N118" s="114">
        <v>8550.6371628583347</v>
      </c>
      <c r="O118" s="114">
        <v>3571.1171442385748</v>
      </c>
      <c r="P118" s="114">
        <v>7299.4195330725343</v>
      </c>
      <c r="Q118" s="114">
        <v>7695.897816513364</v>
      </c>
      <c r="R118" s="114">
        <v>2240.7637563671628</v>
      </c>
      <c r="S118" s="114">
        <v>1852.0820993213474</v>
      </c>
      <c r="T118" s="114">
        <v>9994.9605791209342</v>
      </c>
      <c r="U118" s="114">
        <v>3478.3166269622802</v>
      </c>
      <c r="V118" s="114">
        <v>7018.7047471865671</v>
      </c>
      <c r="W118" s="114">
        <v>10383.392107525644</v>
      </c>
      <c r="X118" s="114">
        <v>949.49644850773848</v>
      </c>
      <c r="Y118" s="114">
        <v>6774.9974297301987</v>
      </c>
      <c r="Z118" s="114">
        <v>9177.6525326103983</v>
      </c>
      <c r="AA118" s="114">
        <v>8876.0645436828909</v>
      </c>
      <c r="AB118" s="114">
        <v>10675.565150069242</v>
      </c>
      <c r="AC118" s="114">
        <v>1085.372756736811</v>
      </c>
      <c r="AD118" s="114">
        <v>3037.4850640813552</v>
      </c>
      <c r="AE118" s="114">
        <v>4573.427166482079</v>
      </c>
      <c r="AF118" s="114">
        <v>4379.5140512869802</v>
      </c>
      <c r="AG118" s="114">
        <v>9295.3728795117459</v>
      </c>
      <c r="AH118" s="114">
        <v>3533.5574129373686</v>
      </c>
      <c r="AI118" s="114">
        <v>3575.6774718954616</v>
      </c>
      <c r="AJ118" s="114">
        <v>7637.1298309348122</v>
      </c>
      <c r="AK118" s="114">
        <v>7276.5555145805174</v>
      </c>
      <c r="AL118" s="114">
        <v>3506.1563079458751</v>
      </c>
      <c r="AM118" s="114">
        <v>2606.561238812264</v>
      </c>
      <c r="AN118" s="114">
        <v>11656.0611365193</v>
      </c>
      <c r="AO118" s="114">
        <v>9394.1002679448011</v>
      </c>
      <c r="AP118" s="114">
        <v>8457.8229738973932</v>
      </c>
      <c r="AQ118" s="114">
        <v>9574.5135858300564</v>
      </c>
      <c r="AR118" s="114">
        <v>6036.1405556867812</v>
      </c>
      <c r="AS118" s="114">
        <v>4434.3095866391905</v>
      </c>
      <c r="AT118" s="114">
        <v>4407.4650097266049</v>
      </c>
      <c r="AU118" s="114">
        <v>10133.78804960729</v>
      </c>
      <c r="AV118" s="114">
        <v>3846.6930178597695</v>
      </c>
      <c r="AW118" s="114">
        <v>1112.6502935530373</v>
      </c>
      <c r="AX118" s="114">
        <v>9095.0519247439806</v>
      </c>
      <c r="AY118" s="114">
        <v>1716.4406604724331</v>
      </c>
      <c r="AZ118" s="114">
        <v>1613.4547766907849</v>
      </c>
      <c r="BA118" s="114">
        <v>2214.555229530512</v>
      </c>
      <c r="BB118" s="114">
        <v>3910.1602260734744</v>
      </c>
      <c r="BC118" s="114">
        <v>7740.6844639573928</v>
      </c>
      <c r="BD118" s="114">
        <v>8301.3941530973025</v>
      </c>
      <c r="BE118" s="114">
        <v>4419.7554278748312</v>
      </c>
      <c r="BF118" s="114">
        <v>10257.893599887459</v>
      </c>
      <c r="BG118" s="114">
        <v>1686.5381262974156</v>
      </c>
      <c r="BH118" s="114">
        <v>10319.004042047012</v>
      </c>
      <c r="BI118" s="114">
        <v>3617.9735974504151</v>
      </c>
      <c r="BJ118" s="114">
        <v>3306.1005836029785</v>
      </c>
      <c r="BK118" s="114">
        <v>2735.025164808229</v>
      </c>
      <c r="BL118" s="114">
        <v>7085.057959255626</v>
      </c>
      <c r="BM118" s="114">
        <v>3830.0960584793747</v>
      </c>
      <c r="BN118" s="114">
        <v>2842.7146125402087</v>
      </c>
      <c r="BO118" s="114">
        <v>1749.6045573113815</v>
      </c>
      <c r="BP118" s="114">
        <v>3958.7682045937945</v>
      </c>
      <c r="BQ118" s="114">
        <v>3944.1467769921055</v>
      </c>
      <c r="BR118" s="114">
        <v>2693.2559161047093</v>
      </c>
      <c r="BS118" s="114">
        <v>1865.5074304358557</v>
      </c>
      <c r="BT118" s="114">
        <v>1418.3796889699945</v>
      </c>
      <c r="BU118" s="114">
        <v>1682.7306398908149</v>
      </c>
      <c r="BV118" s="114">
        <v>3665.3999145088369</v>
      </c>
      <c r="BW118" s="114">
        <v>847.72632129610429</v>
      </c>
      <c r="BX118" s="114">
        <v>7978.4200636185396</v>
      </c>
      <c r="BY118" s="114">
        <v>10346.507761165343</v>
      </c>
      <c r="BZ118" s="114">
        <v>4055.0777859666414</v>
      </c>
      <c r="CA118" s="114">
        <v>4017.0235772798742</v>
      </c>
      <c r="CB118" s="114">
        <v>8000.4000173143995</v>
      </c>
      <c r="CC118" s="114">
        <v>8525.8381964559157</v>
      </c>
      <c r="CD118" s="114">
        <v>10106.839829903281</v>
      </c>
      <c r="CE118" s="114">
        <v>1364.3360521197651</v>
      </c>
      <c r="CF118" s="114">
        <v>3982.8584207239537</v>
      </c>
      <c r="CG118" s="114">
        <v>5979.7024654463612</v>
      </c>
      <c r="CH118" s="114">
        <v>5881.8748581785212</v>
      </c>
      <c r="CI118" s="114">
        <v>10589.229154647339</v>
      </c>
      <c r="CJ118" s="114">
        <v>3328.8528409190753</v>
      </c>
      <c r="CK118" s="114">
        <v>2754.1845259543975</v>
      </c>
      <c r="CL118" s="114">
        <v>2531.6963918097804</v>
      </c>
      <c r="CM118" s="114">
        <v>4547.1544816014584</v>
      </c>
      <c r="CN118" s="114">
        <v>689.85354188567248</v>
      </c>
      <c r="CO118" s="114">
        <v>1184.7405873014484</v>
      </c>
      <c r="CP118" s="114">
        <v>8927.7043305158259</v>
      </c>
      <c r="CQ118" s="114">
        <v>10289.763551023876</v>
      </c>
      <c r="CR118" s="114">
        <v>2010.1194379188928</v>
      </c>
      <c r="CS118" s="114">
        <v>4787.0689101031412</v>
      </c>
      <c r="CT118" s="114">
        <v>4685.5899926687571</v>
      </c>
      <c r="CU118" s="114">
        <v>3221.0101739229631</v>
      </c>
      <c r="CV118" s="114">
        <v>5143.6492227841136</v>
      </c>
      <c r="CW118" s="114">
        <v>8706.6586433823122</v>
      </c>
      <c r="CX118" s="114">
        <v>2447.1272367392435</v>
      </c>
      <c r="CY118" s="114">
        <v>1932.8391877617466</v>
      </c>
      <c r="CZ118" s="114">
        <v>7324.0388309164891</v>
      </c>
      <c r="DA118" s="114">
        <v>4130.7732412740779</v>
      </c>
      <c r="DB118" s="114">
        <v>357.87359339868067</v>
      </c>
      <c r="DC118" s="114">
        <v>1348.692880357718</v>
      </c>
      <c r="DD118" s="114">
        <v>2256.9555597700955</v>
      </c>
      <c r="DE118" s="114">
        <v>1676.7676392937403</v>
      </c>
      <c r="DF118" s="114">
        <v>6947.4562391832169</v>
      </c>
      <c r="DG118" s="114">
        <v>5866.7980663613607</v>
      </c>
      <c r="DH118" s="114">
        <v>9544.7107130652294</v>
      </c>
      <c r="DI118" s="114">
        <v>6969.535426465497</v>
      </c>
      <c r="DJ118" s="114">
        <v>3387.0583632085904</v>
      </c>
      <c r="DK118" s="114" t="s">
        <v>527</v>
      </c>
      <c r="DL118" s="114">
        <v>7666.8006858960271</v>
      </c>
      <c r="DM118" s="114">
        <v>7684.6929959740028</v>
      </c>
      <c r="DN118" s="114">
        <v>10736.382066306545</v>
      </c>
      <c r="DO118" s="114">
        <v>1756.7489651027265</v>
      </c>
      <c r="DP118" s="114">
        <v>1084.7480857356315</v>
      </c>
      <c r="DQ118" s="114">
        <v>7339.7155267740454</v>
      </c>
      <c r="DR118" s="114">
        <v>878.3053794832316</v>
      </c>
      <c r="DS118" s="114">
        <v>1935.4062528468737</v>
      </c>
      <c r="DT118" s="114">
        <v>7055.0592879501319</v>
      </c>
      <c r="DU118" s="114">
        <v>8234.6493564964767</v>
      </c>
      <c r="DV118" s="114">
        <v>6443.4966539157967</v>
      </c>
      <c r="DW118" s="114">
        <v>6639.6233371915732</v>
      </c>
      <c r="DX118" s="114">
        <v>2009.9879109377462</v>
      </c>
      <c r="DY118" s="114">
        <v>18258.41834213151</v>
      </c>
      <c r="DZ118" s="114">
        <v>18174.138320425736</v>
      </c>
      <c r="EA118" s="114">
        <v>10158.564329403664</v>
      </c>
      <c r="EB118" s="114">
        <v>2763.7305324714453</v>
      </c>
      <c r="EC118" s="114">
        <v>3029.7501058329335</v>
      </c>
      <c r="ED118" s="114">
        <v>9110.8314798905976</v>
      </c>
      <c r="EE118" s="114">
        <v>937.69083199801617</v>
      </c>
      <c r="EF118" s="114">
        <v>2684.3997625741627</v>
      </c>
      <c r="EG118" s="114">
        <v>4434.0183892876421</v>
      </c>
      <c r="EH118" s="114">
        <v>5144.7200545502255</v>
      </c>
      <c r="EI118" s="114">
        <v>5312.815917197192</v>
      </c>
      <c r="EJ118" s="114">
        <v>9746.0894996202751</v>
      </c>
      <c r="EK118" s="114">
        <v>10097.406337957023</v>
      </c>
      <c r="EL118" s="114">
        <v>10896.307266174041</v>
      </c>
      <c r="EM118" s="114">
        <v>10529.235417447564</v>
      </c>
      <c r="EN118" s="114">
        <v>1919.1587670155172</v>
      </c>
      <c r="EO118" s="114">
        <v>2098.1569533616771</v>
      </c>
      <c r="EP118" s="114">
        <v>3712.4440753411054</v>
      </c>
      <c r="EQ118" s="114">
        <v>1395.0454383171043</v>
      </c>
      <c r="ER118" s="114">
        <v>2858.3717051262624</v>
      </c>
      <c r="ES118" s="114">
        <v>4440.2413686556001</v>
      </c>
      <c r="ET118" s="114">
        <v>7730.0111339152809</v>
      </c>
      <c r="EU118" s="114">
        <v>7752.4797582635238</v>
      </c>
      <c r="EV118" s="114">
        <v>7855.5999139741443</v>
      </c>
      <c r="EW118" s="114">
        <v>907.11107447557117</v>
      </c>
      <c r="EX118" s="114">
        <v>4025.2428628221219</v>
      </c>
      <c r="EY118" s="114">
        <v>3312.5970442485418</v>
      </c>
      <c r="EZ118" s="114">
        <v>3932.9572108005732</v>
      </c>
      <c r="FA118" s="114">
        <v>1121.2177388863843</v>
      </c>
      <c r="FB118" s="114">
        <v>4118.2982692892538</v>
      </c>
      <c r="FC118" s="114">
        <v>9875.8093340660489</v>
      </c>
      <c r="FD118" s="114">
        <v>1414.9577296253683</v>
      </c>
      <c r="FE118" s="114">
        <v>1167.5479328236343</v>
      </c>
      <c r="FF118" s="114">
        <v>4905.0430921748011</v>
      </c>
      <c r="FG118" s="114">
        <v>6934.4112931984619</v>
      </c>
      <c r="FH118" s="114">
        <v>9318.8302045306282</v>
      </c>
      <c r="FI118" s="114">
        <v>3844.4467335562003</v>
      </c>
      <c r="FJ118" s="114">
        <v>1640.6381431879913</v>
      </c>
      <c r="FK118" s="114">
        <v>1238.7989312412888</v>
      </c>
      <c r="FL118" s="114">
        <v>7354.978234499159</v>
      </c>
      <c r="FM118" s="114">
        <v>2877.4332297236328</v>
      </c>
      <c r="FN118" s="114">
        <v>7793.5482717462583</v>
      </c>
      <c r="FO118" s="114">
        <v>2644.7741636799642</v>
      </c>
      <c r="FP118" s="114">
        <v>1359.4152012707277</v>
      </c>
      <c r="FQ118" s="114">
        <v>2017.2581660780352</v>
      </c>
      <c r="FR118" s="114">
        <v>9833.8445602054508</v>
      </c>
      <c r="FS118" s="114">
        <v>4755.1321278130317</v>
      </c>
      <c r="FT118" s="114">
        <v>5385.7355586487674</v>
      </c>
      <c r="FU118" s="114">
        <v>8786.1170492996516</v>
      </c>
      <c r="FV118" s="114">
        <v>12437.571874459241</v>
      </c>
      <c r="FW118" s="114">
        <v>3538.3692442089837</v>
      </c>
      <c r="FX118" s="114">
        <v>8043.0946290152051</v>
      </c>
      <c r="FY118" s="114">
        <v>392.4848165522331</v>
      </c>
      <c r="FZ118" s="114">
        <v>1664.9900452977131</v>
      </c>
      <c r="GA118" s="114">
        <v>3822.2524017863784</v>
      </c>
      <c r="GB118" s="114">
        <v>4348.6723066516834</v>
      </c>
      <c r="GC118" s="114">
        <v>2084.682269615108</v>
      </c>
      <c r="GD118" s="114">
        <v>4014.389959501204</v>
      </c>
      <c r="GE118" s="114">
        <v>2098.3815759077388</v>
      </c>
      <c r="GF118" s="114">
        <v>10841.043393877118</v>
      </c>
      <c r="GG118" s="114">
        <v>7404.7350216690575</v>
      </c>
      <c r="GH118" s="114">
        <v>7103.5047116687601</v>
      </c>
      <c r="GI118" s="114">
        <v>7726.8964249531282</v>
      </c>
      <c r="GJ118" s="114">
        <v>10674.546295944896</v>
      </c>
      <c r="GK118" s="114">
        <v>4738.9116730750829</v>
      </c>
      <c r="GL118" s="114">
        <v>8521.7396161760516</v>
      </c>
      <c r="GM118" s="114">
        <v>8770.1039058332062</v>
      </c>
      <c r="GN118" s="114">
        <v>3719.4872080349119</v>
      </c>
      <c r="GO118" s="114">
        <v>5836.3230052911213</v>
      </c>
      <c r="GP118" s="114">
        <v>6147.7601055788091</v>
      </c>
      <c r="GQ118" s="114">
        <v>9517.7109831755915</v>
      </c>
      <c r="GR118" s="114">
        <v>15955.445245141698</v>
      </c>
      <c r="GS118" s="114">
        <v>1400.2307204779377</v>
      </c>
      <c r="GT118" s="115">
        <v>7015.0139631130769</v>
      </c>
    </row>
    <row r="119" spans="2:202" x14ac:dyDescent="0.6">
      <c r="B119" s="106" t="s">
        <v>107</v>
      </c>
      <c r="C119" s="63" t="s">
        <v>485</v>
      </c>
      <c r="D119" s="113">
        <v>6174.6066897750625</v>
      </c>
      <c r="E119" s="114">
        <v>8477.9031445297023</v>
      </c>
      <c r="F119" s="114">
        <v>9001.7624661811769</v>
      </c>
      <c r="G119" s="114">
        <v>4912.0559295340354</v>
      </c>
      <c r="H119" s="114">
        <v>13628.104542627772</v>
      </c>
      <c r="I119" s="114">
        <v>10926.072169567005</v>
      </c>
      <c r="J119" s="114">
        <v>6828.0980360479034</v>
      </c>
      <c r="K119" s="114">
        <v>9104.9677723540935</v>
      </c>
      <c r="L119" s="114">
        <v>8615.9528881598435</v>
      </c>
      <c r="M119" s="114">
        <v>6762.7837207911189</v>
      </c>
      <c r="N119" s="114">
        <v>15332.256059069969</v>
      </c>
      <c r="O119" s="114">
        <v>5192.4638606860653</v>
      </c>
      <c r="P119" s="114">
        <v>6015.9806242100449</v>
      </c>
      <c r="Q119" s="114">
        <v>13249.818740778341</v>
      </c>
      <c r="R119" s="114">
        <v>8677.8108101685721</v>
      </c>
      <c r="S119" s="114">
        <v>9411.3262115759371</v>
      </c>
      <c r="T119" s="114">
        <v>16382.361559138697</v>
      </c>
      <c r="U119" s="114">
        <v>6673.4036575033151</v>
      </c>
      <c r="V119" s="114">
        <v>6306.4832563646714</v>
      </c>
      <c r="W119" s="114">
        <v>12814.881844618596</v>
      </c>
      <c r="X119" s="114">
        <v>8117.9309281410742</v>
      </c>
      <c r="Y119" s="114">
        <v>3293.2957083484303</v>
      </c>
      <c r="Z119" s="114">
        <v>10454.091240252759</v>
      </c>
      <c r="AA119" s="114">
        <v>10157.111808998254</v>
      </c>
      <c r="AB119" s="114">
        <v>6867.4145128449027</v>
      </c>
      <c r="AC119" s="114">
        <v>7784.9145894542316</v>
      </c>
      <c r="AD119" s="114">
        <v>7344.0945925347796</v>
      </c>
      <c r="AE119" s="114">
        <v>3583.6156331251432</v>
      </c>
      <c r="AF119" s="114">
        <v>9634.9328452431346</v>
      </c>
      <c r="AG119" s="114">
        <v>6235.2369052026042</v>
      </c>
      <c r="AH119" s="114">
        <v>5848.3072364291393</v>
      </c>
      <c r="AI119" s="114">
        <v>5659.285244500421</v>
      </c>
      <c r="AJ119" s="114">
        <v>15235.326563952649</v>
      </c>
      <c r="AK119" s="114">
        <v>14881.155586394958</v>
      </c>
      <c r="AL119" s="114">
        <v>5040.7487335772785</v>
      </c>
      <c r="AM119" s="114">
        <v>5886.4684784130486</v>
      </c>
      <c r="AN119" s="114">
        <v>11894.998074072044</v>
      </c>
      <c r="AO119" s="114">
        <v>8906.7867355913222</v>
      </c>
      <c r="AP119" s="114">
        <v>9014.7546319933917</v>
      </c>
      <c r="AQ119" s="114">
        <v>14465.704460203478</v>
      </c>
      <c r="AR119" s="114">
        <v>1794.2974623053644</v>
      </c>
      <c r="AS119" s="114">
        <v>4868.3683735303848</v>
      </c>
      <c r="AT119" s="114">
        <v>4898.953538673034</v>
      </c>
      <c r="AU119" s="114">
        <v>15707.038576730549</v>
      </c>
      <c r="AV119" s="114">
        <v>7269.5602001763909</v>
      </c>
      <c r="AW119" s="114">
        <v>8422.8153290939335</v>
      </c>
      <c r="AX119" s="114">
        <v>15829.586219617873</v>
      </c>
      <c r="AY119" s="114">
        <v>6642.1127624374585</v>
      </c>
      <c r="AZ119" s="114">
        <v>8873.9828071880293</v>
      </c>
      <c r="BA119" s="114">
        <v>9405.6993432741183</v>
      </c>
      <c r="BB119" s="114">
        <v>3840.7355103591199</v>
      </c>
      <c r="BC119" s="114">
        <v>13514.534991462275</v>
      </c>
      <c r="BD119" s="114">
        <v>14458.078583118737</v>
      </c>
      <c r="BE119" s="114">
        <v>4890.7879245081467</v>
      </c>
      <c r="BF119" s="114">
        <v>14690.581901307827</v>
      </c>
      <c r="BG119" s="114">
        <v>6235.9484747650731</v>
      </c>
      <c r="BH119" s="114">
        <v>16367.574279165927</v>
      </c>
      <c r="BI119" s="114">
        <v>5933.4830160265801</v>
      </c>
      <c r="BJ119" s="114">
        <v>4426.9661078769768</v>
      </c>
      <c r="BK119" s="114">
        <v>9314.2020636149318</v>
      </c>
      <c r="BL119" s="114">
        <v>2761.4055211139334</v>
      </c>
      <c r="BM119" s="114">
        <v>3840.9890743274532</v>
      </c>
      <c r="BN119" s="114">
        <v>9387.6032905260217</v>
      </c>
      <c r="BO119" s="114">
        <v>9378.0899460502824</v>
      </c>
      <c r="BP119" s="114">
        <v>5694.9780493762491</v>
      </c>
      <c r="BQ119" s="114">
        <v>8870.1344252381896</v>
      </c>
      <c r="BR119" s="114">
        <v>6967.9661034113878</v>
      </c>
      <c r="BS119" s="114">
        <v>9107.2351485854215</v>
      </c>
      <c r="BT119" s="114">
        <v>8843.8161333801327</v>
      </c>
      <c r="BU119" s="114">
        <v>9148.3947909605486</v>
      </c>
      <c r="BV119" s="114">
        <v>6873.9511767717931</v>
      </c>
      <c r="BW119" s="114">
        <v>7326.0669400446832</v>
      </c>
      <c r="BX119" s="114">
        <v>13474.397356958083</v>
      </c>
      <c r="BY119" s="114">
        <v>16514.108214503474</v>
      </c>
      <c r="BZ119" s="114">
        <v>8401.2620535914029</v>
      </c>
      <c r="CA119" s="114">
        <v>8694.0023239057919</v>
      </c>
      <c r="CB119" s="114">
        <v>12906.039539276546</v>
      </c>
      <c r="CC119" s="114">
        <v>14730.604368278911</v>
      </c>
      <c r="CD119" s="114">
        <v>16183.463057248766</v>
      </c>
      <c r="CE119" s="114">
        <v>8412.7913499863407</v>
      </c>
      <c r="CF119" s="114">
        <v>11485.841033810644</v>
      </c>
      <c r="CG119" s="114">
        <v>4675.1615662798367</v>
      </c>
      <c r="CH119" s="114">
        <v>5795.4383177848704</v>
      </c>
      <c r="CI119" s="114">
        <v>5517.506131933701</v>
      </c>
      <c r="CJ119" s="114">
        <v>6208.0959181773587</v>
      </c>
      <c r="CK119" s="114">
        <v>6085.2698170772192</v>
      </c>
      <c r="CL119" s="114">
        <v>10159.381933223096</v>
      </c>
      <c r="CM119" s="114">
        <v>11382.145695101281</v>
      </c>
      <c r="CN119" s="114">
        <v>8272.0613026253886</v>
      </c>
      <c r="CO119" s="114">
        <v>8758.4238260327529</v>
      </c>
      <c r="CP119" s="114">
        <v>15168.834477468261</v>
      </c>
      <c r="CQ119" s="114">
        <v>10647.999318993721</v>
      </c>
      <c r="CR119" s="114">
        <v>6197.0402108416292</v>
      </c>
      <c r="CS119" s="114">
        <v>8034.607431135013</v>
      </c>
      <c r="CT119" s="114">
        <v>3090.8618102980718</v>
      </c>
      <c r="CU119" s="114">
        <v>5582.8150391554118</v>
      </c>
      <c r="CV119" s="114">
        <v>7184.298258950148</v>
      </c>
      <c r="CW119" s="114">
        <v>6454.4922889527543</v>
      </c>
      <c r="CX119" s="114">
        <v>9070.1894709806056</v>
      </c>
      <c r="CY119" s="114">
        <v>6403.1723000880238</v>
      </c>
      <c r="CZ119" s="114">
        <v>3184.988606915349</v>
      </c>
      <c r="DA119" s="114">
        <v>7957.7035415564478</v>
      </c>
      <c r="DB119" s="114">
        <v>7503.5659640568165</v>
      </c>
      <c r="DC119" s="114">
        <v>8878.2473650067986</v>
      </c>
      <c r="DD119" s="114">
        <v>8829.1474662123564</v>
      </c>
      <c r="DE119" s="114">
        <v>9226.5525615945444</v>
      </c>
      <c r="DF119" s="114">
        <v>1062.1364380870107</v>
      </c>
      <c r="DG119" s="114">
        <v>2618.4952586984186</v>
      </c>
      <c r="DH119" s="114">
        <v>5458.4726225160357</v>
      </c>
      <c r="DI119" s="114">
        <v>3198.0831116022459</v>
      </c>
      <c r="DJ119" s="114">
        <v>7956.2440693208255</v>
      </c>
      <c r="DK119" s="114">
        <v>7666.8006858960271</v>
      </c>
      <c r="DL119" s="114" t="s">
        <v>237</v>
      </c>
      <c r="DM119" s="114">
        <v>21.876524822974122</v>
      </c>
      <c r="DN119" s="114">
        <v>17543.721986334225</v>
      </c>
      <c r="DO119" s="114">
        <v>7988.0709400730093</v>
      </c>
      <c r="DP119" s="114">
        <v>8726.8681761061798</v>
      </c>
      <c r="DQ119" s="114">
        <v>9031.1472632414025</v>
      </c>
      <c r="DR119" s="114">
        <v>7973.1049923705395</v>
      </c>
      <c r="DS119" s="114">
        <v>9066.3025589774243</v>
      </c>
      <c r="DT119" s="114">
        <v>2626.903685289823</v>
      </c>
      <c r="DU119" s="114">
        <v>5878.9904775848718</v>
      </c>
      <c r="DV119" s="114">
        <v>4168.4090987765694</v>
      </c>
      <c r="DW119" s="114">
        <v>6080.6192542869121</v>
      </c>
      <c r="DX119" s="114">
        <v>9520.1722853270639</v>
      </c>
      <c r="DY119" s="114">
        <v>10904.654661518953</v>
      </c>
      <c r="DZ119" s="114">
        <v>10617.619967488636</v>
      </c>
      <c r="EA119" s="114">
        <v>16023.161528999253</v>
      </c>
      <c r="EB119" s="114">
        <v>7089.0535144446831</v>
      </c>
      <c r="EC119" s="114">
        <v>6355.7475484974939</v>
      </c>
      <c r="ED119" s="114">
        <v>9648.3250964177769</v>
      </c>
      <c r="EE119" s="114">
        <v>7836.4076553903888</v>
      </c>
      <c r="EF119" s="114">
        <v>9821.3084108399453</v>
      </c>
      <c r="EG119" s="114">
        <v>4835.009440876699</v>
      </c>
      <c r="EH119" s="114">
        <v>5115.0036903204955</v>
      </c>
      <c r="EI119" s="114">
        <v>6180.6258586294407</v>
      </c>
      <c r="EJ119" s="114">
        <v>15194.335749830856</v>
      </c>
      <c r="EK119" s="114">
        <v>11343.962087017222</v>
      </c>
      <c r="EL119" s="114">
        <v>13872.324273074641</v>
      </c>
      <c r="EM119" s="114">
        <v>7948.7968290312501</v>
      </c>
      <c r="EN119" s="114">
        <v>8768.1139284574529</v>
      </c>
      <c r="EO119" s="114">
        <v>9490.909212380604</v>
      </c>
      <c r="EP119" s="114">
        <v>5072.5227616439752</v>
      </c>
      <c r="EQ119" s="114">
        <v>7829.1605234954686</v>
      </c>
      <c r="ER119" s="114">
        <v>8636.8675203925959</v>
      </c>
      <c r="ES119" s="114">
        <v>3606.4940717013956</v>
      </c>
      <c r="ET119" s="114">
        <v>13690.402127968517</v>
      </c>
      <c r="EU119" s="114">
        <v>13412.127471548634</v>
      </c>
      <c r="EV119" s="114">
        <v>13438.877866506222</v>
      </c>
      <c r="EW119" s="114">
        <v>8433.8723948299212</v>
      </c>
      <c r="EX119" s="114">
        <v>5974.9379758690102</v>
      </c>
      <c r="EY119" s="114">
        <v>5087.469998209328</v>
      </c>
      <c r="EZ119" s="114">
        <v>9005.4035413312959</v>
      </c>
      <c r="FA119" s="114">
        <v>8102.7032989901418</v>
      </c>
      <c r="FB119" s="114">
        <v>8324.9536611950607</v>
      </c>
      <c r="FC119" s="114">
        <v>5600.2433341564592</v>
      </c>
      <c r="FD119" s="114">
        <v>8574.6415095064804</v>
      </c>
      <c r="FE119" s="114">
        <v>8531.5206923342466</v>
      </c>
      <c r="FF119" s="114">
        <v>2788.7523837411009</v>
      </c>
      <c r="FG119" s="114">
        <v>3043.6612398886332</v>
      </c>
      <c r="FH119" s="114">
        <v>9644.6024175602815</v>
      </c>
      <c r="FI119" s="114">
        <v>3949.0044575673619</v>
      </c>
      <c r="FJ119" s="114">
        <v>9188.712542115938</v>
      </c>
      <c r="FK119" s="114">
        <v>8882.5849403221491</v>
      </c>
      <c r="FL119" s="114">
        <v>3888.5377445074973</v>
      </c>
      <c r="FM119" s="114">
        <v>4789.3785799192383</v>
      </c>
      <c r="FN119" s="114">
        <v>12554.099838806029</v>
      </c>
      <c r="FO119" s="114">
        <v>9516.0070844574966</v>
      </c>
      <c r="FP119" s="114">
        <v>8949.9591091443908</v>
      </c>
      <c r="FQ119" s="114">
        <v>6346.7498716793343</v>
      </c>
      <c r="FR119" s="114">
        <v>8567.9760265707755</v>
      </c>
      <c r="FS119" s="114">
        <v>6601.1400471898914</v>
      </c>
      <c r="FT119" s="114">
        <v>2440.4730637982739</v>
      </c>
      <c r="FU119" s="114">
        <v>6002.527671503829</v>
      </c>
      <c r="FV119" s="114">
        <v>7401.9913765722395</v>
      </c>
      <c r="FW119" s="114">
        <v>6786.1634091381238</v>
      </c>
      <c r="FX119" s="114">
        <v>13403.726882114763</v>
      </c>
      <c r="FY119" s="114">
        <v>8008.9049872299092</v>
      </c>
      <c r="FZ119" s="114">
        <v>7116.0456474252842</v>
      </c>
      <c r="GA119" s="114">
        <v>6460.4590709544264</v>
      </c>
      <c r="GB119" s="114">
        <v>3535.8661685344759</v>
      </c>
      <c r="GC119" s="114">
        <v>8265.9198163602177</v>
      </c>
      <c r="GD119" s="114">
        <v>4946.0844468133828</v>
      </c>
      <c r="GE119" s="114">
        <v>9702.0287051149735</v>
      </c>
      <c r="GF119" s="114">
        <v>18402.694048869424</v>
      </c>
      <c r="GG119" s="114">
        <v>14894.454139568697</v>
      </c>
      <c r="GH119" s="114">
        <v>14618.479060812393</v>
      </c>
      <c r="GI119" s="114">
        <v>15187.629444937675</v>
      </c>
      <c r="GJ119" s="114">
        <v>10727.971817753181</v>
      </c>
      <c r="GK119" s="114">
        <v>6924.2098275258113</v>
      </c>
      <c r="GL119" s="114">
        <v>13919.109956333108</v>
      </c>
      <c r="GM119" s="114">
        <v>6956.9982132836094</v>
      </c>
      <c r="GN119" s="114">
        <v>4196.1648271494278</v>
      </c>
      <c r="GO119" s="114">
        <v>3128.9082148361099</v>
      </c>
      <c r="GP119" s="114">
        <v>2779.8787997590434</v>
      </c>
      <c r="GQ119" s="114">
        <v>6398.9626615093775</v>
      </c>
      <c r="GR119" s="114">
        <v>8896.0500256466275</v>
      </c>
      <c r="GS119" s="114">
        <v>8942.7548068853266</v>
      </c>
      <c r="GT119" s="115">
        <v>3060.9504257559111</v>
      </c>
    </row>
    <row r="120" spans="2:202" x14ac:dyDescent="0.6">
      <c r="B120" s="106" t="s">
        <v>108</v>
      </c>
      <c r="C120" s="63" t="s">
        <v>486</v>
      </c>
      <c r="D120" s="113">
        <v>6177.1220100000019</v>
      </c>
      <c r="E120" s="114">
        <v>8496.964767985568</v>
      </c>
      <c r="F120" s="114">
        <v>9020.0565213569316</v>
      </c>
      <c r="G120" s="114">
        <v>4933.6207345642342</v>
      </c>
      <c r="H120" s="114">
        <v>13649.619068603473</v>
      </c>
      <c r="I120" s="114">
        <v>10936.333500587829</v>
      </c>
      <c r="J120" s="114">
        <v>6838.9408841996892</v>
      </c>
      <c r="K120" s="114">
        <v>9083.8178831843143</v>
      </c>
      <c r="L120" s="114">
        <v>8631.4461249662254</v>
      </c>
      <c r="M120" s="114">
        <v>6772.0911985410603</v>
      </c>
      <c r="N120" s="114">
        <v>15354.105317428561</v>
      </c>
      <c r="O120" s="114">
        <v>5202.4310836981704</v>
      </c>
      <c r="P120" s="114">
        <v>6008.6414027939763</v>
      </c>
      <c r="Q120" s="114">
        <v>13271.016938294861</v>
      </c>
      <c r="R120" s="114">
        <v>8690.6939851784391</v>
      </c>
      <c r="S120" s="114">
        <v>9427.8592867227726</v>
      </c>
      <c r="T120" s="114">
        <v>16403.198794236665</v>
      </c>
      <c r="U120" s="114">
        <v>6695.2696161281219</v>
      </c>
      <c r="V120" s="114">
        <v>6300.449643081688</v>
      </c>
      <c r="W120" s="114">
        <v>12829.384674223918</v>
      </c>
      <c r="X120" s="114">
        <v>8133.9098233028599</v>
      </c>
      <c r="Y120" s="114">
        <v>3311.7165962010049</v>
      </c>
      <c r="Z120" s="114">
        <v>10469.487454705757</v>
      </c>
      <c r="AA120" s="114">
        <v>10173.004115407473</v>
      </c>
      <c r="AB120" s="114">
        <v>6849.5755337248884</v>
      </c>
      <c r="AC120" s="114">
        <v>7800.2519306705435</v>
      </c>
      <c r="AD120" s="114">
        <v>7365.8633040359891</v>
      </c>
      <c r="AE120" s="114">
        <v>3605.1818209115736</v>
      </c>
      <c r="AF120" s="114">
        <v>9656.8057446224648</v>
      </c>
      <c r="AG120" s="114">
        <v>6220.6859800547672</v>
      </c>
      <c r="AH120" s="114">
        <v>5870.1402438050982</v>
      </c>
      <c r="AI120" s="114">
        <v>5681.1076428657907</v>
      </c>
      <c r="AJ120" s="114">
        <v>15255.150654157538</v>
      </c>
      <c r="AK120" s="114">
        <v>14900.837326226905</v>
      </c>
      <c r="AL120" s="114">
        <v>5062.3069571310407</v>
      </c>
      <c r="AM120" s="114">
        <v>5907.5601091926937</v>
      </c>
      <c r="AN120" s="114">
        <v>11904.375318364657</v>
      </c>
      <c r="AO120" s="114">
        <v>8894.8748210374088</v>
      </c>
      <c r="AP120" s="114">
        <v>9006.0130952964264</v>
      </c>
      <c r="AQ120" s="114">
        <v>14484.628720179591</v>
      </c>
      <c r="AR120" s="114">
        <v>1815.6915113306077</v>
      </c>
      <c r="AS120" s="114">
        <v>4890.2157520469664</v>
      </c>
      <c r="AT120" s="114">
        <v>4920.8046028585068</v>
      </c>
      <c r="AU120" s="114">
        <v>15726.275211049408</v>
      </c>
      <c r="AV120" s="114">
        <v>7291.4191213926679</v>
      </c>
      <c r="AW120" s="114">
        <v>8438.8556935496763</v>
      </c>
      <c r="AX120" s="114">
        <v>15851.329771283503</v>
      </c>
      <c r="AY120" s="114">
        <v>6656.500829960828</v>
      </c>
      <c r="AZ120" s="114">
        <v>8889.4106691145043</v>
      </c>
      <c r="BA120" s="114">
        <v>9420.3777197176714</v>
      </c>
      <c r="BB120" s="114">
        <v>3856.2782525144312</v>
      </c>
      <c r="BC120" s="114">
        <v>13535.895061734673</v>
      </c>
      <c r="BD120" s="114">
        <v>14479.556120448913</v>
      </c>
      <c r="BE120" s="114">
        <v>4912.636630150565</v>
      </c>
      <c r="BF120" s="114">
        <v>14707.826598560136</v>
      </c>
      <c r="BG120" s="114">
        <v>6251.6345947620375</v>
      </c>
      <c r="BH120" s="114">
        <v>16387.420081557135</v>
      </c>
      <c r="BI120" s="114">
        <v>5955.3428892511129</v>
      </c>
      <c r="BJ120" s="114">
        <v>4443.0774542719773</v>
      </c>
      <c r="BK120" s="114">
        <v>9326.6191212981939</v>
      </c>
      <c r="BL120" s="114">
        <v>2778.7885538364485</v>
      </c>
      <c r="BM120" s="114">
        <v>3858.40640369729</v>
      </c>
      <c r="BN120" s="114">
        <v>9399.7942589930317</v>
      </c>
      <c r="BO120" s="114">
        <v>9395.2057685988675</v>
      </c>
      <c r="BP120" s="114">
        <v>5716.8517999575597</v>
      </c>
      <c r="BQ120" s="114">
        <v>8892.010945685257</v>
      </c>
      <c r="BR120" s="114">
        <v>6978.6368008669006</v>
      </c>
      <c r="BS120" s="114">
        <v>9122.3813402805463</v>
      </c>
      <c r="BT120" s="114">
        <v>8859.9333286451947</v>
      </c>
      <c r="BU120" s="114">
        <v>9164.5064786825915</v>
      </c>
      <c r="BV120" s="114">
        <v>6895.8271918706723</v>
      </c>
      <c r="BW120" s="114">
        <v>7342.149022768609</v>
      </c>
      <c r="BX120" s="114">
        <v>13495.407298339656</v>
      </c>
      <c r="BY120" s="114">
        <v>16534.150764097238</v>
      </c>
      <c r="BZ120" s="114">
        <v>8423.1160410721204</v>
      </c>
      <c r="CA120" s="114">
        <v>8715.8726453450945</v>
      </c>
      <c r="CB120" s="114">
        <v>12926.468698469203</v>
      </c>
      <c r="CC120" s="114">
        <v>14752.044794638525</v>
      </c>
      <c r="CD120" s="114">
        <v>16203.628820718184</v>
      </c>
      <c r="CE120" s="114">
        <v>8428.0089584284269</v>
      </c>
      <c r="CF120" s="114">
        <v>11501.170296959113</v>
      </c>
      <c r="CG120" s="114">
        <v>4673.7132760445429</v>
      </c>
      <c r="CH120" s="114">
        <v>5793.9993376406628</v>
      </c>
      <c r="CI120" s="114">
        <v>5498.1524795654323</v>
      </c>
      <c r="CJ120" s="114">
        <v>6217.1127623360508</v>
      </c>
      <c r="CK120" s="114">
        <v>6096.7853832933733</v>
      </c>
      <c r="CL120" s="114">
        <v>10176.328910947273</v>
      </c>
      <c r="CM120" s="114">
        <v>11403.608859933287</v>
      </c>
      <c r="CN120" s="114">
        <v>8289.2367396283698</v>
      </c>
      <c r="CO120" s="114">
        <v>8775.3155435076987</v>
      </c>
      <c r="CP120" s="114">
        <v>15190.14416254034</v>
      </c>
      <c r="CQ120" s="114">
        <v>10635.24430888359</v>
      </c>
      <c r="CR120" s="114">
        <v>6211.3676928051773</v>
      </c>
      <c r="CS120" s="114">
        <v>8038.1146609490643</v>
      </c>
      <c r="CT120" s="114">
        <v>3111.1574853916723</v>
      </c>
      <c r="CU120" s="114">
        <v>5593.4252831090062</v>
      </c>
      <c r="CV120" s="114">
        <v>7186.0128990483354</v>
      </c>
      <c r="CW120" s="114">
        <v>6442.2019143868383</v>
      </c>
      <c r="CX120" s="114">
        <v>9083.1003329956402</v>
      </c>
      <c r="CY120" s="114">
        <v>6417.2693993617359</v>
      </c>
      <c r="CZ120" s="114">
        <v>3201.0791308641215</v>
      </c>
      <c r="DA120" s="114">
        <v>7979.5179896684958</v>
      </c>
      <c r="DB120" s="114">
        <v>7522.1096634594978</v>
      </c>
      <c r="DC120" s="114">
        <v>8894.8369993333417</v>
      </c>
      <c r="DD120" s="114">
        <v>8842.2351824633788</v>
      </c>
      <c r="DE120" s="114">
        <v>9243.0972554774144</v>
      </c>
      <c r="DF120" s="114">
        <v>1083.6390216057875</v>
      </c>
      <c r="DG120" s="114">
        <v>2640.2037041177891</v>
      </c>
      <c r="DH120" s="114">
        <v>5442.1070060520178</v>
      </c>
      <c r="DI120" s="114">
        <v>3191.9580107570278</v>
      </c>
      <c r="DJ120" s="114">
        <v>7978.093586414926</v>
      </c>
      <c r="DK120" s="114">
        <v>7684.6929959740028</v>
      </c>
      <c r="DL120" s="114">
        <v>21.876524822974122</v>
      </c>
      <c r="DM120" s="114" t="s">
        <v>237</v>
      </c>
      <c r="DN120" s="114">
        <v>17564.674791019785</v>
      </c>
      <c r="DO120" s="114">
        <v>8001.6532459401715</v>
      </c>
      <c r="DP120" s="114">
        <v>8744.2714045827197</v>
      </c>
      <c r="DQ120" s="114">
        <v>9026.3328939991934</v>
      </c>
      <c r="DR120" s="114">
        <v>7989.1069916716524</v>
      </c>
      <c r="DS120" s="114">
        <v>9086.4876565747054</v>
      </c>
      <c r="DT120" s="114">
        <v>2644.5258178542176</v>
      </c>
      <c r="DU120" s="114">
        <v>5867.8468651442681</v>
      </c>
      <c r="DV120" s="114">
        <v>4187.5131706480979</v>
      </c>
      <c r="DW120" s="114">
        <v>6076.0150584079265</v>
      </c>
      <c r="DX120" s="114">
        <v>9536.3413104694664</v>
      </c>
      <c r="DY120" s="114">
        <v>10884.961828169262</v>
      </c>
      <c r="DZ120" s="114">
        <v>10598.546649992</v>
      </c>
      <c r="EA120" s="114">
        <v>16042.877903626428</v>
      </c>
      <c r="EB120" s="114">
        <v>7110.6866749321198</v>
      </c>
      <c r="EC120" s="114">
        <v>6377.4398474784448</v>
      </c>
      <c r="ED120" s="114">
        <v>9638.1418327546107</v>
      </c>
      <c r="EE120" s="114">
        <v>7852.1526684876571</v>
      </c>
      <c r="EF120" s="114">
        <v>9835.3948239882211</v>
      </c>
      <c r="EG120" s="114">
        <v>4841.426534539336</v>
      </c>
      <c r="EH120" s="114">
        <v>5117.3272684205658</v>
      </c>
      <c r="EI120" s="114">
        <v>6181.5592428458267</v>
      </c>
      <c r="EJ120" s="114">
        <v>15213.870334136014</v>
      </c>
      <c r="EK120" s="114">
        <v>11357.713061815501</v>
      </c>
      <c r="EL120" s="114">
        <v>13886.390317603327</v>
      </c>
      <c r="EM120" s="114">
        <v>7932.5616190427236</v>
      </c>
      <c r="EN120" s="114">
        <v>8782.2133142380753</v>
      </c>
      <c r="EO120" s="114">
        <v>9510.6474895335286</v>
      </c>
      <c r="EP120" s="114">
        <v>5082.1139057629443</v>
      </c>
      <c r="EQ120" s="114">
        <v>7843.680770402555</v>
      </c>
      <c r="ER120" s="114">
        <v>8647.6658509777881</v>
      </c>
      <c r="ES120" s="114">
        <v>3627.8117574693292</v>
      </c>
      <c r="ET120" s="114">
        <v>13711.909980576525</v>
      </c>
      <c r="EU120" s="114">
        <v>13433.389301860712</v>
      </c>
      <c r="EV120" s="114">
        <v>13460.028154854193</v>
      </c>
      <c r="EW120" s="114">
        <v>8450.7029119734743</v>
      </c>
      <c r="EX120" s="114">
        <v>5996.7909628042607</v>
      </c>
      <c r="EY120" s="114">
        <v>5099.1716043427541</v>
      </c>
      <c r="EZ120" s="114">
        <v>9027.2788764492943</v>
      </c>
      <c r="FA120" s="114">
        <v>8118.18253760465</v>
      </c>
      <c r="FB120" s="114">
        <v>8346.7915031818138</v>
      </c>
      <c r="FC120" s="114">
        <v>5583.0140587056676</v>
      </c>
      <c r="FD120" s="114">
        <v>8590.015767898758</v>
      </c>
      <c r="FE120" s="114">
        <v>8547.6433337630388</v>
      </c>
      <c r="FF120" s="114">
        <v>2805.0094124688167</v>
      </c>
      <c r="FG120" s="114">
        <v>3061.5799731459206</v>
      </c>
      <c r="FH120" s="114">
        <v>9633.7438939714102</v>
      </c>
      <c r="FI120" s="114">
        <v>3969.0709931853621</v>
      </c>
      <c r="FJ120" s="114">
        <v>9207.7638431173327</v>
      </c>
      <c r="FK120" s="114">
        <v>8900.9495588073514</v>
      </c>
      <c r="FL120" s="114">
        <v>3879.939625171357</v>
      </c>
      <c r="FM120" s="114">
        <v>4807.2987759654688</v>
      </c>
      <c r="FN120" s="114">
        <v>12574.537287576317</v>
      </c>
      <c r="FO120" s="114">
        <v>9529.2788317107552</v>
      </c>
      <c r="FP120" s="114">
        <v>8966.8802315380162</v>
      </c>
      <c r="FQ120" s="114">
        <v>6360.649361718808</v>
      </c>
      <c r="FR120" s="114">
        <v>8554.3620077637097</v>
      </c>
      <c r="FS120" s="114">
        <v>6604.2786136379054</v>
      </c>
      <c r="FT120" s="114">
        <v>2461.4669777858498</v>
      </c>
      <c r="FU120" s="114">
        <v>5989.4656350034993</v>
      </c>
      <c r="FV120" s="114">
        <v>7381.1720975262879</v>
      </c>
      <c r="FW120" s="114">
        <v>6808.0365992907045</v>
      </c>
      <c r="FX120" s="114">
        <v>13424.571990772411</v>
      </c>
      <c r="FY120" s="114">
        <v>8027.1904712198811</v>
      </c>
      <c r="FZ120" s="114">
        <v>7129.9493942569825</v>
      </c>
      <c r="GA120" s="114">
        <v>6467.3082050305175</v>
      </c>
      <c r="GB120" s="114">
        <v>3556.6417751567578</v>
      </c>
      <c r="GC120" s="114">
        <v>8278.7586170299728</v>
      </c>
      <c r="GD120" s="114">
        <v>4954.4468222770729</v>
      </c>
      <c r="GE120" s="114">
        <v>9718.8202681224757</v>
      </c>
      <c r="GF120" s="114">
        <v>18414.59312386387</v>
      </c>
      <c r="GG120" s="114">
        <v>14915.089652611174</v>
      </c>
      <c r="GH120" s="114">
        <v>14638.900840633505</v>
      </c>
      <c r="GI120" s="114">
        <v>15208.487010834342</v>
      </c>
      <c r="GJ120" s="114">
        <v>10739.299055232992</v>
      </c>
      <c r="GK120" s="114">
        <v>6927.4105969814782</v>
      </c>
      <c r="GL120" s="114">
        <v>13939.689498450534</v>
      </c>
      <c r="GM120" s="114">
        <v>6945.018732687764</v>
      </c>
      <c r="GN120" s="114">
        <v>4210.0523875436293</v>
      </c>
      <c r="GO120" s="114">
        <v>3150.2055952884748</v>
      </c>
      <c r="GP120" s="114">
        <v>2800.8445240794613</v>
      </c>
      <c r="GQ120" s="114">
        <v>6383.8846988448813</v>
      </c>
      <c r="GR120" s="114">
        <v>8874.9797389400392</v>
      </c>
      <c r="GS120" s="114">
        <v>8959.3832285153876</v>
      </c>
      <c r="GT120" s="115">
        <v>3078.5074377948204</v>
      </c>
    </row>
    <row r="121" spans="2:202" x14ac:dyDescent="0.6">
      <c r="B121" s="106" t="s">
        <v>109</v>
      </c>
      <c r="C121" s="63" t="s">
        <v>109</v>
      </c>
      <c r="D121" s="113">
        <v>13938.839343156833</v>
      </c>
      <c r="E121" s="114">
        <v>9785.048798972899</v>
      </c>
      <c r="F121" s="114">
        <v>9400.9795793645062</v>
      </c>
      <c r="G121" s="114">
        <v>12645.095625752132</v>
      </c>
      <c r="H121" s="114">
        <v>3936.2632085436126</v>
      </c>
      <c r="I121" s="114">
        <v>7413.8590946741251</v>
      </c>
      <c r="J121" s="114">
        <v>12409.724233008403</v>
      </c>
      <c r="K121" s="114">
        <v>12982.559891226229</v>
      </c>
      <c r="L121" s="114">
        <v>10165.346843846188</v>
      </c>
      <c r="M121" s="114">
        <v>12647.307041043639</v>
      </c>
      <c r="N121" s="114">
        <v>2344.4580310229371</v>
      </c>
      <c r="O121" s="114">
        <v>13990.958970810092</v>
      </c>
      <c r="P121" s="114">
        <v>15167.30174326441</v>
      </c>
      <c r="Q121" s="114">
        <v>4296.7340814640766</v>
      </c>
      <c r="R121" s="114">
        <v>10445.945558737034</v>
      </c>
      <c r="S121" s="114">
        <v>9269.8217495151239</v>
      </c>
      <c r="T121" s="114">
        <v>1162.5532826709855</v>
      </c>
      <c r="U121" s="114">
        <v>10978.408002413227</v>
      </c>
      <c r="V121" s="114">
        <v>14762.009171452679</v>
      </c>
      <c r="W121" s="114">
        <v>5194.7504502285228</v>
      </c>
      <c r="X121" s="114">
        <v>10570.579972927602</v>
      </c>
      <c r="Y121" s="114">
        <v>14310.029404360666</v>
      </c>
      <c r="Z121" s="114">
        <v>7413.2847692366913</v>
      </c>
      <c r="AA121" s="114">
        <v>7665.7164841311969</v>
      </c>
      <c r="AB121" s="114">
        <v>15445.829098459792</v>
      </c>
      <c r="AC121" s="114">
        <v>10969.275666248701</v>
      </c>
      <c r="AD121" s="114">
        <v>10365.007037229336</v>
      </c>
      <c r="AE121" s="114">
        <v>14125.505375581899</v>
      </c>
      <c r="AF121" s="114">
        <v>8002.176145844207</v>
      </c>
      <c r="AG121" s="114">
        <v>15747.500107832322</v>
      </c>
      <c r="AH121" s="114">
        <v>11818.452293367971</v>
      </c>
      <c r="AI121" s="114">
        <v>12010.701805771561</v>
      </c>
      <c r="AJ121" s="114">
        <v>3284.9186553059967</v>
      </c>
      <c r="AK121" s="114">
        <v>3626.7725091410939</v>
      </c>
      <c r="AL121" s="114">
        <v>12698.230775589445</v>
      </c>
      <c r="AM121" s="114">
        <v>11962.587094528752</v>
      </c>
      <c r="AN121" s="114">
        <v>6578.9429834878783</v>
      </c>
      <c r="AO121" s="114">
        <v>12932.183205917456</v>
      </c>
      <c r="AP121" s="114">
        <v>12524.642159266958</v>
      </c>
      <c r="AQ121" s="114">
        <v>3184.8366225450291</v>
      </c>
      <c r="AR121" s="114">
        <v>15884.421604133453</v>
      </c>
      <c r="AS121" s="114">
        <v>12727.198566262427</v>
      </c>
      <c r="AT121" s="114">
        <v>12698.240277522273</v>
      </c>
      <c r="AU121" s="114">
        <v>1944.5787970282631</v>
      </c>
      <c r="AV121" s="114">
        <v>10342.489027189486</v>
      </c>
      <c r="AW121" s="114">
        <v>10274.064346523952</v>
      </c>
      <c r="AX121" s="114">
        <v>1801.7553945499578</v>
      </c>
      <c r="AY121" s="114">
        <v>12159.555539010114</v>
      </c>
      <c r="AZ121" s="114">
        <v>9930.7269585678987</v>
      </c>
      <c r="BA121" s="114">
        <v>9530.7541613711837</v>
      </c>
      <c r="BB121" s="114">
        <v>14600.561902967498</v>
      </c>
      <c r="BC121" s="114">
        <v>4038.4139543736942</v>
      </c>
      <c r="BD121" s="114">
        <v>3105.1569235840138</v>
      </c>
      <c r="BE121" s="114">
        <v>12705.405964667212</v>
      </c>
      <c r="BF121" s="114">
        <v>3122.8357288014286</v>
      </c>
      <c r="BG121" s="114">
        <v>12379.67858457926</v>
      </c>
      <c r="BH121" s="114">
        <v>1246.4014122830331</v>
      </c>
      <c r="BI121" s="114">
        <v>11717.876910776475</v>
      </c>
      <c r="BJ121" s="114">
        <v>14007.378165678807</v>
      </c>
      <c r="BK121" s="114">
        <v>9910.4418302147642</v>
      </c>
      <c r="BL121" s="114">
        <v>14873.650364005231</v>
      </c>
      <c r="BM121" s="114">
        <v>14401.718739503131</v>
      </c>
      <c r="BN121" s="114">
        <v>9870.5128922965414</v>
      </c>
      <c r="BO121" s="114">
        <v>9217.4861641081243</v>
      </c>
      <c r="BP121" s="114">
        <v>11922.230393655951</v>
      </c>
      <c r="BQ121" s="114">
        <v>8774.5133182911723</v>
      </c>
      <c r="BR121" s="114">
        <v>12301.282943497989</v>
      </c>
      <c r="BS121" s="114">
        <v>9748.8067168548096</v>
      </c>
      <c r="BT121" s="114">
        <v>9865.3318804857136</v>
      </c>
      <c r="BU121" s="114">
        <v>9577.9626117111038</v>
      </c>
      <c r="BV121" s="114">
        <v>10755.138868417562</v>
      </c>
      <c r="BW121" s="114">
        <v>11304.843124569623</v>
      </c>
      <c r="BX121" s="114">
        <v>4069.4438924964888</v>
      </c>
      <c r="BY121" s="114">
        <v>1085.1677919189319</v>
      </c>
      <c r="BZ121" s="114">
        <v>9212.7486109922447</v>
      </c>
      <c r="CA121" s="114">
        <v>8934.3446045194542</v>
      </c>
      <c r="CB121" s="114">
        <v>4646.8394199382647</v>
      </c>
      <c r="CC121" s="114">
        <v>2830.1765262140511</v>
      </c>
      <c r="CD121" s="114">
        <v>1396.3876534567064</v>
      </c>
      <c r="CE121" s="114">
        <v>10393.568835535803</v>
      </c>
      <c r="CF121" s="114">
        <v>7490.3221646096927</v>
      </c>
      <c r="CG121" s="114">
        <v>15670.39922727243</v>
      </c>
      <c r="CH121" s="114">
        <v>14710.040386672621</v>
      </c>
      <c r="CI121" s="114">
        <v>16895.010544339224</v>
      </c>
      <c r="CJ121" s="114">
        <v>13184.880018515876</v>
      </c>
      <c r="CK121" s="114">
        <v>13012.216326193711</v>
      </c>
      <c r="CL121" s="114">
        <v>8501.0648432962462</v>
      </c>
      <c r="CM121" s="114">
        <v>6485.8510869119591</v>
      </c>
      <c r="CN121" s="114">
        <v>10260.640941410466</v>
      </c>
      <c r="CO121" s="114">
        <v>9838.3142054665568</v>
      </c>
      <c r="CP121" s="114">
        <v>2383.8331416227093</v>
      </c>
      <c r="CQ121" s="114">
        <v>11322.002106708054</v>
      </c>
      <c r="CR121" s="114">
        <v>12580.629883878408</v>
      </c>
      <c r="CS121" s="114">
        <v>12141.971884669569</v>
      </c>
      <c r="CT121" s="114">
        <v>14780.885588929692</v>
      </c>
      <c r="CU121" s="114">
        <v>13570.423815181393</v>
      </c>
      <c r="CV121" s="114">
        <v>13118.195575633519</v>
      </c>
      <c r="CW121" s="114">
        <v>15304.360097792149</v>
      </c>
      <c r="CX121" s="114">
        <v>10075.711859160931</v>
      </c>
      <c r="CY121" s="114">
        <v>12416.973014409996</v>
      </c>
      <c r="CZ121" s="114">
        <v>14512.470049517333</v>
      </c>
      <c r="DA121" s="114">
        <v>9638.769508056248</v>
      </c>
      <c r="DB121" s="114">
        <v>10799.18783454424</v>
      </c>
      <c r="DC121" s="114">
        <v>9767.1023994263105</v>
      </c>
      <c r="DD121" s="114">
        <v>10278.592983857852</v>
      </c>
      <c r="DE121" s="114">
        <v>9443.2465950904971</v>
      </c>
      <c r="DF121" s="114">
        <v>16485.642820411078</v>
      </c>
      <c r="DG121" s="114">
        <v>14943.698962679802</v>
      </c>
      <c r="DH121" s="114">
        <v>16673.282999898289</v>
      </c>
      <c r="DI121" s="114">
        <v>17303.974780718887</v>
      </c>
      <c r="DJ121" s="114">
        <v>9718.6575589912754</v>
      </c>
      <c r="DK121" s="114">
        <v>10736.382066306545</v>
      </c>
      <c r="DL121" s="114">
        <v>17543.721986334225</v>
      </c>
      <c r="DM121" s="114">
        <v>17564.674791019785</v>
      </c>
      <c r="DN121" s="114" t="s">
        <v>527</v>
      </c>
      <c r="DO121" s="114">
        <v>11002.704632055065</v>
      </c>
      <c r="DP121" s="114">
        <v>9795.359487763124</v>
      </c>
      <c r="DQ121" s="114">
        <v>12114.008802795595</v>
      </c>
      <c r="DR121" s="114">
        <v>10704.358717280607</v>
      </c>
      <c r="DS121" s="114">
        <v>9027.9387198646527</v>
      </c>
      <c r="DT121" s="114">
        <v>14997.135409316685</v>
      </c>
      <c r="DU121" s="114">
        <v>15712.464498516394</v>
      </c>
      <c r="DV121" s="114">
        <v>13416.175509228011</v>
      </c>
      <c r="DW121" s="114">
        <v>14807.20699522259</v>
      </c>
      <c r="DX121" s="114">
        <v>9218.3462796455005</v>
      </c>
      <c r="DY121" s="114">
        <v>10943.341484640934</v>
      </c>
      <c r="DZ121" s="114">
        <v>11116.543915413729</v>
      </c>
      <c r="EA121" s="114">
        <v>1592.1291410583308</v>
      </c>
      <c r="EB121" s="114">
        <v>10661.175265662101</v>
      </c>
      <c r="EC121" s="114">
        <v>11367.871888401354</v>
      </c>
      <c r="ED121" s="114">
        <v>12058.12444349868</v>
      </c>
      <c r="EE121" s="114">
        <v>10867.452378889879</v>
      </c>
      <c r="EF121" s="114">
        <v>9219.6478935888572</v>
      </c>
      <c r="EG121" s="114">
        <v>14687.166966119699</v>
      </c>
      <c r="EH121" s="114">
        <v>14887.826828067304</v>
      </c>
      <c r="EI121" s="114">
        <v>14107.936751298623</v>
      </c>
      <c r="EJ121" s="114">
        <v>2419.0645078193629</v>
      </c>
      <c r="EK121" s="114">
        <v>6686.2199310153774</v>
      </c>
      <c r="EL121" s="114">
        <v>4230.7326398426749</v>
      </c>
      <c r="EM121" s="114">
        <v>14251.013854952243</v>
      </c>
      <c r="EN121" s="114">
        <v>10205.902885210446</v>
      </c>
      <c r="EO121" s="114">
        <v>8696.2978993772431</v>
      </c>
      <c r="EP121" s="114">
        <v>14138.318329124688</v>
      </c>
      <c r="EQ121" s="114">
        <v>11032.838198908294</v>
      </c>
      <c r="ER121" s="114">
        <v>10741.877681553173</v>
      </c>
      <c r="ES121" s="114">
        <v>14147.221215117239</v>
      </c>
      <c r="ET121" s="114">
        <v>3873.4898533079459</v>
      </c>
      <c r="EU121" s="114">
        <v>4136.4215272394467</v>
      </c>
      <c r="EV121" s="114">
        <v>4106.6397594791006</v>
      </c>
      <c r="EW121" s="114">
        <v>10155.097478311724</v>
      </c>
      <c r="EX121" s="114">
        <v>11628.165465138281</v>
      </c>
      <c r="EY121" s="114">
        <v>13894.705058735077</v>
      </c>
      <c r="EZ121" s="114">
        <v>8647.9143619230672</v>
      </c>
      <c r="FA121" s="114">
        <v>10651.296570279703</v>
      </c>
      <c r="FB121" s="114">
        <v>9280.9549014217118</v>
      </c>
      <c r="FC121" s="114">
        <v>16625.992988760685</v>
      </c>
      <c r="FD121" s="114">
        <v>10220.219262275823</v>
      </c>
      <c r="FE121" s="114">
        <v>10160.059352988048</v>
      </c>
      <c r="FF121" s="114">
        <v>15462.066949496355</v>
      </c>
      <c r="FG121" s="114">
        <v>14575.432636650377</v>
      </c>
      <c r="FH121" s="114">
        <v>12124.509132518922</v>
      </c>
      <c r="FI121" s="114">
        <v>13993.220104874599</v>
      </c>
      <c r="FJ121" s="114">
        <v>9102.8374922273069</v>
      </c>
      <c r="FK121" s="114">
        <v>9504.3210713225108</v>
      </c>
      <c r="FL121" s="114">
        <v>17107.657489669095</v>
      </c>
      <c r="FM121" s="114">
        <v>13462.669967048862</v>
      </c>
      <c r="FN121" s="114">
        <v>4998.2397923412509</v>
      </c>
      <c r="FO121" s="114">
        <v>9612.4534606016514</v>
      </c>
      <c r="FP121" s="114">
        <v>9652.2323450790955</v>
      </c>
      <c r="FQ121" s="114">
        <v>12492.979871678421</v>
      </c>
      <c r="FR121" s="114">
        <v>13416.388383420101</v>
      </c>
      <c r="FS121" s="114">
        <v>13487.956992370646</v>
      </c>
      <c r="FT121" s="114">
        <v>15315.953848899631</v>
      </c>
      <c r="FU121" s="114">
        <v>15808.575885770098</v>
      </c>
      <c r="FV121" s="114">
        <v>15083.728442782574</v>
      </c>
      <c r="FW121" s="114">
        <v>10857.494631804162</v>
      </c>
      <c r="FX121" s="114">
        <v>4140.5241522378283</v>
      </c>
      <c r="FY121" s="114">
        <v>10352.795652748202</v>
      </c>
      <c r="FZ121" s="114">
        <v>11777.159269641837</v>
      </c>
      <c r="GA121" s="114">
        <v>13200.867737255727</v>
      </c>
      <c r="GB121" s="114">
        <v>14295.559485885231</v>
      </c>
      <c r="GC121" s="114">
        <v>10836.199691735896</v>
      </c>
      <c r="GD121" s="114">
        <v>14382.265579398876</v>
      </c>
      <c r="GE121" s="114">
        <v>8957.2070358624205</v>
      </c>
      <c r="GF121" s="114">
        <v>2511.1766642463358</v>
      </c>
      <c r="GG121" s="114">
        <v>3377.0832795676888</v>
      </c>
      <c r="GH121" s="114">
        <v>3683.191265457654</v>
      </c>
      <c r="GI121" s="114">
        <v>3050.6616820300073</v>
      </c>
      <c r="GJ121" s="114">
        <v>7503.3202508495315</v>
      </c>
      <c r="GK121" s="114">
        <v>13189.416131551718</v>
      </c>
      <c r="GL121" s="114">
        <v>3630.1844585341346</v>
      </c>
      <c r="GM121" s="114">
        <v>14799.725660731378</v>
      </c>
      <c r="GN121" s="114">
        <v>14455.862607089941</v>
      </c>
      <c r="GO121" s="114">
        <v>14417.388762010816</v>
      </c>
      <c r="GP121" s="114">
        <v>14763.843214013215</v>
      </c>
      <c r="GQ121" s="114">
        <v>15645.346985533224</v>
      </c>
      <c r="GR121" s="114">
        <v>13166.487222490014</v>
      </c>
      <c r="GS121" s="114">
        <v>9700.4834500966026</v>
      </c>
      <c r="GT121" s="115">
        <v>14572.164136023261</v>
      </c>
    </row>
    <row r="122" spans="2:202" x14ac:dyDescent="0.6">
      <c r="B122" s="106" t="s">
        <v>110</v>
      </c>
      <c r="C122" s="63" t="s">
        <v>548</v>
      </c>
      <c r="D122" s="113">
        <v>3629.808125249609</v>
      </c>
      <c r="E122" s="114">
        <v>2426.5578930539832</v>
      </c>
      <c r="F122" s="114">
        <v>2227.7815142715294</v>
      </c>
      <c r="G122" s="114">
        <v>6365.3261271731426</v>
      </c>
      <c r="H122" s="114">
        <v>8677.033019309476</v>
      </c>
      <c r="I122" s="114">
        <v>12784.11286900798</v>
      </c>
      <c r="J122" s="114">
        <v>1458.8825959493627</v>
      </c>
      <c r="K122" s="114">
        <v>15026.619734580951</v>
      </c>
      <c r="L122" s="114">
        <v>955.52833564199193</v>
      </c>
      <c r="M122" s="114">
        <v>1817.9325294067819</v>
      </c>
      <c r="N122" s="114">
        <v>9120.4817439260078</v>
      </c>
      <c r="O122" s="114">
        <v>2991.3761409792191</v>
      </c>
      <c r="P122" s="114">
        <v>5984.0451784644147</v>
      </c>
      <c r="Q122" s="114">
        <v>8812.6585485313008</v>
      </c>
      <c r="R122" s="114">
        <v>732.25954975377226</v>
      </c>
      <c r="S122" s="114">
        <v>1839.4606672659731</v>
      </c>
      <c r="T122" s="114">
        <v>10526.370773378047</v>
      </c>
      <c r="U122" s="114">
        <v>5188.6173544970961</v>
      </c>
      <c r="V122" s="114">
        <v>5639.460587232239</v>
      </c>
      <c r="W122" s="114">
        <v>11838.598092432348</v>
      </c>
      <c r="X122" s="114">
        <v>915.13598359051332</v>
      </c>
      <c r="Y122" s="114">
        <v>7952.9342053894961</v>
      </c>
      <c r="Z122" s="114">
        <v>10875.851761841212</v>
      </c>
      <c r="AA122" s="114">
        <v>10588.154983202756</v>
      </c>
      <c r="AB122" s="114">
        <v>9347.2810457195519</v>
      </c>
      <c r="AC122" s="114">
        <v>675.89910725620905</v>
      </c>
      <c r="AD122" s="114">
        <v>4791.3594735504921</v>
      </c>
      <c r="AE122" s="114">
        <v>5578.7910783251118</v>
      </c>
      <c r="AF122" s="114">
        <v>5961.985171684847</v>
      </c>
      <c r="AG122" s="114">
        <v>8002.3638786504762</v>
      </c>
      <c r="AH122" s="114">
        <v>5119.6635334776447</v>
      </c>
      <c r="AI122" s="114">
        <v>5123.4580250094932</v>
      </c>
      <c r="AJ122" s="114">
        <v>7723.4367659127038</v>
      </c>
      <c r="AK122" s="114">
        <v>7376.9498754985989</v>
      </c>
      <c r="AL122" s="114">
        <v>4863.1152565402617</v>
      </c>
      <c r="AM122" s="114">
        <v>4105.4277251062331</v>
      </c>
      <c r="AN122" s="114">
        <v>13290.292733003944</v>
      </c>
      <c r="AO122" s="114">
        <v>7710.5848405463375</v>
      </c>
      <c r="AP122" s="114">
        <v>6743.5204007219263</v>
      </c>
      <c r="AQ122" s="114">
        <v>10620.208165644441</v>
      </c>
      <c r="AR122" s="114">
        <v>6648.6416151583271</v>
      </c>
      <c r="AS122" s="114">
        <v>5861.4953784707377</v>
      </c>
      <c r="AT122" s="114">
        <v>5839.9716657361541</v>
      </c>
      <c r="AU122" s="114">
        <v>10903.189406704601</v>
      </c>
      <c r="AV122" s="114">
        <v>5597.506534047302</v>
      </c>
      <c r="AW122" s="114">
        <v>1033.7431599364756</v>
      </c>
      <c r="AX122" s="114">
        <v>9618.0608682938</v>
      </c>
      <c r="AY122" s="114">
        <v>1373.9124783742111</v>
      </c>
      <c r="AZ122" s="114">
        <v>1127.8761269191107</v>
      </c>
      <c r="BA122" s="114">
        <v>1475.8879445724792</v>
      </c>
      <c r="BB122" s="114">
        <v>4187.2437019230938</v>
      </c>
      <c r="BC122" s="114">
        <v>8785.7964471593823</v>
      </c>
      <c r="BD122" s="114">
        <v>9147.9983545408959</v>
      </c>
      <c r="BE122" s="114">
        <v>5851.2684389966862</v>
      </c>
      <c r="BF122" s="114">
        <v>11314.488616864768</v>
      </c>
      <c r="BG122" s="114">
        <v>1900.4946071674842</v>
      </c>
      <c r="BH122" s="114">
        <v>10912.154806585335</v>
      </c>
      <c r="BI122" s="114">
        <v>5225.1958026985285</v>
      </c>
      <c r="BJ122" s="114">
        <v>3650.0567497736693</v>
      </c>
      <c r="BK122" s="114">
        <v>1388.0520623295961</v>
      </c>
      <c r="BL122" s="114">
        <v>8141.4034895942696</v>
      </c>
      <c r="BM122" s="114">
        <v>4320.1573996189236</v>
      </c>
      <c r="BN122" s="114">
        <v>1482.1808639771343</v>
      </c>
      <c r="BO122" s="114">
        <v>1989.9897478203588</v>
      </c>
      <c r="BP122" s="114">
        <v>5536.9396275311819</v>
      </c>
      <c r="BQ122" s="114">
        <v>5623.2496512523885</v>
      </c>
      <c r="BR122" s="114">
        <v>1388.6143855191865</v>
      </c>
      <c r="BS122" s="114">
        <v>1264.9441215090681</v>
      </c>
      <c r="BT122" s="114">
        <v>1299.6928182919169</v>
      </c>
      <c r="BU122" s="114">
        <v>1519.6139516294425</v>
      </c>
      <c r="BV122" s="114">
        <v>5394.7073047833583</v>
      </c>
      <c r="BW122" s="114">
        <v>1138.2151078405529</v>
      </c>
      <c r="BX122" s="114">
        <v>9076.222406040346</v>
      </c>
      <c r="BY122" s="114">
        <v>10896.773606679184</v>
      </c>
      <c r="BZ122" s="114">
        <v>5784.4800614383184</v>
      </c>
      <c r="CA122" s="114">
        <v>5719.4209119754632</v>
      </c>
      <c r="CB122" s="114">
        <v>9251.0991172533977</v>
      </c>
      <c r="CC122" s="114">
        <v>9326.274813144697</v>
      </c>
      <c r="CD122" s="114">
        <v>10725.333075716393</v>
      </c>
      <c r="CE122" s="114">
        <v>742.29115206518486</v>
      </c>
      <c r="CF122" s="114">
        <v>3562.156323977355</v>
      </c>
      <c r="CG122" s="114">
        <v>5045.6458679007419</v>
      </c>
      <c r="CH122" s="114">
        <v>4633.7941251664279</v>
      </c>
      <c r="CI122" s="114">
        <v>9569.3295825297228</v>
      </c>
      <c r="CJ122" s="114">
        <v>2262.0474769948678</v>
      </c>
      <c r="CK122" s="114">
        <v>2012.7663182657225</v>
      </c>
      <c r="CL122" s="114">
        <v>2561.7192768862596</v>
      </c>
      <c r="CM122" s="114">
        <v>5590.3743666790806</v>
      </c>
      <c r="CN122" s="114">
        <v>1449.1819237369048</v>
      </c>
      <c r="CO122" s="114">
        <v>1518.7927612465089</v>
      </c>
      <c r="CP122" s="114">
        <v>9661.9159667379336</v>
      </c>
      <c r="CQ122" s="114">
        <v>8534.6777194841852</v>
      </c>
      <c r="CR122" s="114">
        <v>1808.24354775183</v>
      </c>
      <c r="CS122" s="114">
        <v>3081.6327620976222</v>
      </c>
      <c r="CT122" s="114">
        <v>5408.6567205625661</v>
      </c>
      <c r="CU122" s="114">
        <v>2569.8039420347427</v>
      </c>
      <c r="CV122" s="114">
        <v>3581.6877806240468</v>
      </c>
      <c r="CW122" s="114">
        <v>7342.308176238369</v>
      </c>
      <c r="CX122" s="114">
        <v>1107.8455487272902</v>
      </c>
      <c r="CY122" s="114">
        <v>1594.2092823074718</v>
      </c>
      <c r="CZ122" s="114">
        <v>8473.451687246752</v>
      </c>
      <c r="DA122" s="114">
        <v>5883.2369764809728</v>
      </c>
      <c r="DB122" s="114">
        <v>2096.4733096014538</v>
      </c>
      <c r="DC122" s="114">
        <v>1477.7517998780402</v>
      </c>
      <c r="DD122" s="114">
        <v>859.0347062347779</v>
      </c>
      <c r="DE122" s="114">
        <v>1701.7700406816464</v>
      </c>
      <c r="DF122" s="114">
        <v>7520.5768436669396</v>
      </c>
      <c r="DG122" s="114">
        <v>6799.6791462581623</v>
      </c>
      <c r="DH122" s="114">
        <v>8438.7283702140194</v>
      </c>
      <c r="DI122" s="114">
        <v>6396.8964616054991</v>
      </c>
      <c r="DJ122" s="114">
        <v>5135.1197597572091</v>
      </c>
      <c r="DK122" s="114">
        <v>1756.7489651027265</v>
      </c>
      <c r="DL122" s="114">
        <v>7988.0709400730093</v>
      </c>
      <c r="DM122" s="114">
        <v>8001.6532459401715</v>
      </c>
      <c r="DN122" s="114">
        <v>11002.704632055065</v>
      </c>
      <c r="DO122" s="114" t="s">
        <v>237</v>
      </c>
      <c r="DP122" s="114">
        <v>1707.9361279444183</v>
      </c>
      <c r="DQ122" s="114">
        <v>5603.602400663407</v>
      </c>
      <c r="DR122" s="114">
        <v>911.88101867093883</v>
      </c>
      <c r="DS122" s="114">
        <v>3308.3108728570051</v>
      </c>
      <c r="DT122" s="114">
        <v>8079.1629036794247</v>
      </c>
      <c r="DU122" s="114">
        <v>6968.530535705796</v>
      </c>
      <c r="DV122" s="114">
        <v>7803.3901752907241</v>
      </c>
      <c r="DW122" s="114">
        <v>5307.4754883068508</v>
      </c>
      <c r="DX122" s="114">
        <v>1835.5899959546593</v>
      </c>
      <c r="DY122" s="114">
        <v>17006.953038261334</v>
      </c>
      <c r="DZ122" s="114">
        <v>17212.31684472191</v>
      </c>
      <c r="EA122" s="114">
        <v>10835.868031707187</v>
      </c>
      <c r="EB122" s="114">
        <v>4504.8694860505575</v>
      </c>
      <c r="EC122" s="114">
        <v>4686.8612804258555</v>
      </c>
      <c r="ED122" s="114">
        <v>7372.5459075743656</v>
      </c>
      <c r="EE122" s="114">
        <v>819.48514527944815</v>
      </c>
      <c r="EF122" s="114">
        <v>1842.9048598809179</v>
      </c>
      <c r="EG122" s="114">
        <v>3712.702468904869</v>
      </c>
      <c r="EH122" s="114">
        <v>4163.6922055338209</v>
      </c>
      <c r="EI122" s="114">
        <v>3986.7237072554026</v>
      </c>
      <c r="EJ122" s="114">
        <v>10613.425913571356</v>
      </c>
      <c r="EK122" s="114">
        <v>11742.589531734557</v>
      </c>
      <c r="EL122" s="114">
        <v>12179.844167149227</v>
      </c>
      <c r="EM122" s="114">
        <v>9001.2488030593686</v>
      </c>
      <c r="EN122" s="114">
        <v>802.64464754444339</v>
      </c>
      <c r="EO122" s="114">
        <v>3209.9134391966641</v>
      </c>
      <c r="EP122" s="114">
        <v>3137.538949174088</v>
      </c>
      <c r="EQ122" s="114">
        <v>372.80940683191676</v>
      </c>
      <c r="ER122" s="114">
        <v>1144.6056420567452</v>
      </c>
      <c r="ES122" s="114">
        <v>5405.3487087344574</v>
      </c>
      <c r="ET122" s="114">
        <v>8716.7031482287457</v>
      </c>
      <c r="EU122" s="114">
        <v>8830.9575226938487</v>
      </c>
      <c r="EV122" s="114">
        <v>8943.6810094389893</v>
      </c>
      <c r="EW122" s="114">
        <v>1348.929481708311</v>
      </c>
      <c r="EX122" s="114">
        <v>5654.2401628676134</v>
      </c>
      <c r="EY122" s="114">
        <v>2955.9144431807008</v>
      </c>
      <c r="EZ122" s="114">
        <v>5592.8638175562737</v>
      </c>
      <c r="FA122" s="114">
        <v>715.17997406944392</v>
      </c>
      <c r="FB122" s="114">
        <v>5853.9230632849349</v>
      </c>
      <c r="FC122" s="114">
        <v>8762.4079884765379</v>
      </c>
      <c r="FD122" s="114">
        <v>892.39147212073033</v>
      </c>
      <c r="FE122" s="114">
        <v>1115.5230309786475</v>
      </c>
      <c r="FF122" s="114">
        <v>5247.4981227022672</v>
      </c>
      <c r="FG122" s="114">
        <v>8056.4747191632405</v>
      </c>
      <c r="FH122" s="114">
        <v>7583.9421224021635</v>
      </c>
      <c r="FI122" s="114">
        <v>4695.0963090858249</v>
      </c>
      <c r="FJ122" s="114">
        <v>2685.7712862695544</v>
      </c>
      <c r="FK122" s="114">
        <v>2205.5773070572623</v>
      </c>
      <c r="FL122" s="114">
        <v>6566.5522346209718</v>
      </c>
      <c r="FM122" s="114">
        <v>3539.6626852982727</v>
      </c>
      <c r="FN122" s="114">
        <v>9103.1290211203868</v>
      </c>
      <c r="FO122" s="114">
        <v>1531.8870228268411</v>
      </c>
      <c r="FP122" s="114">
        <v>1638.7402984909941</v>
      </c>
      <c r="FQ122" s="114">
        <v>1644.6271186925176</v>
      </c>
      <c r="FR122" s="114">
        <v>8196.8508690732306</v>
      </c>
      <c r="FS122" s="114">
        <v>3340.0070566271734</v>
      </c>
      <c r="FT122" s="114">
        <v>6072.3456218860065</v>
      </c>
      <c r="FU122" s="114">
        <v>7515.4399224773515</v>
      </c>
      <c r="FV122" s="114">
        <v>11167.754505202094</v>
      </c>
      <c r="FW122" s="114">
        <v>5259.922967330308</v>
      </c>
      <c r="FX122" s="114">
        <v>9170.7403213077232</v>
      </c>
      <c r="FY122" s="114">
        <v>1937.3306475821971</v>
      </c>
      <c r="FZ122" s="114">
        <v>878.95534051913103</v>
      </c>
      <c r="GA122" s="114">
        <v>2534.0578298740675</v>
      </c>
      <c r="GB122" s="114">
        <v>5215.7936841667579</v>
      </c>
      <c r="GC122" s="114">
        <v>380.26096407627057</v>
      </c>
      <c r="GD122" s="114">
        <v>3381.0756554979744</v>
      </c>
      <c r="GE122" s="114">
        <v>2141.3228728402451</v>
      </c>
      <c r="GF122" s="114">
        <v>10420.596851877721</v>
      </c>
      <c r="GG122" s="114">
        <v>7647.6471852153254</v>
      </c>
      <c r="GH122" s="114">
        <v>7343.7294195586946</v>
      </c>
      <c r="GI122" s="114">
        <v>7971.323884790344</v>
      </c>
      <c r="GJ122" s="114">
        <v>12388.516452911304</v>
      </c>
      <c r="GK122" s="114">
        <v>3239.7340837310644</v>
      </c>
      <c r="GL122" s="114">
        <v>9577.2111902081997</v>
      </c>
      <c r="GM122" s="114">
        <v>7317.3549351027204</v>
      </c>
      <c r="GN122" s="114">
        <v>3792.8226974000377</v>
      </c>
      <c r="GO122" s="114">
        <v>6926.7446765775203</v>
      </c>
      <c r="GP122" s="114">
        <v>7168.7091736887878</v>
      </c>
      <c r="GQ122" s="114">
        <v>8204.2483034366196</v>
      </c>
      <c r="GR122" s="114">
        <v>14969.818615511293</v>
      </c>
      <c r="GS122" s="114">
        <v>1531.700746799881</v>
      </c>
      <c r="GT122" s="115">
        <v>8141.0631514584338</v>
      </c>
    </row>
    <row r="123" spans="2:202" x14ac:dyDescent="0.6">
      <c r="B123" s="106" t="s">
        <v>111</v>
      </c>
      <c r="C123" s="63" t="s">
        <v>111</v>
      </c>
      <c r="D123" s="113">
        <v>5307.8168219413519</v>
      </c>
      <c r="E123" s="114">
        <v>893.44774876034455</v>
      </c>
      <c r="F123" s="114">
        <v>520.89773073784932</v>
      </c>
      <c r="G123" s="114">
        <v>5837.322020178236</v>
      </c>
      <c r="H123" s="114">
        <v>7048.111152116031</v>
      </c>
      <c r="I123" s="114">
        <v>11197.929111418245</v>
      </c>
      <c r="J123" s="114">
        <v>3052.9987063593517</v>
      </c>
      <c r="K123" s="114">
        <v>16704.46736842188</v>
      </c>
      <c r="L123" s="114">
        <v>835.87963031864024</v>
      </c>
      <c r="M123" s="114">
        <v>3464.4030865808741</v>
      </c>
      <c r="N123" s="114">
        <v>7701.8962662826989</v>
      </c>
      <c r="O123" s="114">
        <v>4311.2545644886686</v>
      </c>
      <c r="P123" s="114">
        <v>7677.7719189205309</v>
      </c>
      <c r="Q123" s="114">
        <v>7145.7520134608558</v>
      </c>
      <c r="R123" s="114">
        <v>1810.8835522792062</v>
      </c>
      <c r="S123" s="114">
        <v>791.07189381294199</v>
      </c>
      <c r="T123" s="114">
        <v>9142.5085168023434</v>
      </c>
      <c r="U123" s="114">
        <v>4199.3109702548736</v>
      </c>
      <c r="V123" s="114">
        <v>7342.1495274394083</v>
      </c>
      <c r="W123" s="114">
        <v>10131.505116852917</v>
      </c>
      <c r="X123" s="114">
        <v>871.80536947632356</v>
      </c>
      <c r="Y123" s="114">
        <v>7805.1431132173248</v>
      </c>
      <c r="Z123" s="114">
        <v>9290.0115484703001</v>
      </c>
      <c r="AA123" s="114">
        <v>9026.6828611320361</v>
      </c>
      <c r="AB123" s="114">
        <v>11050.700549331379</v>
      </c>
      <c r="AC123" s="114">
        <v>1286.9370996661696</v>
      </c>
      <c r="AD123" s="114">
        <v>3610.6486616922748</v>
      </c>
      <c r="AE123" s="114">
        <v>5649.6682752021597</v>
      </c>
      <c r="AF123" s="114">
        <v>4319.9116783762029</v>
      </c>
      <c r="AG123" s="114">
        <v>9698.0125105280986</v>
      </c>
      <c r="AH123" s="114">
        <v>4419.0282056592869</v>
      </c>
      <c r="AI123" s="114">
        <v>4490.9660410493625</v>
      </c>
      <c r="AJ123" s="114">
        <v>6623.0358596357864</v>
      </c>
      <c r="AK123" s="114">
        <v>6262.8772925197372</v>
      </c>
      <c r="AL123" s="114">
        <v>4522.3388645360701</v>
      </c>
      <c r="AM123" s="114">
        <v>3584.4780389217353</v>
      </c>
      <c r="AN123" s="114">
        <v>11627.393452435988</v>
      </c>
      <c r="AO123" s="114">
        <v>9326.2157662399241</v>
      </c>
      <c r="AP123" s="114">
        <v>8325.7528776259933</v>
      </c>
      <c r="AQ123" s="114">
        <v>8985.4398500486004</v>
      </c>
      <c r="AR123" s="114">
        <v>7117.3424547954228</v>
      </c>
      <c r="AS123" s="114">
        <v>5402.8493249641733</v>
      </c>
      <c r="AT123" s="114">
        <v>5373.8490723745308</v>
      </c>
      <c r="AU123" s="114">
        <v>9390.2391395576251</v>
      </c>
      <c r="AV123" s="114">
        <v>4413.8932468187613</v>
      </c>
      <c r="AW123" s="114">
        <v>674.193862469387</v>
      </c>
      <c r="AX123" s="114">
        <v>8231.6561836769251</v>
      </c>
      <c r="AY123" s="114">
        <v>2404.5409687008532</v>
      </c>
      <c r="AZ123" s="114">
        <v>870.51844059631503</v>
      </c>
      <c r="BA123" s="114">
        <v>1344.5007427637081</v>
      </c>
      <c r="BB123" s="114">
        <v>4929.8378367225159</v>
      </c>
      <c r="BC123" s="114">
        <v>7140.7796545827205</v>
      </c>
      <c r="BD123" s="114">
        <v>7584.4954399301259</v>
      </c>
      <c r="BE123" s="114">
        <v>5386.4086550938937</v>
      </c>
      <c r="BF123" s="114">
        <v>9679.7756154793915</v>
      </c>
      <c r="BG123" s="114">
        <v>2588.3852972157961</v>
      </c>
      <c r="BH123" s="114">
        <v>9495.0179991776167</v>
      </c>
      <c r="BI123" s="114">
        <v>4481.1171004563739</v>
      </c>
      <c r="BJ123" s="114">
        <v>4327.5979816116214</v>
      </c>
      <c r="BK123" s="114">
        <v>2074.4604264195482</v>
      </c>
      <c r="BL123" s="114">
        <v>8139.8896596049781</v>
      </c>
      <c r="BM123" s="114">
        <v>4885.8792380687319</v>
      </c>
      <c r="BN123" s="114">
        <v>2172.6518131763673</v>
      </c>
      <c r="BO123" s="114">
        <v>664.86033188076817</v>
      </c>
      <c r="BP123" s="114">
        <v>4839.1198892578132</v>
      </c>
      <c r="BQ123" s="114">
        <v>4077.644618310741</v>
      </c>
      <c r="BR123" s="114">
        <v>3020.8484178502099</v>
      </c>
      <c r="BS123" s="114">
        <v>1045.1340114575232</v>
      </c>
      <c r="BT123" s="114">
        <v>584.92427611701726</v>
      </c>
      <c r="BU123" s="114">
        <v>714.9664540873722</v>
      </c>
      <c r="BV123" s="114">
        <v>4331.0893836606865</v>
      </c>
      <c r="BW123" s="114">
        <v>1512.5360692729876</v>
      </c>
      <c r="BX123" s="114">
        <v>7416.1438915405497</v>
      </c>
      <c r="BY123" s="114">
        <v>9504.717255634152</v>
      </c>
      <c r="BZ123" s="114">
        <v>4331.4250158267359</v>
      </c>
      <c r="CA123" s="114">
        <v>4208.0876728143221</v>
      </c>
      <c r="CB123" s="114">
        <v>7555.4730913382109</v>
      </c>
      <c r="CC123" s="114">
        <v>7785.8312165600919</v>
      </c>
      <c r="CD123" s="114">
        <v>9292.0861105625972</v>
      </c>
      <c r="CE123" s="114">
        <v>986.8989333983061</v>
      </c>
      <c r="CF123" s="114">
        <v>2903.152731385037</v>
      </c>
      <c r="CG123" s="114">
        <v>6601.2685760954182</v>
      </c>
      <c r="CH123" s="114">
        <v>6304.824822626776</v>
      </c>
      <c r="CI123" s="114">
        <v>11195.791485547797</v>
      </c>
      <c r="CJ123" s="114">
        <v>3824.016746520731</v>
      </c>
      <c r="CK123" s="114">
        <v>3384.4663623329302</v>
      </c>
      <c r="CL123" s="114">
        <v>1448.082836473026</v>
      </c>
      <c r="CM123" s="114">
        <v>3922.4622174850515</v>
      </c>
      <c r="CN123" s="114">
        <v>466.94183310990582</v>
      </c>
      <c r="CO123" s="114">
        <v>237.39169938400727</v>
      </c>
      <c r="CP123" s="114">
        <v>8157.1806239833986</v>
      </c>
      <c r="CQ123" s="114">
        <v>9956.2948786228935</v>
      </c>
      <c r="CR123" s="114">
        <v>2799.5844329767915</v>
      </c>
      <c r="CS123" s="114">
        <v>4720.5765680512004</v>
      </c>
      <c r="CT123" s="114">
        <v>5768.6467649612559</v>
      </c>
      <c r="CU123" s="114">
        <v>3916.5960471125604</v>
      </c>
      <c r="CV123" s="114">
        <v>5285.6716225850523</v>
      </c>
      <c r="CW123" s="114">
        <v>9046.4601110785607</v>
      </c>
      <c r="CX123" s="114">
        <v>1842.6627090719726</v>
      </c>
      <c r="CY123" s="114">
        <v>2657.83866904054</v>
      </c>
      <c r="CZ123" s="114">
        <v>8357.16135774543</v>
      </c>
      <c r="DA123" s="114">
        <v>4527.1094449113307</v>
      </c>
      <c r="DB123" s="114">
        <v>1343.8877689590372</v>
      </c>
      <c r="DC123" s="114">
        <v>399.62411318394442</v>
      </c>
      <c r="DD123" s="114">
        <v>1744.7273701894458</v>
      </c>
      <c r="DE123" s="114">
        <v>634.43734270766208</v>
      </c>
      <c r="DF123" s="114">
        <v>8028.5836405497557</v>
      </c>
      <c r="DG123" s="114">
        <v>6944.0073902901158</v>
      </c>
      <c r="DH123" s="114">
        <v>10088.771005359196</v>
      </c>
      <c r="DI123" s="114">
        <v>7776.7217258485316</v>
      </c>
      <c r="DJ123" s="114">
        <v>3774.2569314970051</v>
      </c>
      <c r="DK123" s="114">
        <v>1084.7480857356315</v>
      </c>
      <c r="DL123" s="114">
        <v>8726.8681761061798</v>
      </c>
      <c r="DM123" s="114">
        <v>8744.2714045827197</v>
      </c>
      <c r="DN123" s="114">
        <v>9795.359487763124</v>
      </c>
      <c r="DO123" s="114">
        <v>1707.9361279444183</v>
      </c>
      <c r="DP123" s="114" t="s">
        <v>237</v>
      </c>
      <c r="DQ123" s="114">
        <v>7152.4788188865559</v>
      </c>
      <c r="DR123" s="114">
        <v>971.27345709477402</v>
      </c>
      <c r="DS123" s="114">
        <v>1636.6508967008133</v>
      </c>
      <c r="DT123" s="114">
        <v>8115.5868507577916</v>
      </c>
      <c r="DU123" s="114">
        <v>8655.7590949003334</v>
      </c>
      <c r="DV123" s="114">
        <v>7413.9727645886014</v>
      </c>
      <c r="DW123" s="114">
        <v>7001.8915460118251</v>
      </c>
      <c r="DX123" s="114">
        <v>968.11514899086717</v>
      </c>
      <c r="DY123" s="114">
        <v>18699.882355060785</v>
      </c>
      <c r="DZ123" s="114">
        <v>18911.074248011195</v>
      </c>
      <c r="EA123" s="114">
        <v>9370.7633591745871</v>
      </c>
      <c r="EB123" s="114">
        <v>3426.4342754550098</v>
      </c>
      <c r="EC123" s="114">
        <v>3857.1874039775166</v>
      </c>
      <c r="ED123" s="114">
        <v>8894.9767709143962</v>
      </c>
      <c r="EE123" s="114">
        <v>1142.2935196488972</v>
      </c>
      <c r="EF123" s="114">
        <v>1770.0631154632315</v>
      </c>
      <c r="EG123" s="114">
        <v>5136.628308282654</v>
      </c>
      <c r="EH123" s="114">
        <v>5729.1351799543609</v>
      </c>
      <c r="EI123" s="114">
        <v>5673.2583599259842</v>
      </c>
      <c r="EJ123" s="114">
        <v>9051.1879879782518</v>
      </c>
      <c r="EK123" s="114">
        <v>10096.236666315699</v>
      </c>
      <c r="EL123" s="114">
        <v>10486.340615462341</v>
      </c>
      <c r="EM123" s="114">
        <v>10696.667888535971</v>
      </c>
      <c r="EN123" s="114">
        <v>1371.9704132356082</v>
      </c>
      <c r="EO123" s="114">
        <v>1502.6241179571912</v>
      </c>
      <c r="EP123" s="114">
        <v>4459.4278825261881</v>
      </c>
      <c r="EQ123" s="114">
        <v>1491.6269076968081</v>
      </c>
      <c r="ER123" s="114">
        <v>2517.6649891047318</v>
      </c>
      <c r="ES123" s="114">
        <v>5520.3848462136866</v>
      </c>
      <c r="ET123" s="114">
        <v>7091.862063013883</v>
      </c>
      <c r="EU123" s="114">
        <v>7175.4611106806587</v>
      </c>
      <c r="EV123" s="114">
        <v>7285.842107208211</v>
      </c>
      <c r="EW123" s="114">
        <v>392.80132061276635</v>
      </c>
      <c r="EX123" s="114">
        <v>4853.4559913970897</v>
      </c>
      <c r="EY123" s="114">
        <v>4130.9675407213608</v>
      </c>
      <c r="EZ123" s="114">
        <v>4023.6485335864891</v>
      </c>
      <c r="FA123" s="114">
        <v>1035.7514444866622</v>
      </c>
      <c r="FB123" s="114">
        <v>4417.9266453321552</v>
      </c>
      <c r="FC123" s="114">
        <v>10416.462678753163</v>
      </c>
      <c r="FD123" s="114">
        <v>888.87746563971996</v>
      </c>
      <c r="FE123" s="114">
        <v>600.91176624642367</v>
      </c>
      <c r="FF123" s="114">
        <v>5949.8331348281708</v>
      </c>
      <c r="FG123" s="114">
        <v>7976.9296099212306</v>
      </c>
      <c r="FH123" s="114">
        <v>9113.9753236379947</v>
      </c>
      <c r="FI123" s="114">
        <v>4929.133218703796</v>
      </c>
      <c r="FJ123" s="114">
        <v>977.83759028367558</v>
      </c>
      <c r="FK123" s="114">
        <v>503.27726565355795</v>
      </c>
      <c r="FL123" s="114">
        <v>8067.5804206404873</v>
      </c>
      <c r="FM123" s="114">
        <v>3943.1451711443738</v>
      </c>
      <c r="FN123" s="114">
        <v>7399.1798540122645</v>
      </c>
      <c r="FO123" s="114">
        <v>1864.3170292722075</v>
      </c>
      <c r="FP123" s="114">
        <v>315.06348767789444</v>
      </c>
      <c r="FQ123" s="114">
        <v>2739.2913320476387</v>
      </c>
      <c r="FR123" s="114">
        <v>9849.4485826481632</v>
      </c>
      <c r="FS123" s="114">
        <v>5039.9992410288523</v>
      </c>
      <c r="FT123" s="114">
        <v>6468.8674084998556</v>
      </c>
      <c r="FU123" s="114">
        <v>9205.4842501713483</v>
      </c>
      <c r="FV123" s="114">
        <v>12867.387016810177</v>
      </c>
      <c r="FW123" s="114">
        <v>4230.2921545234867</v>
      </c>
      <c r="FX123" s="114">
        <v>7502.5281630745294</v>
      </c>
      <c r="FY123" s="114">
        <v>836.50493620536565</v>
      </c>
      <c r="FZ123" s="114">
        <v>2128.6895378328941</v>
      </c>
      <c r="GA123" s="114">
        <v>4193.9719364294642</v>
      </c>
      <c r="GB123" s="114">
        <v>5433.139888915769</v>
      </c>
      <c r="GC123" s="114">
        <v>1870.3694035854398</v>
      </c>
      <c r="GD123" s="114">
        <v>4745.660424464465</v>
      </c>
      <c r="GE123" s="114">
        <v>1015.1629182289487</v>
      </c>
      <c r="GF123" s="114">
        <v>9764.8632275171967</v>
      </c>
      <c r="GG123" s="114">
        <v>6429.4472847923116</v>
      </c>
      <c r="GH123" s="114">
        <v>6124.6870874400356</v>
      </c>
      <c r="GI123" s="114">
        <v>6754.8923441959696</v>
      </c>
      <c r="GJ123" s="114">
        <v>10813.936527068148</v>
      </c>
      <c r="GK123" s="114">
        <v>4947.481682371259</v>
      </c>
      <c r="GL123" s="114">
        <v>7933.2580869577823</v>
      </c>
      <c r="GM123" s="114">
        <v>9025.0342793876971</v>
      </c>
      <c r="GN123" s="114">
        <v>4687.4698114434686</v>
      </c>
      <c r="GO123" s="114">
        <v>6893.0337121993152</v>
      </c>
      <c r="GP123" s="114">
        <v>7213.6939059533006</v>
      </c>
      <c r="GQ123" s="114">
        <v>9903.6403858023241</v>
      </c>
      <c r="GR123" s="114">
        <v>16626.935810149509</v>
      </c>
      <c r="GS123" s="114">
        <v>413.82388306413617</v>
      </c>
      <c r="GT123" s="115">
        <v>8056.045818577044</v>
      </c>
    </row>
    <row r="124" spans="2:202" x14ac:dyDescent="0.6">
      <c r="B124" s="106" t="s">
        <v>112</v>
      </c>
      <c r="C124" s="63" t="s">
        <v>549</v>
      </c>
      <c r="D124" s="113">
        <v>3467.1139329877656</v>
      </c>
      <c r="E124" s="114">
        <v>7988.2326314093707</v>
      </c>
      <c r="F124" s="114">
        <v>7617.8170039260231</v>
      </c>
      <c r="G124" s="114">
        <v>10987.897055153646</v>
      </c>
      <c r="H124" s="114">
        <v>12696.756042684363</v>
      </c>
      <c r="I124" s="114">
        <v>18336.347323102833</v>
      </c>
      <c r="J124" s="114">
        <v>4942.0826380392673</v>
      </c>
      <c r="K124" s="114">
        <v>10096.138107131579</v>
      </c>
      <c r="L124" s="114">
        <v>6318.9100442006684</v>
      </c>
      <c r="M124" s="114">
        <v>4549.5250898466165</v>
      </c>
      <c r="N124" s="114">
        <v>11890.615288676305</v>
      </c>
      <c r="O124" s="114">
        <v>5435.0426935441164</v>
      </c>
      <c r="P124" s="114">
        <v>3096.1776591880607</v>
      </c>
      <c r="Q124" s="114">
        <v>13099.253925347903</v>
      </c>
      <c r="R124" s="114">
        <v>5341.9597213219458</v>
      </c>
      <c r="S124" s="114">
        <v>6824.8103420871221</v>
      </c>
      <c r="T124" s="114">
        <v>12619.338997911917</v>
      </c>
      <c r="U124" s="114">
        <v>10557.661343912623</v>
      </c>
      <c r="V124" s="114">
        <v>2746.1924438796382</v>
      </c>
      <c r="W124" s="114">
        <v>16458.506502900553</v>
      </c>
      <c r="X124" s="114">
        <v>6505.0640578955627</v>
      </c>
      <c r="Y124" s="114">
        <v>11390.956774139091</v>
      </c>
      <c r="Z124" s="114">
        <v>16440.313546114045</v>
      </c>
      <c r="AA124" s="114">
        <v>16177.339306440428</v>
      </c>
      <c r="AB124" s="114">
        <v>4887.1987757596908</v>
      </c>
      <c r="AC124" s="114">
        <v>6258.5957761305854</v>
      </c>
      <c r="AD124" s="114">
        <v>10317.347999176171</v>
      </c>
      <c r="AE124" s="114">
        <v>9361.7533045934815</v>
      </c>
      <c r="AF124" s="114">
        <v>11459.480568718061</v>
      </c>
      <c r="AG124" s="114">
        <v>4075.0077435448266</v>
      </c>
      <c r="AH124" s="114">
        <v>10208.580724494464</v>
      </c>
      <c r="AI124" s="114">
        <v>10132.403113355531</v>
      </c>
      <c r="AJ124" s="114">
        <v>9808.522874012966</v>
      </c>
      <c r="AK124" s="114">
        <v>9650.1916649438754</v>
      </c>
      <c r="AL124" s="114">
        <v>9552.0012798013813</v>
      </c>
      <c r="AM124" s="114">
        <v>9183.6435318053227</v>
      </c>
      <c r="AN124" s="114">
        <v>18367.25558178643</v>
      </c>
      <c r="AO124" s="114">
        <v>2227.9782995643386</v>
      </c>
      <c r="AP124" s="114">
        <v>1190.8891088674491</v>
      </c>
      <c r="AQ124" s="114">
        <v>14203.214645297672</v>
      </c>
      <c r="AR124" s="114">
        <v>9088.472973891734</v>
      </c>
      <c r="AS124" s="114">
        <v>10484.053848422427</v>
      </c>
      <c r="AT124" s="114">
        <v>10478.904545466126</v>
      </c>
      <c r="AU124" s="114">
        <v>13534.254639976449</v>
      </c>
      <c r="AV124" s="114">
        <v>11091.715644157599</v>
      </c>
      <c r="AW124" s="114">
        <v>6535.3450710103079</v>
      </c>
      <c r="AX124" s="114">
        <v>12067.460148445609</v>
      </c>
      <c r="AY124" s="114">
        <v>6058.1410543183356</v>
      </c>
      <c r="AZ124" s="114">
        <v>6306.9660607543847</v>
      </c>
      <c r="BA124" s="114">
        <v>6060.4961870727921</v>
      </c>
      <c r="BB124" s="114">
        <v>7221.4466000081375</v>
      </c>
      <c r="BC124" s="114">
        <v>12898.407416620767</v>
      </c>
      <c r="BD124" s="114">
        <v>12643.406010754152</v>
      </c>
      <c r="BE124" s="114">
        <v>10485.731175561959</v>
      </c>
      <c r="BF124" s="114">
        <v>14678.853463430329</v>
      </c>
      <c r="BG124" s="114">
        <v>6569.783489694395</v>
      </c>
      <c r="BH124" s="114">
        <v>13014.070507339522</v>
      </c>
      <c r="BI124" s="114">
        <v>10347.087797210785</v>
      </c>
      <c r="BJ124" s="114">
        <v>7155.2856118524123</v>
      </c>
      <c r="BK124" s="114">
        <v>5219.1670583616051</v>
      </c>
      <c r="BL124" s="114">
        <v>11164.050824028674</v>
      </c>
      <c r="BM124" s="114">
        <v>7668.446288385845</v>
      </c>
      <c r="BN124" s="114">
        <v>5148.8912928242908</v>
      </c>
      <c r="BO124" s="114">
        <v>7083.1210966890667</v>
      </c>
      <c r="BP124" s="114">
        <v>10556.586347055809</v>
      </c>
      <c r="BQ124" s="114">
        <v>11210.974291823681</v>
      </c>
      <c r="BR124" s="114">
        <v>4851.7700168218007</v>
      </c>
      <c r="BS124" s="114">
        <v>6212.689585611889</v>
      </c>
      <c r="BT124" s="114">
        <v>6589.3399734160339</v>
      </c>
      <c r="BU124" s="114">
        <v>6613.2012410783791</v>
      </c>
      <c r="BV124" s="114">
        <v>10810.097862985594</v>
      </c>
      <c r="BW124" s="114">
        <v>6574.434349766243</v>
      </c>
      <c r="BX124" s="114">
        <v>13252.249279404708</v>
      </c>
      <c r="BY124" s="114">
        <v>12879.627493814054</v>
      </c>
      <c r="BZ124" s="114">
        <v>11387.688334305893</v>
      </c>
      <c r="CA124" s="114">
        <v>11318.329578899791</v>
      </c>
      <c r="CB124" s="114">
        <v>13788.609217643176</v>
      </c>
      <c r="CC124" s="114">
        <v>12639.98242081936</v>
      </c>
      <c r="CD124" s="114">
        <v>12984.468138078282</v>
      </c>
      <c r="CE124" s="114">
        <v>6203.0940541703894</v>
      </c>
      <c r="CF124" s="114">
        <v>6777.9035044339125</v>
      </c>
      <c r="CG124" s="114">
        <v>4434.3900262318302</v>
      </c>
      <c r="CH124" s="114">
        <v>3356.1583285444622</v>
      </c>
      <c r="CI124" s="114">
        <v>6005.9863461356936</v>
      </c>
      <c r="CJ124" s="114">
        <v>4712.3741748530701</v>
      </c>
      <c r="CK124" s="114">
        <v>5378.5284378411097</v>
      </c>
      <c r="CL124" s="114">
        <v>7125.1991655251913</v>
      </c>
      <c r="CM124" s="114">
        <v>10385.182357970483</v>
      </c>
      <c r="CN124" s="114">
        <v>7021.4854719623609</v>
      </c>
      <c r="CO124" s="114">
        <v>6920.1282292899023</v>
      </c>
      <c r="CP124" s="114">
        <v>12677.071627504147</v>
      </c>
      <c r="CQ124" s="114">
        <v>3012.4710006289019</v>
      </c>
      <c r="CR124" s="114">
        <v>6137.9620032808771</v>
      </c>
      <c r="CS124" s="114">
        <v>2570.1066195541589</v>
      </c>
      <c r="CT124" s="114">
        <v>8664.968396248998</v>
      </c>
      <c r="CU124" s="114">
        <v>5373.1856814911325</v>
      </c>
      <c r="CV124" s="114">
        <v>2590.6948001426163</v>
      </c>
      <c r="CW124" s="114">
        <v>3399.8601919759949</v>
      </c>
      <c r="CX124" s="114">
        <v>5370.8108760609857</v>
      </c>
      <c r="CY124" s="114">
        <v>6016.6995929083187</v>
      </c>
      <c r="CZ124" s="114">
        <v>11659.775218527931</v>
      </c>
      <c r="DA124" s="114">
        <v>11463.807316527509</v>
      </c>
      <c r="DB124" s="114">
        <v>7656.2086556781969</v>
      </c>
      <c r="DC124" s="114">
        <v>6795.2623669883851</v>
      </c>
      <c r="DD124" s="114">
        <v>5419.4331738675119</v>
      </c>
      <c r="DE124" s="114">
        <v>6808.3392983806016</v>
      </c>
      <c r="DF124" s="114">
        <v>9463.4769490202398</v>
      </c>
      <c r="DG124" s="114">
        <v>9970.6706178393433</v>
      </c>
      <c r="DH124" s="114">
        <v>5012.9684705632762</v>
      </c>
      <c r="DI124" s="114">
        <v>5841.0392674041668</v>
      </c>
      <c r="DJ124" s="114">
        <v>10726.044616772564</v>
      </c>
      <c r="DK124" s="114">
        <v>7339.7155267740454</v>
      </c>
      <c r="DL124" s="114">
        <v>9031.1472632414025</v>
      </c>
      <c r="DM124" s="114">
        <v>9026.3328939991934</v>
      </c>
      <c r="DN124" s="114">
        <v>12114.008802795595</v>
      </c>
      <c r="DO124" s="114">
        <v>5603.602400663407</v>
      </c>
      <c r="DP124" s="114">
        <v>7152.4788188865559</v>
      </c>
      <c r="DQ124" s="114" t="s">
        <v>237</v>
      </c>
      <c r="DR124" s="114">
        <v>6515.2672733808722</v>
      </c>
      <c r="DS124" s="114">
        <v>8780.0646358146005</v>
      </c>
      <c r="DT124" s="114">
        <v>11030.895717856827</v>
      </c>
      <c r="DU124" s="114">
        <v>3633.9741803117263</v>
      </c>
      <c r="DV124" s="114">
        <v>11821.75057123137</v>
      </c>
      <c r="DW124" s="114">
        <v>2950.9842064217764</v>
      </c>
      <c r="DX124" s="114">
        <v>6681.1174773269859</v>
      </c>
      <c r="DY124" s="114">
        <v>11572.263276946953</v>
      </c>
      <c r="DZ124" s="114">
        <v>11919.745347860775</v>
      </c>
      <c r="EA124" s="114">
        <v>13220.337087944687</v>
      </c>
      <c r="EB124" s="114">
        <v>9987.7382282267645</v>
      </c>
      <c r="EC124" s="114">
        <v>9966.7950307251667</v>
      </c>
      <c r="ED124" s="114">
        <v>1771.1334282534267</v>
      </c>
      <c r="EE124" s="114">
        <v>6415.3260138196138</v>
      </c>
      <c r="EF124" s="114">
        <v>5895.1368875629732</v>
      </c>
      <c r="EG124" s="114">
        <v>5053.4521686116332</v>
      </c>
      <c r="EH124" s="114">
        <v>4314.6920320358104</v>
      </c>
      <c r="EI124" s="114">
        <v>3240.7248479145301</v>
      </c>
      <c r="EJ124" s="114">
        <v>13656.642197489698</v>
      </c>
      <c r="EK124" s="114">
        <v>17124.753428646654</v>
      </c>
      <c r="EL124" s="114">
        <v>16004.219407162023</v>
      </c>
      <c r="EM124" s="114">
        <v>3946.7471873283748</v>
      </c>
      <c r="EN124" s="114">
        <v>5785.9016567582175</v>
      </c>
      <c r="EO124" s="114">
        <v>8522.9893744167184</v>
      </c>
      <c r="EP124" s="114">
        <v>5428.4907573714627</v>
      </c>
      <c r="EQ124" s="114">
        <v>5950.1366119844433</v>
      </c>
      <c r="ER124" s="114">
        <v>4634.8245764990188</v>
      </c>
      <c r="ES124" s="114">
        <v>9167.4427716013997</v>
      </c>
      <c r="ET124" s="114">
        <v>12699.996841863602</v>
      </c>
      <c r="EU124" s="114">
        <v>13016.754397516266</v>
      </c>
      <c r="EV124" s="114">
        <v>13126.739878886989</v>
      </c>
      <c r="EW124" s="114">
        <v>6873.8588200348404</v>
      </c>
      <c r="EX124" s="114">
        <v>10781.347194097583</v>
      </c>
      <c r="EY124" s="114">
        <v>5849.8824135163413</v>
      </c>
      <c r="EZ124" s="114">
        <v>11168.349029312081</v>
      </c>
      <c r="FA124" s="114">
        <v>6304.8710749797874</v>
      </c>
      <c r="FB124" s="114">
        <v>11455.420665929843</v>
      </c>
      <c r="FC124" s="114">
        <v>5186.8364175259521</v>
      </c>
      <c r="FD124" s="114">
        <v>6269.5820194335256</v>
      </c>
      <c r="FE124" s="114">
        <v>6573.7005521764549</v>
      </c>
      <c r="FF124" s="114">
        <v>7770.2230875457499</v>
      </c>
      <c r="FG124" s="114">
        <v>11298.682173770118</v>
      </c>
      <c r="FH124" s="114">
        <v>1980.4444092567801</v>
      </c>
      <c r="FI124" s="114">
        <v>8517.1279083820591</v>
      </c>
      <c r="FJ124" s="114">
        <v>8056.0378853869679</v>
      </c>
      <c r="FK124" s="114">
        <v>7642.7060594238119</v>
      </c>
      <c r="FL124" s="114">
        <v>5226.4500317850052</v>
      </c>
      <c r="FM124" s="114">
        <v>7606.8151660725998</v>
      </c>
      <c r="FN124" s="114">
        <v>13820.141658037592</v>
      </c>
      <c r="FO124" s="114">
        <v>5548.0213443322873</v>
      </c>
      <c r="FP124" s="114">
        <v>6948.7661085104437</v>
      </c>
      <c r="FQ124" s="114">
        <v>5969.1473159671732</v>
      </c>
      <c r="FR124" s="114">
        <v>2850.9990515103541</v>
      </c>
      <c r="FS124" s="114">
        <v>3257.7572566656572</v>
      </c>
      <c r="FT124" s="114">
        <v>8949.9188884631731</v>
      </c>
      <c r="FU124" s="114">
        <v>3881.6480372554684</v>
      </c>
      <c r="FV124" s="114">
        <v>6506.3999898197644</v>
      </c>
      <c r="FW124" s="114">
        <v>10657.142837921148</v>
      </c>
      <c r="FX124" s="114">
        <v>13402.116207217738</v>
      </c>
      <c r="FY124" s="114">
        <v>7540.4911222165656</v>
      </c>
      <c r="FZ124" s="114">
        <v>5812.3504346434938</v>
      </c>
      <c r="GA124" s="114">
        <v>4094.4986999543262</v>
      </c>
      <c r="GB124" s="114">
        <v>8852.2572131809175</v>
      </c>
      <c r="GC124" s="114">
        <v>5329.9779406431962</v>
      </c>
      <c r="GD124" s="114">
        <v>5283.4486395234862</v>
      </c>
      <c r="GE124" s="114">
        <v>6979.3493973221384</v>
      </c>
      <c r="GF124" s="114">
        <v>9853.9441086562329</v>
      </c>
      <c r="GG124" s="114">
        <v>10159.014175326942</v>
      </c>
      <c r="GH124" s="114">
        <v>9974.2988992072442</v>
      </c>
      <c r="GI124" s="114">
        <v>10352.350709213875</v>
      </c>
      <c r="GJ124" s="114">
        <v>17964.304805728229</v>
      </c>
      <c r="GK124" s="114">
        <v>3055.0225806936473</v>
      </c>
      <c r="GL124" s="114">
        <v>13509.162267905656</v>
      </c>
      <c r="GM124" s="114">
        <v>2990.6419754819963</v>
      </c>
      <c r="GN124" s="114">
        <v>6724.4206242967603</v>
      </c>
      <c r="GO124" s="114">
        <v>10451.194047799199</v>
      </c>
      <c r="GP124" s="114">
        <v>10431.834537164184</v>
      </c>
      <c r="GQ124" s="114">
        <v>4125.2204360449223</v>
      </c>
      <c r="GR124" s="114">
        <v>10149.299992679011</v>
      </c>
      <c r="GS124" s="114">
        <v>6817.621763129815</v>
      </c>
      <c r="GT124" s="115">
        <v>11367.051080520463</v>
      </c>
    </row>
    <row r="125" spans="2:202" x14ac:dyDescent="0.6">
      <c r="B125" s="106" t="s">
        <v>113</v>
      </c>
      <c r="C125" s="63" t="s">
        <v>487</v>
      </c>
      <c r="D125" s="113">
        <v>4375.3727005860328</v>
      </c>
      <c r="E125" s="114">
        <v>1539.3549792631541</v>
      </c>
      <c r="F125" s="114">
        <v>1471.2903838437871</v>
      </c>
      <c r="G125" s="114">
        <v>5698.3652554345426</v>
      </c>
      <c r="H125" s="114">
        <v>8014.7085970466514</v>
      </c>
      <c r="I125" s="114">
        <v>11873.487349879619</v>
      </c>
      <c r="J125" s="114">
        <v>2101.6179158293303</v>
      </c>
      <c r="K125" s="114">
        <v>15748.194399636779</v>
      </c>
      <c r="L125" s="114">
        <v>674.74017047153495</v>
      </c>
      <c r="M125" s="114">
        <v>2526.1233744622832</v>
      </c>
      <c r="N125" s="114">
        <v>8656.5463850332817</v>
      </c>
      <c r="O125" s="114">
        <v>3352.3272274901865</v>
      </c>
      <c r="P125" s="114">
        <v>6753.6248290524927</v>
      </c>
      <c r="Q125" s="114">
        <v>8100.220427170565</v>
      </c>
      <c r="R125" s="114">
        <v>1367.435472212703</v>
      </c>
      <c r="S125" s="114">
        <v>1456.1295698591421</v>
      </c>
      <c r="T125" s="114">
        <v>10093.106581273652</v>
      </c>
      <c r="U125" s="114">
        <v>4354.5064906738653</v>
      </c>
      <c r="V125" s="114">
        <v>6434.5816711788893</v>
      </c>
      <c r="W125" s="114">
        <v>11003.396523232675</v>
      </c>
      <c r="X125" s="114">
        <v>145.11919467812177</v>
      </c>
      <c r="Y125" s="114">
        <v>7466.0724816333377</v>
      </c>
      <c r="Z125" s="114">
        <v>9966.1381483260466</v>
      </c>
      <c r="AA125" s="114">
        <v>9676.8232278439591</v>
      </c>
      <c r="AB125" s="114">
        <v>10137.20804510752</v>
      </c>
      <c r="AC125" s="114">
        <v>322.96571906646307</v>
      </c>
      <c r="AD125" s="114">
        <v>3910.0621777829647</v>
      </c>
      <c r="AE125" s="114">
        <v>5168.0358315056101</v>
      </c>
      <c r="AF125" s="114">
        <v>5071.7946061491184</v>
      </c>
      <c r="AG125" s="114">
        <v>8772.3356762715375</v>
      </c>
      <c r="AH125" s="114">
        <v>4372.8740231857319</v>
      </c>
      <c r="AI125" s="114">
        <v>4400.663766184075</v>
      </c>
      <c r="AJ125" s="114">
        <v>7483.6396485317264</v>
      </c>
      <c r="AK125" s="114">
        <v>7126.097504193408</v>
      </c>
      <c r="AL125" s="114">
        <v>4249.8328779595549</v>
      </c>
      <c r="AM125" s="114">
        <v>3403.9030517676101</v>
      </c>
      <c r="AN125" s="114">
        <v>12396.737850929101</v>
      </c>
      <c r="AO125" s="114">
        <v>8617.2275227014361</v>
      </c>
      <c r="AP125" s="114">
        <v>7654.620283278392</v>
      </c>
      <c r="AQ125" s="114">
        <v>9949.0849421945004</v>
      </c>
      <c r="AR125" s="114">
        <v>6463.5892096709249</v>
      </c>
      <c r="AS125" s="114">
        <v>5215.6967892279799</v>
      </c>
      <c r="AT125" s="114">
        <v>5190.8806329917397</v>
      </c>
      <c r="AU125" s="114">
        <v>10359.751778652202</v>
      </c>
      <c r="AV125" s="114">
        <v>4721.1608037323231</v>
      </c>
      <c r="AW125" s="114">
        <v>450.00564591292914</v>
      </c>
      <c r="AX125" s="114">
        <v>9180.9261333104678</v>
      </c>
      <c r="AY125" s="114">
        <v>1458.6945957085975</v>
      </c>
      <c r="AZ125" s="114">
        <v>930.20689343835136</v>
      </c>
      <c r="BA125" s="114">
        <v>1526.3950310368903</v>
      </c>
      <c r="BB125" s="114">
        <v>4135.2149605226969</v>
      </c>
      <c r="BC125" s="114">
        <v>8103.5207951999455</v>
      </c>
      <c r="BD125" s="114">
        <v>8555.740326729172</v>
      </c>
      <c r="BE125" s="114">
        <v>5202.8367264743065</v>
      </c>
      <c r="BF125" s="114">
        <v>10642.774855669193</v>
      </c>
      <c r="BG125" s="114">
        <v>1741.4031659523973</v>
      </c>
      <c r="BH125" s="114">
        <v>10452.443769469268</v>
      </c>
      <c r="BI125" s="114">
        <v>4465.212265805696</v>
      </c>
      <c r="BJ125" s="114">
        <v>3546.2868760630645</v>
      </c>
      <c r="BK125" s="114">
        <v>1899.9533624322764</v>
      </c>
      <c r="BL125" s="114">
        <v>7725.7262797271396</v>
      </c>
      <c r="BM125" s="114">
        <v>4160.0271665559721</v>
      </c>
      <c r="BN125" s="114">
        <v>2007.7148984219607</v>
      </c>
      <c r="BO125" s="114">
        <v>1486.9274319938747</v>
      </c>
      <c r="BP125" s="114">
        <v>4796.8968814479376</v>
      </c>
      <c r="BQ125" s="114">
        <v>4713.7587526350881</v>
      </c>
      <c r="BR125" s="114">
        <v>2082.8290813096046</v>
      </c>
      <c r="BS125" s="114">
        <v>1185.1139528783622</v>
      </c>
      <c r="BT125" s="114">
        <v>872.08190668476027</v>
      </c>
      <c r="BU125" s="114">
        <v>1176.2361117059625</v>
      </c>
      <c r="BV125" s="114">
        <v>4543.663158331291</v>
      </c>
      <c r="BW125" s="114">
        <v>647.78816896896535</v>
      </c>
      <c r="BX125" s="114">
        <v>8373.3446485298136</v>
      </c>
      <c r="BY125" s="114">
        <v>10457.612546264701</v>
      </c>
      <c r="BZ125" s="114">
        <v>4873.3094463157386</v>
      </c>
      <c r="CA125" s="114">
        <v>4807.889907697614</v>
      </c>
      <c r="CB125" s="114">
        <v>8486.0838368212062</v>
      </c>
      <c r="CC125" s="114">
        <v>8756.3810954156743</v>
      </c>
      <c r="CD125" s="114">
        <v>10251.883414538601</v>
      </c>
      <c r="CE125" s="114">
        <v>539.44630254121</v>
      </c>
      <c r="CF125" s="114">
        <v>3523.3009024700527</v>
      </c>
      <c r="CG125" s="114">
        <v>5630.7185351370927</v>
      </c>
      <c r="CH125" s="114">
        <v>5363.8376222600709</v>
      </c>
      <c r="CI125" s="114">
        <v>10230.148350212576</v>
      </c>
      <c r="CJ125" s="114">
        <v>2859.1136872907555</v>
      </c>
      <c r="CK125" s="114">
        <v>2415.2149668645679</v>
      </c>
      <c r="CL125" s="114">
        <v>2225.2218689022748</v>
      </c>
      <c r="CM125" s="114">
        <v>4882.018371713968</v>
      </c>
      <c r="CN125" s="114">
        <v>584.80797700854544</v>
      </c>
      <c r="CO125" s="114">
        <v>872.87335257749191</v>
      </c>
      <c r="CP125" s="114">
        <v>9125.2024316092829</v>
      </c>
      <c r="CQ125" s="114">
        <v>9437.0040757855768</v>
      </c>
      <c r="CR125" s="114">
        <v>1876.951842154393</v>
      </c>
      <c r="CS125" s="114">
        <v>3989.5265868772135</v>
      </c>
      <c r="CT125" s="114">
        <v>5147.4605922214942</v>
      </c>
      <c r="CU125" s="114">
        <v>2952.1081508020166</v>
      </c>
      <c r="CV125" s="114">
        <v>4442.2345404908665</v>
      </c>
      <c r="CW125" s="114">
        <v>8138.9071181377658</v>
      </c>
      <c r="CX125" s="114">
        <v>1603.8060613282421</v>
      </c>
      <c r="CY125" s="114">
        <v>1715.6011620961478</v>
      </c>
      <c r="CZ125" s="114">
        <v>8006.3248966600604</v>
      </c>
      <c r="DA125" s="114">
        <v>4980.0488774705891</v>
      </c>
      <c r="DB125" s="114">
        <v>1233.2739479531474</v>
      </c>
      <c r="DC125" s="114">
        <v>938.93145144851019</v>
      </c>
      <c r="DD125" s="114">
        <v>1396.5364939161805</v>
      </c>
      <c r="DE125" s="114">
        <v>1274.7204848213789</v>
      </c>
      <c r="DF125" s="114">
        <v>7366.3822154028612</v>
      </c>
      <c r="DG125" s="114">
        <v>6442.1881097958458</v>
      </c>
      <c r="DH125" s="114">
        <v>9130.7050340990754</v>
      </c>
      <c r="DI125" s="114">
        <v>6820.6598790499656</v>
      </c>
      <c r="DJ125" s="114">
        <v>4229.3649648397732</v>
      </c>
      <c r="DK125" s="114">
        <v>878.3053794832316</v>
      </c>
      <c r="DL125" s="114">
        <v>7973.1049923705395</v>
      </c>
      <c r="DM125" s="114">
        <v>7989.1069916716524</v>
      </c>
      <c r="DN125" s="114">
        <v>10704.358717280607</v>
      </c>
      <c r="DO125" s="114">
        <v>911.88101867093883</v>
      </c>
      <c r="DP125" s="114">
        <v>971.27345709477402</v>
      </c>
      <c r="DQ125" s="114">
        <v>6515.2672733808722</v>
      </c>
      <c r="DR125" s="114" t="s">
        <v>237</v>
      </c>
      <c r="DS125" s="114">
        <v>2452.3926269473995</v>
      </c>
      <c r="DT125" s="114">
        <v>7681.3819023181586</v>
      </c>
      <c r="DU125" s="114">
        <v>7722.1416266168299</v>
      </c>
      <c r="DV125" s="114">
        <v>7208.0489580654439</v>
      </c>
      <c r="DW125" s="114">
        <v>6080.3918557719171</v>
      </c>
      <c r="DX125" s="114">
        <v>1548.7434140194077</v>
      </c>
      <c r="DY125" s="114">
        <v>17836.940566127385</v>
      </c>
      <c r="DZ125" s="114">
        <v>17957.251120773595</v>
      </c>
      <c r="EA125" s="114">
        <v>10335.308734626897</v>
      </c>
      <c r="EB125" s="114">
        <v>3641.6997397530322</v>
      </c>
      <c r="EC125" s="114">
        <v>3891.7628362464511</v>
      </c>
      <c r="ED125" s="114">
        <v>8283.7599885041309</v>
      </c>
      <c r="EE125" s="114">
        <v>171.22322636484233</v>
      </c>
      <c r="EF125" s="114">
        <v>1995.8480027644221</v>
      </c>
      <c r="EG125" s="114">
        <v>4169.0271662641244</v>
      </c>
      <c r="EH125" s="114">
        <v>4759.9845275587468</v>
      </c>
      <c r="EI125" s="114">
        <v>4746.8970507709628</v>
      </c>
      <c r="EJ125" s="114">
        <v>10022.455953603925</v>
      </c>
      <c r="EK125" s="114">
        <v>10844.396865070334</v>
      </c>
      <c r="EL125" s="114">
        <v>11414.589055241131</v>
      </c>
      <c r="EM125" s="114">
        <v>9864.636138400163</v>
      </c>
      <c r="EN125" s="114">
        <v>1085.2140147126979</v>
      </c>
      <c r="EO125" s="114">
        <v>2430.1855692341437</v>
      </c>
      <c r="EP125" s="114">
        <v>3501.0881975043658</v>
      </c>
      <c r="EQ125" s="114">
        <v>588.73043906420151</v>
      </c>
      <c r="ER125" s="114">
        <v>1982.072690964716</v>
      </c>
      <c r="ES125" s="114">
        <v>5014.1476685330645</v>
      </c>
      <c r="ET125" s="114">
        <v>8059.1564259002143</v>
      </c>
      <c r="EU125" s="114">
        <v>8134.7591241888185</v>
      </c>
      <c r="EV125" s="114">
        <v>8244.1130339342708</v>
      </c>
      <c r="EW125" s="114">
        <v>579.42126588673477</v>
      </c>
      <c r="EX125" s="114">
        <v>4881.0115264625947</v>
      </c>
      <c r="EY125" s="114">
        <v>3195.7533015902914</v>
      </c>
      <c r="EZ125" s="114">
        <v>4685.9956688550001</v>
      </c>
      <c r="FA125" s="114">
        <v>245.73670448219627</v>
      </c>
      <c r="FB125" s="114">
        <v>4943.6233441676259</v>
      </c>
      <c r="FC125" s="114">
        <v>9459.5028758515637</v>
      </c>
      <c r="FD125" s="114">
        <v>652.17025551924996</v>
      </c>
      <c r="FE125" s="114">
        <v>560.69222140832017</v>
      </c>
      <c r="FF125" s="114">
        <v>5184.7596933257146</v>
      </c>
      <c r="FG125" s="114">
        <v>7602.5705862654131</v>
      </c>
      <c r="FH125" s="114">
        <v>8495.5136092161283</v>
      </c>
      <c r="FI125" s="114">
        <v>4353.4988716160979</v>
      </c>
      <c r="FJ125" s="114">
        <v>1905.8850562862963</v>
      </c>
      <c r="FK125" s="114">
        <v>1416.6142802163822</v>
      </c>
      <c r="FL125" s="114">
        <v>7097.510306494517</v>
      </c>
      <c r="FM125" s="114">
        <v>3265.661418693935</v>
      </c>
      <c r="FN125" s="114">
        <v>8314.1999054724965</v>
      </c>
      <c r="FO125" s="114">
        <v>1865.4498673479059</v>
      </c>
      <c r="FP125" s="114">
        <v>1053.9324116151572</v>
      </c>
      <c r="FQ125" s="114">
        <v>1794.0854667998115</v>
      </c>
      <c r="FR125" s="114">
        <v>9092.8122210868914</v>
      </c>
      <c r="FS125" s="114">
        <v>4135.0232416565786</v>
      </c>
      <c r="FT125" s="114">
        <v>5840.2811124387072</v>
      </c>
      <c r="FU125" s="114">
        <v>8273.7539444599097</v>
      </c>
      <c r="FV125" s="114">
        <v>11942.281226674158</v>
      </c>
      <c r="FW125" s="114">
        <v>4416.0920598709754</v>
      </c>
      <c r="FX125" s="114">
        <v>8455.8411270203978</v>
      </c>
      <c r="FY125" s="114">
        <v>1025.4499789672291</v>
      </c>
      <c r="FZ125" s="114">
        <v>1157.4978291622735</v>
      </c>
      <c r="GA125" s="114">
        <v>3255.809972153716</v>
      </c>
      <c r="GB125" s="114">
        <v>4874.5353580103601</v>
      </c>
      <c r="GC125" s="114">
        <v>1213.2953946633652</v>
      </c>
      <c r="GD125" s="114">
        <v>3783.0820488476711</v>
      </c>
      <c r="GE125" s="114">
        <v>1762.5487234512457</v>
      </c>
      <c r="GF125" s="114">
        <v>10472.891357621045</v>
      </c>
      <c r="GG125" s="114">
        <v>7328.1906334083415</v>
      </c>
      <c r="GH125" s="114">
        <v>7022.1943168403986</v>
      </c>
      <c r="GI125" s="114">
        <v>7654.6038288102536</v>
      </c>
      <c r="GJ125" s="114">
        <v>11477.293143734661</v>
      </c>
      <c r="GK125" s="114">
        <v>4071.7136803300195</v>
      </c>
      <c r="GL125" s="114">
        <v>8895.4779526586008</v>
      </c>
      <c r="GM125" s="114">
        <v>8149.0263148015429</v>
      </c>
      <c r="GN125" s="114">
        <v>3835.9630541242</v>
      </c>
      <c r="GO125" s="114">
        <v>6482.6149016653435</v>
      </c>
      <c r="GP125" s="114">
        <v>6765.6202586935215</v>
      </c>
      <c r="GQ125" s="114">
        <v>8983.5562918034848</v>
      </c>
      <c r="GR125" s="114">
        <v>15662.298884108182</v>
      </c>
      <c r="GS125" s="114">
        <v>1005.6859178794629</v>
      </c>
      <c r="GT125" s="115">
        <v>7685.4100646274128</v>
      </c>
    </row>
    <row r="126" spans="2:202" x14ac:dyDescent="0.6">
      <c r="B126" s="106" t="s">
        <v>114</v>
      </c>
      <c r="C126" s="63" t="s">
        <v>488</v>
      </c>
      <c r="D126" s="113">
        <v>6807.897115715311</v>
      </c>
      <c r="E126" s="114">
        <v>939.40704551488238</v>
      </c>
      <c r="F126" s="114">
        <v>1164.3860042874485</v>
      </c>
      <c r="G126" s="114">
        <v>5176.8706010760961</v>
      </c>
      <c r="H126" s="114">
        <v>5754.6652661569196</v>
      </c>
      <c r="I126" s="114">
        <v>9565.7065178871144</v>
      </c>
      <c r="J126" s="114">
        <v>4526.3256166083038</v>
      </c>
      <c r="K126" s="114">
        <v>17975.026033635986</v>
      </c>
      <c r="L126" s="114">
        <v>2472.1107786381772</v>
      </c>
      <c r="M126" s="114">
        <v>4962.6949177220686</v>
      </c>
      <c r="N126" s="114">
        <v>6750.2062794892163</v>
      </c>
      <c r="O126" s="114">
        <v>5499.6643704908047</v>
      </c>
      <c r="P126" s="114">
        <v>9186.9082025157822</v>
      </c>
      <c r="Q126" s="114">
        <v>5760.5289084484957</v>
      </c>
      <c r="R126" s="114">
        <v>3440.2218350111107</v>
      </c>
      <c r="S126" s="114">
        <v>2041.484929652069</v>
      </c>
      <c r="T126" s="114">
        <v>8180.4196831796407</v>
      </c>
      <c r="U126" s="114">
        <v>3233.914458316719</v>
      </c>
      <c r="V126" s="114">
        <v>8880.4243351773803</v>
      </c>
      <c r="W126" s="114">
        <v>8551.0043482895653</v>
      </c>
      <c r="X126" s="114">
        <v>2406.1337059733146</v>
      </c>
      <c r="Y126" s="114">
        <v>7348.2245139657161</v>
      </c>
      <c r="Z126" s="114">
        <v>7660.3958844641638</v>
      </c>
      <c r="AA126" s="114">
        <v>7404.6528561559508</v>
      </c>
      <c r="AB126" s="114">
        <v>12572.549816635488</v>
      </c>
      <c r="AC126" s="114">
        <v>2768.7962836138531</v>
      </c>
      <c r="AD126" s="114">
        <v>2495.9002044044778</v>
      </c>
      <c r="AE126" s="114">
        <v>5595.358920095362</v>
      </c>
      <c r="AF126" s="114">
        <v>2684.1609352790792</v>
      </c>
      <c r="AG126" s="114">
        <v>11198.446210122875</v>
      </c>
      <c r="AH126" s="114">
        <v>3746.4040339877411</v>
      </c>
      <c r="AI126" s="114">
        <v>3881.3435850100946</v>
      </c>
      <c r="AJ126" s="114">
        <v>6173.181784816642</v>
      </c>
      <c r="AK126" s="114">
        <v>5823.5817735554756</v>
      </c>
      <c r="AL126" s="114">
        <v>4212.7916883927073</v>
      </c>
      <c r="AM126" s="114">
        <v>3263.2936243570189</v>
      </c>
      <c r="AN126" s="114">
        <v>9994.8298829171181</v>
      </c>
      <c r="AO126" s="114">
        <v>10962.120971431408</v>
      </c>
      <c r="AP126" s="114">
        <v>9957.8616675947724</v>
      </c>
      <c r="AQ126" s="114">
        <v>7639.730691494623</v>
      </c>
      <c r="AR126" s="114">
        <v>7304.5766956121852</v>
      </c>
      <c r="AS126" s="114">
        <v>4856.7954107346559</v>
      </c>
      <c r="AT126" s="114">
        <v>4823.5266088319877</v>
      </c>
      <c r="AU126" s="114">
        <v>8237.9004999331046</v>
      </c>
      <c r="AV126" s="114">
        <v>3201.7980542259788</v>
      </c>
      <c r="AW126" s="114">
        <v>2290.2474536506279</v>
      </c>
      <c r="AX126" s="114">
        <v>7303.4383058542171</v>
      </c>
      <c r="AY126" s="114">
        <v>3648.2408399755841</v>
      </c>
      <c r="AZ126" s="114">
        <v>2473.6396139377393</v>
      </c>
      <c r="BA126" s="114">
        <v>2799.4878315337064</v>
      </c>
      <c r="BB126" s="114">
        <v>5577.0430469331559</v>
      </c>
      <c r="BC126" s="114">
        <v>5809.1405580944338</v>
      </c>
      <c r="BD126" s="114">
        <v>6403.4830536585205</v>
      </c>
      <c r="BE126" s="114">
        <v>4835.943592831185</v>
      </c>
      <c r="BF126" s="114">
        <v>8322.5118449143392</v>
      </c>
      <c r="BG126" s="114">
        <v>3588.2302683344305</v>
      </c>
      <c r="BH126" s="114">
        <v>8474.7758778098996</v>
      </c>
      <c r="BI126" s="114">
        <v>3752.2626663105484</v>
      </c>
      <c r="BJ126" s="114">
        <v>4992.8474630570763</v>
      </c>
      <c r="BK126" s="114">
        <v>3618.244343232413</v>
      </c>
      <c r="BL126" s="114">
        <v>7796.8809324620061</v>
      </c>
      <c r="BM126" s="114">
        <v>5382.1033207440732</v>
      </c>
      <c r="BN126" s="114">
        <v>3705.1109358506869</v>
      </c>
      <c r="BO126" s="114">
        <v>1775.5765429585008</v>
      </c>
      <c r="BP126" s="114">
        <v>4112.9658225111907</v>
      </c>
      <c r="BQ126" s="114">
        <v>2500.0068187375696</v>
      </c>
      <c r="BR126" s="114">
        <v>4522.9106814021698</v>
      </c>
      <c r="BS126" s="114">
        <v>2586.8319245988446</v>
      </c>
      <c r="BT126" s="114">
        <v>2190.7257292010554</v>
      </c>
      <c r="BU126" s="114">
        <v>2191.1722654958699</v>
      </c>
      <c r="BV126" s="114">
        <v>3263.9039602335756</v>
      </c>
      <c r="BW126" s="114">
        <v>2749.1837258241271</v>
      </c>
      <c r="BX126" s="114">
        <v>6043.2602856521489</v>
      </c>
      <c r="BY126" s="114">
        <v>8517.7643599607709</v>
      </c>
      <c r="BZ126" s="114">
        <v>2832.5558727822581</v>
      </c>
      <c r="CA126" s="114">
        <v>2657.5605958529632</v>
      </c>
      <c r="CB126" s="114">
        <v>6077.5824659289374</v>
      </c>
      <c r="CC126" s="114">
        <v>6638.455746084649</v>
      </c>
      <c r="CD126" s="114">
        <v>8257.0079656477974</v>
      </c>
      <c r="CE126" s="114">
        <v>2616.0935909640048</v>
      </c>
      <c r="CF126" s="114">
        <v>3492.8940153363537</v>
      </c>
      <c r="CG126" s="114">
        <v>7915.0833046393855</v>
      </c>
      <c r="CH126" s="114">
        <v>7780.7798905450345</v>
      </c>
      <c r="CI126" s="114">
        <v>12522.490247007643</v>
      </c>
      <c r="CJ126" s="114">
        <v>5236.1965066072171</v>
      </c>
      <c r="CK126" s="114">
        <v>4685.9832941711493</v>
      </c>
      <c r="CL126" s="114">
        <v>2134.4313696581312</v>
      </c>
      <c r="CM126" s="114">
        <v>2643.3806135029008</v>
      </c>
      <c r="CN126" s="114">
        <v>1872.0961377110809</v>
      </c>
      <c r="CO126" s="114">
        <v>1863.7773185754559</v>
      </c>
      <c r="CP126" s="114">
        <v>7055.81842968401</v>
      </c>
      <c r="CQ126" s="114">
        <v>11523.433685198623</v>
      </c>
      <c r="CR126" s="114">
        <v>3940.8930025327172</v>
      </c>
      <c r="CS126" s="114">
        <v>6355.2713793001221</v>
      </c>
      <c r="CT126" s="114">
        <v>5975.7122939071351</v>
      </c>
      <c r="CU126" s="114">
        <v>5155.8884145179454</v>
      </c>
      <c r="CV126" s="114">
        <v>6885.6955543610675</v>
      </c>
      <c r="CW126" s="114">
        <v>10582.326512437598</v>
      </c>
      <c r="CX126" s="114">
        <v>3426.1533063885277</v>
      </c>
      <c r="CY126" s="114">
        <v>3868.193444290001</v>
      </c>
      <c r="CZ126" s="114">
        <v>7890.9527548003334</v>
      </c>
      <c r="DA126" s="114">
        <v>3118.2249854535758</v>
      </c>
      <c r="DB126" s="114">
        <v>1856.3503889436552</v>
      </c>
      <c r="DC126" s="114">
        <v>1984.8878510859224</v>
      </c>
      <c r="DD126" s="114">
        <v>3361.0661325407536</v>
      </c>
      <c r="DE126" s="114">
        <v>2010.0229614541888</v>
      </c>
      <c r="DF126" s="114">
        <v>8184.9622011639094</v>
      </c>
      <c r="DG126" s="114">
        <v>6833.8530573014013</v>
      </c>
      <c r="DH126" s="114">
        <v>11478.96718919934</v>
      </c>
      <c r="DI126" s="114">
        <v>8848.812183148284</v>
      </c>
      <c r="DJ126" s="114">
        <v>2411.8730938361018</v>
      </c>
      <c r="DK126" s="114">
        <v>1935.4062528468737</v>
      </c>
      <c r="DL126" s="114">
        <v>9066.3025589774243</v>
      </c>
      <c r="DM126" s="114">
        <v>9086.4876565747054</v>
      </c>
      <c r="DN126" s="114">
        <v>9027.9387198646527</v>
      </c>
      <c r="DO126" s="114">
        <v>3308.3108728570051</v>
      </c>
      <c r="DP126" s="114">
        <v>1636.6508967008133</v>
      </c>
      <c r="DQ126" s="114">
        <v>8780.0646358146005</v>
      </c>
      <c r="DR126" s="114">
        <v>2452.3926269473995</v>
      </c>
      <c r="DS126" s="114" t="s">
        <v>237</v>
      </c>
      <c r="DT126" s="114">
        <v>7810.293547045876</v>
      </c>
      <c r="DU126" s="114">
        <v>10140.964791067345</v>
      </c>
      <c r="DV126" s="114">
        <v>6758.2851402217029</v>
      </c>
      <c r="DW126" s="114">
        <v>8517.779092296636</v>
      </c>
      <c r="DX126" s="114">
        <v>2219.3008924503283</v>
      </c>
      <c r="DY126" s="114">
        <v>19666.749375136351</v>
      </c>
      <c r="DZ126" s="114">
        <v>19210.477927517546</v>
      </c>
      <c r="EA126" s="114">
        <v>8288.3935816636913</v>
      </c>
      <c r="EB126" s="114">
        <v>2476.2257491670089</v>
      </c>
      <c r="EC126" s="114">
        <v>3131.0587482314249</v>
      </c>
      <c r="ED126" s="114">
        <v>10510.422370889844</v>
      </c>
      <c r="EE126" s="114">
        <v>2602.923017698181</v>
      </c>
      <c r="EF126" s="114">
        <v>3107.5510642899326</v>
      </c>
      <c r="EG126" s="114">
        <v>6365.3426656850597</v>
      </c>
      <c r="EH126" s="114">
        <v>7077.9923031311482</v>
      </c>
      <c r="EI126" s="114">
        <v>7183.8510452738301</v>
      </c>
      <c r="EJ126" s="114">
        <v>7831.5904854588953</v>
      </c>
      <c r="EK126" s="114">
        <v>8460.1400645061767</v>
      </c>
      <c r="EL126" s="114">
        <v>8991.2030361226243</v>
      </c>
      <c r="EM126" s="114">
        <v>12308.481572637425</v>
      </c>
      <c r="EN126" s="114">
        <v>2994.3594646875131</v>
      </c>
      <c r="EO126" s="114">
        <v>529.40023857850736</v>
      </c>
      <c r="EP126" s="114">
        <v>5638.8555162735202</v>
      </c>
      <c r="EQ126" s="114">
        <v>3035.5165255138841</v>
      </c>
      <c r="ER126" s="114">
        <v>4148.3331594534147</v>
      </c>
      <c r="ES126" s="114">
        <v>5523.0808300114913</v>
      </c>
      <c r="ET126" s="114">
        <v>5806.091312696748</v>
      </c>
      <c r="EU126" s="114">
        <v>5818.3465278651784</v>
      </c>
      <c r="EV126" s="114">
        <v>5920.8644959210396</v>
      </c>
      <c r="EW126" s="114">
        <v>1961.2820702600131</v>
      </c>
      <c r="EX126" s="114">
        <v>4016.1289379657019</v>
      </c>
      <c r="EY126" s="114">
        <v>5220.2280778966115</v>
      </c>
      <c r="EZ126" s="114">
        <v>2427.7859085150239</v>
      </c>
      <c r="FA126" s="114">
        <v>2599.735318874973</v>
      </c>
      <c r="FB126" s="114">
        <v>2932.5446879654878</v>
      </c>
      <c r="FC126" s="114">
        <v>11810.060881144709</v>
      </c>
      <c r="FD126" s="114">
        <v>2525.5279261776723</v>
      </c>
      <c r="FE126" s="114">
        <v>2232.2311364230272</v>
      </c>
      <c r="FF126" s="114">
        <v>6458.9050639823163</v>
      </c>
      <c r="FG126" s="114">
        <v>7571.9112939713514</v>
      </c>
      <c r="FH126" s="114">
        <v>10731.143718507215</v>
      </c>
      <c r="FI126" s="114">
        <v>5117.8467062899044</v>
      </c>
      <c r="FJ126" s="114">
        <v>754.91401717148767</v>
      </c>
      <c r="FK126" s="114">
        <v>1138.7044963481753</v>
      </c>
      <c r="FL126" s="114">
        <v>9274.5282463391559</v>
      </c>
      <c r="FM126" s="114">
        <v>4435.242661658699</v>
      </c>
      <c r="FN126" s="114">
        <v>5884.6778364323491</v>
      </c>
      <c r="FO126" s="114">
        <v>3341.0039008534432</v>
      </c>
      <c r="FP126" s="114">
        <v>1833.1174055288582</v>
      </c>
      <c r="FQ126" s="114">
        <v>3952.6418566457241</v>
      </c>
      <c r="FR126" s="114">
        <v>11484.76372301662</v>
      </c>
      <c r="FS126" s="114">
        <v>6584.9523320791741</v>
      </c>
      <c r="FT126" s="114">
        <v>6642.2314687071412</v>
      </c>
      <c r="FU126" s="114">
        <v>10693.424293455835</v>
      </c>
      <c r="FV126" s="114">
        <v>14357.742284052934</v>
      </c>
      <c r="FW126" s="114">
        <v>3214.2650361737592</v>
      </c>
      <c r="FX126" s="114">
        <v>6107.7769402051126</v>
      </c>
      <c r="FY126" s="114">
        <v>1561.4591217264592</v>
      </c>
      <c r="FZ126" s="114">
        <v>3531.7667919560531</v>
      </c>
      <c r="GA126" s="114">
        <v>5687.7490431341221</v>
      </c>
      <c r="GB126" s="114">
        <v>5543.1356563051841</v>
      </c>
      <c r="GC126" s="114">
        <v>3502.866556235696</v>
      </c>
      <c r="GD126" s="114">
        <v>5942.4861964449465</v>
      </c>
      <c r="GE126" s="114">
        <v>2004.1986513669783</v>
      </c>
      <c r="GF126" s="114">
        <v>9607.821461115007</v>
      </c>
      <c r="GG126" s="114">
        <v>5837.7787879453517</v>
      </c>
      <c r="GH126" s="114">
        <v>5554.9006825654078</v>
      </c>
      <c r="GI126" s="114">
        <v>6142.7101476064609</v>
      </c>
      <c r="GJ126" s="114">
        <v>9184.6180708801076</v>
      </c>
      <c r="GK126" s="114">
        <v>6523.4121561736292</v>
      </c>
      <c r="GL126" s="114">
        <v>6587.7559055535548</v>
      </c>
      <c r="GM126" s="114">
        <v>10601.395181418671</v>
      </c>
      <c r="GN126" s="114">
        <v>5492.1108903695067</v>
      </c>
      <c r="GO126" s="114">
        <v>6616.532411460078</v>
      </c>
      <c r="GP126" s="114">
        <v>6985.7257470185496</v>
      </c>
      <c r="GQ126" s="114">
        <v>11415.335916718672</v>
      </c>
      <c r="GR126" s="114">
        <v>17817.606406328785</v>
      </c>
      <c r="GS126" s="114">
        <v>1964.3076714929853</v>
      </c>
      <c r="GT126" s="115">
        <v>7640.1975425928476</v>
      </c>
    </row>
    <row r="127" spans="2:202" x14ac:dyDescent="0.6">
      <c r="B127" s="106" t="s">
        <v>115</v>
      </c>
      <c r="C127" s="63" t="s">
        <v>489</v>
      </c>
      <c r="D127" s="113">
        <v>7704.4331672708931</v>
      </c>
      <c r="E127" s="114">
        <v>7544.8742019349947</v>
      </c>
      <c r="F127" s="114">
        <v>8192.1073235519016</v>
      </c>
      <c r="G127" s="114">
        <v>2778.0513842893474</v>
      </c>
      <c r="H127" s="114">
        <v>11223.065439571059</v>
      </c>
      <c r="I127" s="114">
        <v>8553.924366636078</v>
      </c>
      <c r="J127" s="114">
        <v>7408.1321820962903</v>
      </c>
      <c r="K127" s="114">
        <v>10766.276674384542</v>
      </c>
      <c r="L127" s="114">
        <v>8351.2828924468813</v>
      </c>
      <c r="M127" s="114">
        <v>7538.629429045629</v>
      </c>
      <c r="N127" s="114">
        <v>13023.123878105485</v>
      </c>
      <c r="O127" s="114">
        <v>6061.7448822082324</v>
      </c>
      <c r="P127" s="114">
        <v>8281.5137771671798</v>
      </c>
      <c r="Q127" s="114">
        <v>10788.899726647685</v>
      </c>
      <c r="R127" s="114">
        <v>8808.8619777885324</v>
      </c>
      <c r="S127" s="114">
        <v>8901.488078386732</v>
      </c>
      <c r="T127" s="114">
        <v>13844.13346823181</v>
      </c>
      <c r="U127" s="114">
        <v>4789.7916101697701</v>
      </c>
      <c r="V127" s="114">
        <v>8483.9382970988463</v>
      </c>
      <c r="W127" s="114">
        <v>10238.206078292507</v>
      </c>
      <c r="X127" s="114">
        <v>7816.6761377812618</v>
      </c>
      <c r="Y127" s="114">
        <v>691.5820651699587</v>
      </c>
      <c r="Z127" s="114">
        <v>7858.9301113875954</v>
      </c>
      <c r="AA127" s="114">
        <v>7550.3844424358385</v>
      </c>
      <c r="AB127" s="114">
        <v>9493.8767940037178</v>
      </c>
      <c r="AC127" s="114">
        <v>7622.2856926804179</v>
      </c>
      <c r="AD127" s="114">
        <v>5554.5987518427528</v>
      </c>
      <c r="AE127" s="114">
        <v>2515.4805262813234</v>
      </c>
      <c r="AF127" s="114">
        <v>7527.3761713590602</v>
      </c>
      <c r="AG127" s="114">
        <v>8816.7180001827564</v>
      </c>
      <c r="AH127" s="114">
        <v>4099.0454624407448</v>
      </c>
      <c r="AI127" s="114">
        <v>3945.2511458226618</v>
      </c>
      <c r="AJ127" s="114">
        <v>13638.872919783425</v>
      </c>
      <c r="AK127" s="114">
        <v>13344.57947177148</v>
      </c>
      <c r="AL127" s="114">
        <v>3641.2365099094195</v>
      </c>
      <c r="AM127" s="114">
        <v>4608.9062784191592</v>
      </c>
      <c r="AN127" s="114">
        <v>9557.6020735195816</v>
      </c>
      <c r="AO127" s="114">
        <v>11369.869518213951</v>
      </c>
      <c r="AP127" s="114">
        <v>11295.490134163814</v>
      </c>
      <c r="AQ127" s="114">
        <v>11851.504013538743</v>
      </c>
      <c r="AR127" s="114">
        <v>1945.1338105336761</v>
      </c>
      <c r="AS127" s="114">
        <v>2978.9308693856783</v>
      </c>
      <c r="AT127" s="114">
        <v>3012.9170893449709</v>
      </c>
      <c r="AU127" s="114">
        <v>13098.103771780396</v>
      </c>
      <c r="AV127" s="114">
        <v>5216.2299522180892</v>
      </c>
      <c r="AW127" s="114">
        <v>8083.3318784335925</v>
      </c>
      <c r="AX127" s="114">
        <v>13446.095552847821</v>
      </c>
      <c r="AY127" s="114">
        <v>6748.0184466649771</v>
      </c>
      <c r="AZ127" s="114">
        <v>8597.4825674519216</v>
      </c>
      <c r="BA127" s="114">
        <v>9204.0246585562818</v>
      </c>
      <c r="BB127" s="114">
        <v>4214.4860694075551</v>
      </c>
      <c r="BC127" s="114">
        <v>11078.149311301278</v>
      </c>
      <c r="BD127" s="114">
        <v>12031.092424041357</v>
      </c>
      <c r="BE127" s="114">
        <v>3001.0570093570859</v>
      </c>
      <c r="BF127" s="114">
        <v>12064.316676912104</v>
      </c>
      <c r="BG127" s="114">
        <v>6182.6049844880863</v>
      </c>
      <c r="BH127" s="114">
        <v>13774.952492340324</v>
      </c>
      <c r="BI127" s="114">
        <v>4124.3917909164174</v>
      </c>
      <c r="BJ127" s="114">
        <v>4583.3447304509255</v>
      </c>
      <c r="BK127" s="114">
        <v>9456.9256426994343</v>
      </c>
      <c r="BL127" s="114">
        <v>142.6201432291042</v>
      </c>
      <c r="BM127" s="114">
        <v>3903.5764582265942</v>
      </c>
      <c r="BN127" s="114">
        <v>9555.922681827893</v>
      </c>
      <c r="BO127" s="114">
        <v>8766.3123171458519</v>
      </c>
      <c r="BP127" s="114">
        <v>3792.2208843297212</v>
      </c>
      <c r="BQ127" s="114">
        <v>6818.024744505783</v>
      </c>
      <c r="BR127" s="114">
        <v>7556.1649610952099</v>
      </c>
      <c r="BS127" s="114">
        <v>8856.4941106573478</v>
      </c>
      <c r="BT127" s="114">
        <v>8454.1606487038243</v>
      </c>
      <c r="BU127" s="114">
        <v>8733.6638526379411</v>
      </c>
      <c r="BV127" s="114">
        <v>4903.3703722850605</v>
      </c>
      <c r="BW127" s="114">
        <v>7083.828613583375</v>
      </c>
      <c r="BX127" s="114">
        <v>10984.662221481269</v>
      </c>
      <c r="BY127" s="114">
        <v>13928.379514384422</v>
      </c>
      <c r="BZ127" s="114">
        <v>6291.4204473292193</v>
      </c>
      <c r="CA127" s="114">
        <v>6609.3293224168856</v>
      </c>
      <c r="CB127" s="114">
        <v>10362.974684141982</v>
      </c>
      <c r="CC127" s="114">
        <v>12291.54773259889</v>
      </c>
      <c r="CD127" s="114">
        <v>13605.222337796351</v>
      </c>
      <c r="CE127" s="114">
        <v>8211.3998913365249</v>
      </c>
      <c r="CF127" s="114">
        <v>11006.856902834983</v>
      </c>
      <c r="CG127" s="114">
        <v>6623.572760225049</v>
      </c>
      <c r="CH127" s="114">
        <v>7675.6880328697653</v>
      </c>
      <c r="CI127" s="114">
        <v>8120.9050139510819</v>
      </c>
      <c r="CJ127" s="114">
        <v>7072.5948060622022</v>
      </c>
      <c r="CK127" s="114">
        <v>6657.8031438307971</v>
      </c>
      <c r="CL127" s="114">
        <v>9515.530905772519</v>
      </c>
      <c r="CM127" s="114">
        <v>9575.9710337059751</v>
      </c>
      <c r="CN127" s="114">
        <v>7743.2847112733025</v>
      </c>
      <c r="CO127" s="114">
        <v>8239.3608956472199</v>
      </c>
      <c r="CP127" s="114">
        <v>12700.112181420116</v>
      </c>
      <c r="CQ127" s="114">
        <v>13135.091510571006</v>
      </c>
      <c r="CR127" s="114">
        <v>6363.873087616802</v>
      </c>
      <c r="CS127" s="114">
        <v>9341.9233317454637</v>
      </c>
      <c r="CT127" s="114">
        <v>2750.6669150496309</v>
      </c>
      <c r="CU127" s="114">
        <v>6327.6246142565697</v>
      </c>
      <c r="CV127" s="114">
        <v>8719.0124201583003</v>
      </c>
      <c r="CW127" s="114">
        <v>8958.2186510407846</v>
      </c>
      <c r="CX127" s="114">
        <v>9163.2340692038106</v>
      </c>
      <c r="CY127" s="114">
        <v>6580.3285587862501</v>
      </c>
      <c r="CZ127" s="114">
        <v>636.98348813406403</v>
      </c>
      <c r="DA127" s="114">
        <v>5814.9778992026449</v>
      </c>
      <c r="DB127" s="114">
        <v>6771.6996208996925</v>
      </c>
      <c r="DC127" s="114">
        <v>8403.1703900642424</v>
      </c>
      <c r="DD127" s="114">
        <v>8917.4199966047781</v>
      </c>
      <c r="DE127" s="114">
        <v>8730.01615282688</v>
      </c>
      <c r="DF127" s="114">
        <v>1729.4050614939727</v>
      </c>
      <c r="DG127" s="114">
        <v>1293.3174965030844</v>
      </c>
      <c r="DH127" s="114">
        <v>8077.5423331907969</v>
      </c>
      <c r="DI127" s="114">
        <v>5504.7999784798294</v>
      </c>
      <c r="DJ127" s="114">
        <v>6034.2504739684027</v>
      </c>
      <c r="DK127" s="114">
        <v>7055.0592879501319</v>
      </c>
      <c r="DL127" s="114">
        <v>2626.903685289823</v>
      </c>
      <c r="DM127" s="114">
        <v>2644.5258178542176</v>
      </c>
      <c r="DN127" s="114">
        <v>14997.135409316685</v>
      </c>
      <c r="DO127" s="114">
        <v>8079.1629036794247</v>
      </c>
      <c r="DP127" s="114">
        <v>8115.5868507577916</v>
      </c>
      <c r="DQ127" s="114">
        <v>11030.895717856827</v>
      </c>
      <c r="DR127" s="114">
        <v>7681.3819023181586</v>
      </c>
      <c r="DS127" s="114">
        <v>7810.293547045876</v>
      </c>
      <c r="DT127" s="114" t="s">
        <v>237</v>
      </c>
      <c r="DU127" s="114">
        <v>8341.210433944545</v>
      </c>
      <c r="DV127" s="114">
        <v>1592.5261865088444</v>
      </c>
      <c r="DW127" s="114">
        <v>8172.8325362970154</v>
      </c>
      <c r="DX127" s="114">
        <v>9064.5092894085574</v>
      </c>
      <c r="DY127" s="114">
        <v>12036.057406041176</v>
      </c>
      <c r="DZ127" s="114">
        <v>11624.702247654646</v>
      </c>
      <c r="EA127" s="114">
        <v>13427.381791745162</v>
      </c>
      <c r="EB127" s="114">
        <v>5422.2008895423787</v>
      </c>
      <c r="EC127" s="114">
        <v>4705.9016767658841</v>
      </c>
      <c r="ED127" s="114">
        <v>12006.555700718762</v>
      </c>
      <c r="EE127" s="114">
        <v>7601.2135759861903</v>
      </c>
      <c r="EF127" s="114">
        <v>9676.1180366114259</v>
      </c>
      <c r="EG127" s="114">
        <v>6122.7944013258675</v>
      </c>
      <c r="EH127" s="114">
        <v>6743.0932142588126</v>
      </c>
      <c r="EI127" s="114">
        <v>7847.9263900468022</v>
      </c>
      <c r="EJ127" s="114">
        <v>12595.047669436733</v>
      </c>
      <c r="EK127" s="114">
        <v>8798.9002980626719</v>
      </c>
      <c r="EL127" s="114">
        <v>11304.210653198159</v>
      </c>
      <c r="EM127" s="114">
        <v>10564.130354206656</v>
      </c>
      <c r="EN127" s="114">
        <v>8711.1105745530058</v>
      </c>
      <c r="EO127" s="114">
        <v>8321.1657975772087</v>
      </c>
      <c r="EP127" s="114">
        <v>6000.0486514202148</v>
      </c>
      <c r="EQ127" s="114">
        <v>7792.7491328924261</v>
      </c>
      <c r="ER127" s="114">
        <v>9058.0963810169033</v>
      </c>
      <c r="ES127" s="114">
        <v>2678.7292423776157</v>
      </c>
      <c r="ET127" s="114">
        <v>11282.755350945548</v>
      </c>
      <c r="EU127" s="114">
        <v>10959.569472093392</v>
      </c>
      <c r="EV127" s="114">
        <v>10968.546052289623</v>
      </c>
      <c r="EW127" s="114">
        <v>7954.1916243421574</v>
      </c>
      <c r="EX127" s="114">
        <v>3987.7321350485608</v>
      </c>
      <c r="EY127" s="114">
        <v>5761.7851883600097</v>
      </c>
      <c r="EZ127" s="114">
        <v>6967.0857086919532</v>
      </c>
      <c r="FA127" s="114">
        <v>7886.7687400104778</v>
      </c>
      <c r="FB127" s="114">
        <v>6194.7696535855121</v>
      </c>
      <c r="FC127" s="114">
        <v>8226.4282140551859</v>
      </c>
      <c r="FD127" s="114">
        <v>8333.2109467463288</v>
      </c>
      <c r="FE127" s="114">
        <v>8168.2294697292245</v>
      </c>
      <c r="FF127" s="114">
        <v>3369.8161056960844</v>
      </c>
      <c r="FG127" s="114">
        <v>421.75880976689899</v>
      </c>
      <c r="FH127" s="114">
        <v>12042.461554564707</v>
      </c>
      <c r="FI127" s="114">
        <v>3384.788287777601</v>
      </c>
      <c r="FJ127" s="114">
        <v>8202.2240682408901</v>
      </c>
      <c r="FK127" s="114">
        <v>8067.9645025718355</v>
      </c>
      <c r="FL127" s="114">
        <v>6279.1759589429821</v>
      </c>
      <c r="FM127" s="114">
        <v>4546.7617111392374</v>
      </c>
      <c r="FN127" s="114">
        <v>10013.711836395465</v>
      </c>
      <c r="FO127" s="114">
        <v>9518.4718730738441</v>
      </c>
      <c r="FP127" s="114">
        <v>8409.256683142823</v>
      </c>
      <c r="FQ127" s="114">
        <v>6559.876728477695</v>
      </c>
      <c r="FR127" s="114">
        <v>11108.420943698649</v>
      </c>
      <c r="FS127" s="114">
        <v>8043.0486253339659</v>
      </c>
      <c r="FT127" s="114">
        <v>2214.4096211938099</v>
      </c>
      <c r="FU127" s="114">
        <v>8538.9443173233813</v>
      </c>
      <c r="FV127" s="114">
        <v>9906.5430295452734</v>
      </c>
      <c r="FW127" s="114">
        <v>4868.0259960302919</v>
      </c>
      <c r="FX127" s="114">
        <v>10895.45410553799</v>
      </c>
      <c r="FY127" s="114">
        <v>7285.0282139969522</v>
      </c>
      <c r="FZ127" s="114">
        <v>7244.3854573542512</v>
      </c>
      <c r="GA127" s="114">
        <v>7542.0000049525106</v>
      </c>
      <c r="GB127" s="114">
        <v>2866.6060138708822</v>
      </c>
      <c r="GC127" s="114">
        <v>8439.8698194538774</v>
      </c>
      <c r="GD127" s="114">
        <v>6023.8834700009056</v>
      </c>
      <c r="GE127" s="114">
        <v>9122.6264802393216</v>
      </c>
      <c r="GF127" s="114">
        <v>17035.413556025265</v>
      </c>
      <c r="GG127" s="114">
        <v>13152.404076786966</v>
      </c>
      <c r="GH127" s="114">
        <v>12946.700144487691</v>
      </c>
      <c r="GI127" s="114">
        <v>13370.098278271409</v>
      </c>
      <c r="GJ127" s="114">
        <v>8299.3172109428815</v>
      </c>
      <c r="GK127" s="114">
        <v>8337.318960029761</v>
      </c>
      <c r="GL127" s="114">
        <v>11381.824516573099</v>
      </c>
      <c r="GM127" s="114">
        <v>9442.963331654857</v>
      </c>
      <c r="GN127" s="114">
        <v>4731.3388747819663</v>
      </c>
      <c r="GO127" s="114">
        <v>1224.2967996141285</v>
      </c>
      <c r="GP127" s="114">
        <v>916.13935742568117</v>
      </c>
      <c r="GQ127" s="114">
        <v>8993.299366926336</v>
      </c>
      <c r="GR127" s="114">
        <v>10540.521467817785</v>
      </c>
      <c r="GS127" s="114">
        <v>8455.2898857216696</v>
      </c>
      <c r="GT127" s="115">
        <v>434.23384629857838</v>
      </c>
    </row>
    <row r="128" spans="2:202" x14ac:dyDescent="0.6">
      <c r="B128" s="106" t="s">
        <v>116</v>
      </c>
      <c r="C128" s="63" t="s">
        <v>539</v>
      </c>
      <c r="D128" s="113">
        <v>3348.5237372474144</v>
      </c>
      <c r="E128" s="114">
        <v>9201.8951312321788</v>
      </c>
      <c r="F128" s="114">
        <v>9175.1343653597196</v>
      </c>
      <c r="G128" s="114">
        <v>9542.5638706129157</v>
      </c>
      <c r="H128" s="114">
        <v>15573.882493458068</v>
      </c>
      <c r="I128" s="114">
        <v>16793.511312473915</v>
      </c>
      <c r="J128" s="114">
        <v>5622.8633008468805</v>
      </c>
      <c r="K128" s="114">
        <v>8058.1716110635452</v>
      </c>
      <c r="L128" s="114">
        <v>7917.2728241312961</v>
      </c>
      <c r="M128" s="114">
        <v>5196.527907278075</v>
      </c>
      <c r="N128" s="114">
        <v>15345.402458493381</v>
      </c>
      <c r="O128" s="114">
        <v>4850.1545294883581</v>
      </c>
      <c r="P128" s="114">
        <v>993.58278696091043</v>
      </c>
      <c r="Q128" s="114">
        <v>15771.313883982421</v>
      </c>
      <c r="R128" s="114">
        <v>7154.7327878933529</v>
      </c>
      <c r="S128" s="114">
        <v>8741.8557655223867</v>
      </c>
      <c r="T128" s="114">
        <v>16243.23222673308</v>
      </c>
      <c r="U128" s="114">
        <v>10212.235401370392</v>
      </c>
      <c r="V128" s="114">
        <v>1393.2398408701069</v>
      </c>
      <c r="W128" s="114">
        <v>18339.898711713893</v>
      </c>
      <c r="X128" s="114">
        <v>7795.2772216511421</v>
      </c>
      <c r="Y128" s="114">
        <v>8903.9375279456508</v>
      </c>
      <c r="Z128" s="114">
        <v>16064.270881662587</v>
      </c>
      <c r="AA128" s="114">
        <v>15714.763332411449</v>
      </c>
      <c r="AB128" s="114">
        <v>2442.7277258831191</v>
      </c>
      <c r="AC128" s="114">
        <v>7399.4489709970221</v>
      </c>
      <c r="AD128" s="114">
        <v>10407.766474896067</v>
      </c>
      <c r="AE128" s="114">
        <v>7673.2558748079064</v>
      </c>
      <c r="AF128" s="114">
        <v>12513.735069774262</v>
      </c>
      <c r="AG128" s="114">
        <v>1061.1788236893356</v>
      </c>
      <c r="AH128" s="114">
        <v>9507.1194639644182</v>
      </c>
      <c r="AI128" s="114">
        <v>9348.779323034656</v>
      </c>
      <c r="AJ128" s="114">
        <v>13311.701913505036</v>
      </c>
      <c r="AK128" s="114">
        <v>13100.115239749886</v>
      </c>
      <c r="AL128" s="114">
        <v>8580.0303213592051</v>
      </c>
      <c r="AM128" s="114">
        <v>8749.4670593508345</v>
      </c>
      <c r="AN128" s="114">
        <v>17714.941440670984</v>
      </c>
      <c r="AO128" s="114">
        <v>3036.7345780783317</v>
      </c>
      <c r="AP128" s="114">
        <v>3216.7059756025592</v>
      </c>
      <c r="AQ128" s="114">
        <v>17464.592988548695</v>
      </c>
      <c r="AR128" s="114">
        <v>6603.0842834704126</v>
      </c>
      <c r="AS128" s="114">
        <v>9176.2712099284909</v>
      </c>
      <c r="AT128" s="114">
        <v>9188.9612603738206</v>
      </c>
      <c r="AU128" s="114">
        <v>17123.917378339804</v>
      </c>
      <c r="AV128" s="114">
        <v>10922.486924857141</v>
      </c>
      <c r="AW128" s="114">
        <v>7989.1494298539201</v>
      </c>
      <c r="AX128" s="114">
        <v>15616.194654483892</v>
      </c>
      <c r="AY128" s="114">
        <v>6526.0353296519179</v>
      </c>
      <c r="AZ128" s="114">
        <v>8046.2562646476345</v>
      </c>
      <c r="BA128" s="114">
        <v>8123.9863783100773</v>
      </c>
      <c r="BB128" s="114">
        <v>5846.7448375524791</v>
      </c>
      <c r="BC128" s="114">
        <v>15712.015211925931</v>
      </c>
      <c r="BD128" s="114">
        <v>15849.807257109147</v>
      </c>
      <c r="BE128" s="114">
        <v>9189.3989686557197</v>
      </c>
      <c r="BF128" s="114">
        <v>18106.663010957705</v>
      </c>
      <c r="BG128" s="114">
        <v>6731.6728762509092</v>
      </c>
      <c r="BH128" s="114">
        <v>16645.213915177555</v>
      </c>
      <c r="BI128" s="114">
        <v>9654.0244303896088</v>
      </c>
      <c r="BJ128" s="114">
        <v>6147.7109898410381</v>
      </c>
      <c r="BK128" s="114">
        <v>7404.9903166560507</v>
      </c>
      <c r="BL128" s="114">
        <v>8483.7984589491152</v>
      </c>
      <c r="BM128" s="114">
        <v>6301.7209494117851</v>
      </c>
      <c r="BN128" s="114">
        <v>7387.978789122144</v>
      </c>
      <c r="BO128" s="114">
        <v>8933.6787201097759</v>
      </c>
      <c r="BP128" s="114">
        <v>9673.3475608569261</v>
      </c>
      <c r="BQ128" s="114">
        <v>11906.444014425784</v>
      </c>
      <c r="BR128" s="114">
        <v>5640.3231946803689</v>
      </c>
      <c r="BS128" s="114">
        <v>8092.7680233513729</v>
      </c>
      <c r="BT128" s="114">
        <v>8259.644880895321</v>
      </c>
      <c r="BU128" s="114">
        <v>8437.7208727023299</v>
      </c>
      <c r="BV128" s="114">
        <v>10503.184948766891</v>
      </c>
      <c r="BW128" s="114">
        <v>7398.1466859569782</v>
      </c>
      <c r="BX128" s="114">
        <v>16024.39328193696</v>
      </c>
      <c r="BY128" s="114">
        <v>16513.021640781411</v>
      </c>
      <c r="BZ128" s="114">
        <v>11770.42869171494</v>
      </c>
      <c r="CA128" s="114">
        <v>11885.909362899456</v>
      </c>
      <c r="CB128" s="114">
        <v>16208.200375471486</v>
      </c>
      <c r="CC128" s="114">
        <v>15937.303734348128</v>
      </c>
      <c r="CD128" s="114">
        <v>16603.855931368427</v>
      </c>
      <c r="CE128" s="114">
        <v>7710.71320218043</v>
      </c>
      <c r="CF128" s="114">
        <v>9627.9274522371179</v>
      </c>
      <c r="CG128" s="114">
        <v>2484.4761822065079</v>
      </c>
      <c r="CH128" s="114">
        <v>2360.8348174880712</v>
      </c>
      <c r="CI128" s="114">
        <v>2746.0262467541052</v>
      </c>
      <c r="CJ128" s="114">
        <v>4907.7841112063525</v>
      </c>
      <c r="CK128" s="114">
        <v>5497.5308513335067</v>
      </c>
      <c r="CL128" s="114">
        <v>9344.197241771235</v>
      </c>
      <c r="CM128" s="114">
        <v>12557.539663955164</v>
      </c>
      <c r="CN128" s="114">
        <v>8305.7831665958456</v>
      </c>
      <c r="CO128" s="114">
        <v>8483.5082928895008</v>
      </c>
      <c r="CP128" s="114">
        <v>16101.931333050283</v>
      </c>
      <c r="CQ128" s="114">
        <v>4796.8615190074061</v>
      </c>
      <c r="CR128" s="114">
        <v>6309.5651114884686</v>
      </c>
      <c r="CS128" s="114">
        <v>4441.7226513847645</v>
      </c>
      <c r="CT128" s="114">
        <v>6834.5360085438133</v>
      </c>
      <c r="CU128" s="114">
        <v>5102.6085886805276</v>
      </c>
      <c r="CV128" s="114">
        <v>3560.695555427711</v>
      </c>
      <c r="CW128" s="114">
        <v>660.61884629345229</v>
      </c>
      <c r="CX128" s="114">
        <v>7395.4043826209609</v>
      </c>
      <c r="CY128" s="114">
        <v>6332.6678301872271</v>
      </c>
      <c r="CZ128" s="114">
        <v>8961.9635983378284</v>
      </c>
      <c r="DA128" s="114">
        <v>11571.571541108355</v>
      </c>
      <c r="DB128" s="114">
        <v>8405.1169819599345</v>
      </c>
      <c r="DC128" s="114">
        <v>8445.0092183097404</v>
      </c>
      <c r="DD128" s="114">
        <v>7302.4287184560826</v>
      </c>
      <c r="DE128" s="114">
        <v>8635.3890815538289</v>
      </c>
      <c r="DF128" s="114">
        <v>6614.581859173345</v>
      </c>
      <c r="DG128" s="114">
        <v>7674.8665503428765</v>
      </c>
      <c r="DH128" s="114">
        <v>1590.5954884347918</v>
      </c>
      <c r="DI128" s="114">
        <v>2859.5730367806173</v>
      </c>
      <c r="DJ128" s="114">
        <v>11045.320627843199</v>
      </c>
      <c r="DK128" s="114">
        <v>8234.6493564964767</v>
      </c>
      <c r="DL128" s="114">
        <v>5878.9904775848718</v>
      </c>
      <c r="DM128" s="114">
        <v>5867.8468651442681</v>
      </c>
      <c r="DN128" s="114">
        <v>15712.464498516394</v>
      </c>
      <c r="DO128" s="114">
        <v>6968.530535705796</v>
      </c>
      <c r="DP128" s="114">
        <v>8655.7590949003334</v>
      </c>
      <c r="DQ128" s="114">
        <v>3633.9741803117263</v>
      </c>
      <c r="DR128" s="114">
        <v>7722.1416266168299</v>
      </c>
      <c r="DS128" s="114">
        <v>10140.964791067345</v>
      </c>
      <c r="DT128" s="114">
        <v>8341.210433944545</v>
      </c>
      <c r="DU128" s="114" t="s">
        <v>527</v>
      </c>
      <c r="DV128" s="114">
        <v>9630.562462378979</v>
      </c>
      <c r="DW128" s="114">
        <v>1666.3366242354475</v>
      </c>
      <c r="DX128" s="114">
        <v>8680.2548815921491</v>
      </c>
      <c r="DY128" s="114">
        <v>10120.926089938717</v>
      </c>
      <c r="DZ128" s="114">
        <v>10255.433022776237</v>
      </c>
      <c r="EA128" s="114">
        <v>16833.955711286158</v>
      </c>
      <c r="EB128" s="114">
        <v>10022.764457854559</v>
      </c>
      <c r="EC128" s="114">
        <v>9605.5473961879379</v>
      </c>
      <c r="ED128" s="114">
        <v>3781.2892608811949</v>
      </c>
      <c r="EE128" s="114">
        <v>7560.7582853931808</v>
      </c>
      <c r="EF128" s="114">
        <v>8198.5617674908844</v>
      </c>
      <c r="EG128" s="114">
        <v>4018.4207386675212</v>
      </c>
      <c r="EH128" s="114">
        <v>3164.0120571231587</v>
      </c>
      <c r="EI128" s="114">
        <v>2983.1767007466442</v>
      </c>
      <c r="EJ128" s="114">
        <v>17141.234427866126</v>
      </c>
      <c r="EK128" s="114">
        <v>17103.47560291332</v>
      </c>
      <c r="EL128" s="114">
        <v>19130.956190947465</v>
      </c>
      <c r="EM128" s="114">
        <v>2666.3954345206485</v>
      </c>
      <c r="EN128" s="114">
        <v>7565.8692144267452</v>
      </c>
      <c r="EO128" s="114">
        <v>10149.646468063263</v>
      </c>
      <c r="EP128" s="114">
        <v>4739.4659799047531</v>
      </c>
      <c r="EQ128" s="114">
        <v>7165.6199471739656</v>
      </c>
      <c r="ER128" s="114">
        <v>6557.7355645155003</v>
      </c>
      <c r="ES128" s="114">
        <v>7526.679227946478</v>
      </c>
      <c r="ET128" s="114">
        <v>15603.922288663516</v>
      </c>
      <c r="EU128" s="114">
        <v>15774.301464968145</v>
      </c>
      <c r="EV128" s="114">
        <v>15889.584890300441</v>
      </c>
      <c r="EW128" s="114">
        <v>8272.562426779672</v>
      </c>
      <c r="EX128" s="114">
        <v>9984.1323658302626</v>
      </c>
      <c r="EY128" s="114">
        <v>5235.1780393225135</v>
      </c>
      <c r="EZ128" s="114">
        <v>11950.255105025048</v>
      </c>
      <c r="FA128" s="114">
        <v>7620.7020830957936</v>
      </c>
      <c r="FB128" s="114">
        <v>11775.023438805041</v>
      </c>
      <c r="FC128" s="114">
        <v>1874.7583456740986</v>
      </c>
      <c r="FD128" s="114">
        <v>7854.4309088751916</v>
      </c>
      <c r="FE128" s="114">
        <v>8079.7804391804639</v>
      </c>
      <c r="FF128" s="114">
        <v>5797.036113112752</v>
      </c>
      <c r="FG128" s="114">
        <v>8713.8251373158018</v>
      </c>
      <c r="FH128" s="114">
        <v>3766.7928439509778</v>
      </c>
      <c r="FI128" s="114">
        <v>7150.3731247728347</v>
      </c>
      <c r="FJ128" s="114">
        <v>9623.3599200910976</v>
      </c>
      <c r="FK128" s="114">
        <v>9133.9820945140818</v>
      </c>
      <c r="FL128" s="114">
        <v>2068.1866543808501</v>
      </c>
      <c r="FM128" s="114">
        <v>6800.0434793358045</v>
      </c>
      <c r="FN128" s="114">
        <v>16025.211620527974</v>
      </c>
      <c r="FO128" s="114">
        <v>7770.7911541211915</v>
      </c>
      <c r="FP128" s="114">
        <v>8606.928051282388</v>
      </c>
      <c r="FQ128" s="114">
        <v>6251.2153252334519</v>
      </c>
      <c r="FR128" s="114">
        <v>2799.1294148990974</v>
      </c>
      <c r="FS128" s="114">
        <v>3634.7729848724398</v>
      </c>
      <c r="FT128" s="114">
        <v>6771.8711448911326</v>
      </c>
      <c r="FU128" s="114">
        <v>552.47732677032855</v>
      </c>
      <c r="FV128" s="114">
        <v>4221.1675777760993</v>
      </c>
      <c r="FW128" s="114">
        <v>10345.836334159745</v>
      </c>
      <c r="FX128" s="114">
        <v>16129.282630002283</v>
      </c>
      <c r="FY128" s="114">
        <v>8587.7542274783118</v>
      </c>
      <c r="FZ128" s="114">
        <v>6609.6290933100536</v>
      </c>
      <c r="GA128" s="114">
        <v>4466.4768213613661</v>
      </c>
      <c r="GB128" s="114">
        <v>7225.5690451126547</v>
      </c>
      <c r="GC128" s="114">
        <v>6905.8947392212276</v>
      </c>
      <c r="GD128" s="114">
        <v>4444.9750509784335</v>
      </c>
      <c r="GE128" s="114">
        <v>9009.6573359441663</v>
      </c>
      <c r="GF128" s="114">
        <v>13319.425577413342</v>
      </c>
      <c r="GG128" s="114">
        <v>13578.858494475311</v>
      </c>
      <c r="GH128" s="114">
        <v>13346.526572635908</v>
      </c>
      <c r="GI128" s="114">
        <v>13819.318548084042</v>
      </c>
      <c r="GJ128" s="114">
        <v>16606.576331068653</v>
      </c>
      <c r="GK128" s="114">
        <v>3781.9790705482778</v>
      </c>
      <c r="GL128" s="114">
        <v>16486.864163301019</v>
      </c>
      <c r="GM128" s="114">
        <v>1104.3611763325118</v>
      </c>
      <c r="GN128" s="114">
        <v>5547.2940130651032</v>
      </c>
      <c r="GO128" s="114">
        <v>8256.8508327881427</v>
      </c>
      <c r="GP128" s="114">
        <v>8071.1685560375099</v>
      </c>
      <c r="GQ128" s="114">
        <v>1288.4640172145566</v>
      </c>
      <c r="GR128" s="114">
        <v>8005.071919055491</v>
      </c>
      <c r="GS128" s="114">
        <v>8496.8406184886207</v>
      </c>
      <c r="GT128" s="115">
        <v>8757.039899947049</v>
      </c>
    </row>
    <row r="129" spans="2:202" x14ac:dyDescent="0.6">
      <c r="B129" s="106" t="s">
        <v>117</v>
      </c>
      <c r="C129" s="63" t="s">
        <v>490</v>
      </c>
      <c r="D129" s="113">
        <v>8360.9250555279996</v>
      </c>
      <c r="E129" s="114">
        <v>6697.4629377866559</v>
      </c>
      <c r="F129" s="114">
        <v>7369.0286013851592</v>
      </c>
      <c r="G129" s="114">
        <v>1595.1704107641137</v>
      </c>
      <c r="H129" s="114">
        <v>9634.4180635400335</v>
      </c>
      <c r="I129" s="114">
        <v>7439.2729611716759</v>
      </c>
      <c r="J129" s="114">
        <v>7497.3103965995106</v>
      </c>
      <c r="K129" s="114">
        <v>12090.582639603168</v>
      </c>
      <c r="L129" s="114">
        <v>7836.3339102820073</v>
      </c>
      <c r="M129" s="114">
        <v>7736.5068856655271</v>
      </c>
      <c r="N129" s="114">
        <v>11440.031465737902</v>
      </c>
      <c r="O129" s="114">
        <v>6469.5736454262169</v>
      </c>
      <c r="P129" s="114">
        <v>9409.1232452808545</v>
      </c>
      <c r="Q129" s="114">
        <v>9196.7872155038676</v>
      </c>
      <c r="R129" s="114">
        <v>8494.0606133994006</v>
      </c>
      <c r="S129" s="114">
        <v>8199.3397995427767</v>
      </c>
      <c r="T129" s="114">
        <v>12258.964451242669</v>
      </c>
      <c r="U129" s="114">
        <v>3554.2410472003107</v>
      </c>
      <c r="V129" s="114">
        <v>9536.4194540140288</v>
      </c>
      <c r="W129" s="114">
        <v>8845.8262539168081</v>
      </c>
      <c r="X129" s="114">
        <v>7325.4711033722051</v>
      </c>
      <c r="Y129" s="114">
        <v>901.06303922605014</v>
      </c>
      <c r="Z129" s="114">
        <v>6464.6116831458803</v>
      </c>
      <c r="AA129" s="114">
        <v>6133.8939715019042</v>
      </c>
      <c r="AB129" s="114">
        <v>11016.12531653913</v>
      </c>
      <c r="AC129" s="114">
        <v>7233.1471675482262</v>
      </c>
      <c r="AD129" s="114">
        <v>4325.917606600794</v>
      </c>
      <c r="AE129" s="114">
        <v>2503.5118518411132</v>
      </c>
      <c r="AF129" s="114">
        <v>6050.5825814109503</v>
      </c>
      <c r="AG129" s="114">
        <v>10227.497904132159</v>
      </c>
      <c r="AH129" s="114">
        <v>3041.7729241874467</v>
      </c>
      <c r="AI129" s="114">
        <v>2940.1510765642297</v>
      </c>
      <c r="AJ129" s="114">
        <v>12202.17523336687</v>
      </c>
      <c r="AK129" s="114">
        <v>11935.979833466465</v>
      </c>
      <c r="AL129" s="114">
        <v>2958.9918346212503</v>
      </c>
      <c r="AM129" s="114">
        <v>3839.9653253882366</v>
      </c>
      <c r="AN129" s="114">
        <v>8443.7906828096748</v>
      </c>
      <c r="AO129" s="114">
        <v>12587.994123363276</v>
      </c>
      <c r="AP129" s="114">
        <v>12324.168959193606</v>
      </c>
      <c r="AQ129" s="114">
        <v>10297.620860576268</v>
      </c>
      <c r="AR129" s="114">
        <v>3027.4797294052278</v>
      </c>
      <c r="AS129" s="114">
        <v>2012.6041120478196</v>
      </c>
      <c r="AT129" s="114">
        <v>2040.9241244218003</v>
      </c>
      <c r="AU129" s="114">
        <v>11538.898974004078</v>
      </c>
      <c r="AV129" s="114">
        <v>3838.797569487414</v>
      </c>
      <c r="AW129" s="114">
        <v>7546.023331168949</v>
      </c>
      <c r="AX129" s="114">
        <v>11855.342299963613</v>
      </c>
      <c r="AY129" s="114">
        <v>6613.0301984562211</v>
      </c>
      <c r="AZ129" s="114">
        <v>8055.3189923400232</v>
      </c>
      <c r="BA129" s="114">
        <v>8658.0252200609721</v>
      </c>
      <c r="BB129" s="114">
        <v>4619.4834287737567</v>
      </c>
      <c r="BC129" s="114">
        <v>9487.1142240541722</v>
      </c>
      <c r="BD129" s="114">
        <v>10439.712043533422</v>
      </c>
      <c r="BE129" s="114">
        <v>2028.4256604966026</v>
      </c>
      <c r="BF129" s="114">
        <v>10555.373747676185</v>
      </c>
      <c r="BG129" s="114">
        <v>6014.0986585719684</v>
      </c>
      <c r="BH129" s="114">
        <v>12205.753441609604</v>
      </c>
      <c r="BI129" s="114">
        <v>3015.2014970012406</v>
      </c>
      <c r="BJ129" s="114">
        <v>4786.8862496614165</v>
      </c>
      <c r="BK129" s="114">
        <v>9095.8264486726002</v>
      </c>
      <c r="BL129" s="114">
        <v>1482.6775913569641</v>
      </c>
      <c r="BM129" s="114">
        <v>4194.7587957655705</v>
      </c>
      <c r="BN129" s="114">
        <v>9202.2896089915357</v>
      </c>
      <c r="BO129" s="114">
        <v>8015.5185681415815</v>
      </c>
      <c r="BP129" s="114">
        <v>2650.5840905772729</v>
      </c>
      <c r="BQ129" s="114">
        <v>5383.0061614204524</v>
      </c>
      <c r="BR129" s="114">
        <v>7636.0833779674804</v>
      </c>
      <c r="BS129" s="114">
        <v>8308.8718387799217</v>
      </c>
      <c r="BT129" s="114">
        <v>7856.4911989829034</v>
      </c>
      <c r="BU129" s="114">
        <v>8099.3309007507396</v>
      </c>
      <c r="BV129" s="114">
        <v>3598.4599166137355</v>
      </c>
      <c r="BW129" s="114">
        <v>6697.6986048916506</v>
      </c>
      <c r="BX129" s="114">
        <v>9392.222724287265</v>
      </c>
      <c r="BY129" s="114">
        <v>12356.272855150022</v>
      </c>
      <c r="BZ129" s="114">
        <v>4842.102339613386</v>
      </c>
      <c r="CA129" s="114">
        <v>5163.9411905054667</v>
      </c>
      <c r="CB129" s="114">
        <v>8774.6514161629948</v>
      </c>
      <c r="CC129" s="114">
        <v>10699.45071473011</v>
      </c>
      <c r="CD129" s="114">
        <v>12029.746191143156</v>
      </c>
      <c r="CE129" s="114">
        <v>7746.237475326644</v>
      </c>
      <c r="CF129" s="114">
        <v>10175.678630975728</v>
      </c>
      <c r="CG129" s="114">
        <v>7616.6928752405365</v>
      </c>
      <c r="CH129" s="114">
        <v>8561.0083277816284</v>
      </c>
      <c r="CI129" s="114">
        <v>9684.9385524316458</v>
      </c>
      <c r="CJ129" s="114">
        <v>7369.8987952573207</v>
      </c>
      <c r="CK129" s="114">
        <v>6819.7981811516074</v>
      </c>
      <c r="CL129" s="114">
        <v>8694.6781850837724</v>
      </c>
      <c r="CM129" s="114">
        <v>8179.4451082985588</v>
      </c>
      <c r="CN129" s="114">
        <v>7121.101998445477</v>
      </c>
      <c r="CO129" s="114">
        <v>7582.3629547055543</v>
      </c>
      <c r="CP129" s="114">
        <v>11107.666160535666</v>
      </c>
      <c r="CQ129" s="114">
        <v>14332.281648659206</v>
      </c>
      <c r="CR129" s="114">
        <v>6310.4076084657181</v>
      </c>
      <c r="CS129" s="114">
        <v>9731.5525075248388</v>
      </c>
      <c r="CT129" s="114">
        <v>3156.7893378261674</v>
      </c>
      <c r="CU129" s="114">
        <v>6630.7856353326206</v>
      </c>
      <c r="CV129" s="114">
        <v>9306.2743160426053</v>
      </c>
      <c r="CW129" s="114">
        <v>10275.181517797564</v>
      </c>
      <c r="CX129" s="114">
        <v>8796.0147835464431</v>
      </c>
      <c r="CY129" s="114">
        <v>6508.1576838064684</v>
      </c>
      <c r="CZ129" s="114">
        <v>1276.61872010601</v>
      </c>
      <c r="DA129" s="114">
        <v>4362.3214081460392</v>
      </c>
      <c r="DB129" s="114">
        <v>6112.5058124111056</v>
      </c>
      <c r="DC129" s="114">
        <v>7759.1652001232433</v>
      </c>
      <c r="DD129" s="114">
        <v>8567.5741049943281</v>
      </c>
      <c r="DE129" s="114">
        <v>8048.3330948037128</v>
      </c>
      <c r="DF129" s="114">
        <v>3176.5597483261099</v>
      </c>
      <c r="DG129" s="114">
        <v>1967.1231672179165</v>
      </c>
      <c r="DH129" s="114">
        <v>9559.5171298865498</v>
      </c>
      <c r="DI129" s="114">
        <v>6772.8223694692042</v>
      </c>
      <c r="DJ129" s="114">
        <v>4697.1823525429127</v>
      </c>
      <c r="DK129" s="114">
        <v>6443.4966539157967</v>
      </c>
      <c r="DL129" s="114">
        <v>4168.4090987765694</v>
      </c>
      <c r="DM129" s="114">
        <v>4187.5131706480979</v>
      </c>
      <c r="DN129" s="114">
        <v>13416.175509228011</v>
      </c>
      <c r="DO129" s="114">
        <v>7803.3901752907241</v>
      </c>
      <c r="DP129" s="114">
        <v>7413.9727645886014</v>
      </c>
      <c r="DQ129" s="114">
        <v>11821.75057123137</v>
      </c>
      <c r="DR129" s="114">
        <v>7208.0489580654439</v>
      </c>
      <c r="DS129" s="114">
        <v>6758.2851402217029</v>
      </c>
      <c r="DT129" s="114">
        <v>1592.5261865088444</v>
      </c>
      <c r="DU129" s="114">
        <v>9630.562462378979</v>
      </c>
      <c r="DV129" s="114" t="s">
        <v>237</v>
      </c>
      <c r="DW129" s="114">
        <v>9176.7045109379778</v>
      </c>
      <c r="DX129" s="114">
        <v>8381.4941894440726</v>
      </c>
      <c r="DY129" s="114">
        <v>13028.367113859709</v>
      </c>
      <c r="DZ129" s="114">
        <v>12573.399109043079</v>
      </c>
      <c r="EA129" s="114">
        <v>11859.446452293168</v>
      </c>
      <c r="EB129" s="114">
        <v>4284.0982810186651</v>
      </c>
      <c r="EC129" s="114">
        <v>3648.6931721899291</v>
      </c>
      <c r="ED129" s="114">
        <v>13086.585657576539</v>
      </c>
      <c r="EE129" s="114">
        <v>7169.6654590583485</v>
      </c>
      <c r="EF129" s="114">
        <v>9126.7892122635458</v>
      </c>
      <c r="EG129" s="114">
        <v>6768.4399469548671</v>
      </c>
      <c r="EH129" s="114">
        <v>7533.7633200960354</v>
      </c>
      <c r="EI129" s="114">
        <v>8582.7827422621158</v>
      </c>
      <c r="EJ129" s="114">
        <v>11028.523099820122</v>
      </c>
      <c r="EK129" s="114">
        <v>7473.2119085362419</v>
      </c>
      <c r="EL129" s="114">
        <v>9909.9054224798074</v>
      </c>
      <c r="EM129" s="114">
        <v>12020.192942339057</v>
      </c>
      <c r="EN129" s="114">
        <v>8290.7591898558803</v>
      </c>
      <c r="EO129" s="114">
        <v>7286.7022110987682</v>
      </c>
      <c r="EP129" s="114">
        <v>6449.3177568351584</v>
      </c>
      <c r="EQ129" s="114">
        <v>7465.0444359752582</v>
      </c>
      <c r="ER129" s="114">
        <v>8900.4345383571781</v>
      </c>
      <c r="ES129" s="114">
        <v>2702.429291826244</v>
      </c>
      <c r="ET129" s="114">
        <v>9693.7576749717227</v>
      </c>
      <c r="EU129" s="114">
        <v>9367.7177453115964</v>
      </c>
      <c r="EV129" s="114">
        <v>9376.1124101933183</v>
      </c>
      <c r="EW129" s="114">
        <v>7343.7373033378235</v>
      </c>
      <c r="EX129" s="114">
        <v>2749.9668530902495</v>
      </c>
      <c r="EY129" s="114">
        <v>6091.1156417048478</v>
      </c>
      <c r="EZ129" s="114">
        <v>5534.7453032275671</v>
      </c>
      <c r="FA129" s="114">
        <v>7441.0964717570687</v>
      </c>
      <c r="FB129" s="114">
        <v>4737.7926229689756</v>
      </c>
      <c r="FC129" s="114">
        <v>9733.7205565808781</v>
      </c>
      <c r="FD129" s="114">
        <v>7833.6831545291934</v>
      </c>
      <c r="FE129" s="114">
        <v>7609.5404848014205</v>
      </c>
      <c r="FF129" s="114">
        <v>4087.9237925929669</v>
      </c>
      <c r="FG129" s="114">
        <v>1177.1936060621824</v>
      </c>
      <c r="FH129" s="114">
        <v>13165.00176367751</v>
      </c>
      <c r="FI129" s="114">
        <v>3413.3453288105725</v>
      </c>
      <c r="FJ129" s="114">
        <v>7277.3379282995475</v>
      </c>
      <c r="FK129" s="114">
        <v>7251.0222473504618</v>
      </c>
      <c r="FL129" s="114">
        <v>7568.7912174565454</v>
      </c>
      <c r="FM129" s="114">
        <v>4507.4498586444279</v>
      </c>
      <c r="FN129" s="114">
        <v>8424.6777836032052</v>
      </c>
      <c r="FO129" s="114">
        <v>9068.4015921013633</v>
      </c>
      <c r="FP129" s="114">
        <v>7726.2711363880535</v>
      </c>
      <c r="FQ129" s="114">
        <v>6512.2545251722458</v>
      </c>
      <c r="FR129" s="114">
        <v>12429.635623189986</v>
      </c>
      <c r="FS129" s="114">
        <v>8617.818877340449</v>
      </c>
      <c r="FT129" s="114">
        <v>2944.7337734163448</v>
      </c>
      <c r="FU129" s="114">
        <v>9898.4515770251473</v>
      </c>
      <c r="FV129" s="114">
        <v>11498.786913420536</v>
      </c>
      <c r="FW129" s="114">
        <v>3601.9212408712101</v>
      </c>
      <c r="FX129" s="114">
        <v>9303.6942896010059</v>
      </c>
      <c r="FY129" s="114">
        <v>6584.1789522082363</v>
      </c>
      <c r="FZ129" s="114">
        <v>7071.0053038757069</v>
      </c>
      <c r="GA129" s="114">
        <v>7929.5549319841566</v>
      </c>
      <c r="GB129" s="114">
        <v>3003.2593612760134</v>
      </c>
      <c r="GC129" s="114">
        <v>8182.8637431476618</v>
      </c>
      <c r="GD129" s="114">
        <v>6558.2163731252986</v>
      </c>
      <c r="GE129" s="114">
        <v>8364.8053974918148</v>
      </c>
      <c r="GF129" s="114">
        <v>15482.780879448828</v>
      </c>
      <c r="GG129" s="114">
        <v>11688.743138532303</v>
      </c>
      <c r="GH129" s="114">
        <v>11509.328006702061</v>
      </c>
      <c r="GI129" s="114">
        <v>11880.628744344518</v>
      </c>
      <c r="GJ129" s="114">
        <v>7130.9710029467042</v>
      </c>
      <c r="GK129" s="114">
        <v>8871.4178314852979</v>
      </c>
      <c r="GL129" s="114">
        <v>9793.439398525099</v>
      </c>
      <c r="GM129" s="114">
        <v>10731.487139479124</v>
      </c>
      <c r="GN129" s="114">
        <v>5131.8816984453879</v>
      </c>
      <c r="GO129" s="114">
        <v>1408.9380462159527</v>
      </c>
      <c r="GP129" s="114">
        <v>1559.8131003411761</v>
      </c>
      <c r="GQ129" s="114">
        <v>10421.234436090152</v>
      </c>
      <c r="GR129" s="114">
        <v>11864.741951220287</v>
      </c>
      <c r="GS129" s="114">
        <v>7799.9302340117556</v>
      </c>
      <c r="GT129" s="115">
        <v>1193.2031751750496</v>
      </c>
    </row>
    <row r="130" spans="2:202" x14ac:dyDescent="0.6">
      <c r="B130" s="106" t="s">
        <v>118</v>
      </c>
      <c r="C130" s="63" t="s">
        <v>491</v>
      </c>
      <c r="D130" s="113">
        <v>1710.3814214175277</v>
      </c>
      <c r="E130" s="114">
        <v>7582.029670542549</v>
      </c>
      <c r="F130" s="114">
        <v>7522.3254631477048</v>
      </c>
      <c r="G130" s="114">
        <v>8709.415383055346</v>
      </c>
      <c r="H130" s="114">
        <v>13917.405761735654</v>
      </c>
      <c r="I130" s="114">
        <v>16605.518396048581</v>
      </c>
      <c r="J130" s="114">
        <v>3991.5186037419371</v>
      </c>
      <c r="K130" s="114">
        <v>9719.7606563992831</v>
      </c>
      <c r="L130" s="114">
        <v>6253.63701496663</v>
      </c>
      <c r="M130" s="114">
        <v>3556.330413400714</v>
      </c>
      <c r="N130" s="114">
        <v>13880.353976047709</v>
      </c>
      <c r="O130" s="114">
        <v>3456.5527137267741</v>
      </c>
      <c r="P130" s="114">
        <v>676.5785266050741</v>
      </c>
      <c r="Q130" s="114">
        <v>14104.978528961505</v>
      </c>
      <c r="R130" s="114">
        <v>5490.9542162889611</v>
      </c>
      <c r="S130" s="114">
        <v>7075.5858152903929</v>
      </c>
      <c r="T130" s="114">
        <v>15003.225881846116</v>
      </c>
      <c r="U130" s="114">
        <v>8978.0003413924805</v>
      </c>
      <c r="V130" s="114">
        <v>419.90641759150452</v>
      </c>
      <c r="W130" s="114">
        <v>16997.594716746789</v>
      </c>
      <c r="X130" s="114">
        <v>6147.4970936177051</v>
      </c>
      <c r="Y130" s="114">
        <v>8609.8447777571564</v>
      </c>
      <c r="Z130" s="114">
        <v>15191.744898997442</v>
      </c>
      <c r="AA130" s="114">
        <v>14831.488892693764</v>
      </c>
      <c r="AB130" s="114">
        <v>4057.0837853498583</v>
      </c>
      <c r="AC130" s="114">
        <v>5758.833068373212</v>
      </c>
      <c r="AD130" s="114">
        <v>9048.3769832591861</v>
      </c>
      <c r="AE130" s="114">
        <v>6891.6188749534385</v>
      </c>
      <c r="AF130" s="114">
        <v>10986.558497048585</v>
      </c>
      <c r="AG130" s="114">
        <v>2696.1610583731331</v>
      </c>
      <c r="AH130" s="114">
        <v>8369.7791785885311</v>
      </c>
      <c r="AI130" s="114">
        <v>8235.8414019262182</v>
      </c>
      <c r="AJ130" s="114">
        <v>11949.089568089723</v>
      </c>
      <c r="AK130" s="114">
        <v>11694.177841813473</v>
      </c>
      <c r="AL130" s="114">
        <v>7510.861079845864</v>
      </c>
      <c r="AM130" s="114">
        <v>7491.7349017740289</v>
      </c>
      <c r="AN130" s="114">
        <v>17593.104521555677</v>
      </c>
      <c r="AO130" s="114">
        <v>3523.9861737719852</v>
      </c>
      <c r="AP130" s="114">
        <v>3152.5688546493238</v>
      </c>
      <c r="AQ130" s="114">
        <v>15834.411091168502</v>
      </c>
      <c r="AR130" s="114">
        <v>6259.5078808643621</v>
      </c>
      <c r="AS130" s="114">
        <v>8268.9887907790435</v>
      </c>
      <c r="AT130" s="114">
        <v>8274.3539354016084</v>
      </c>
      <c r="AU130" s="114">
        <v>15740.060931192724</v>
      </c>
      <c r="AV130" s="114">
        <v>9657.5773858651646</v>
      </c>
      <c r="AW130" s="114">
        <v>6332.3497522174312</v>
      </c>
      <c r="AX130" s="114">
        <v>14236.295178896711</v>
      </c>
      <c r="AY130" s="114">
        <v>4954.4938939420927</v>
      </c>
      <c r="AZ130" s="114">
        <v>6380.1728918722147</v>
      </c>
      <c r="BA130" s="114">
        <v>6464.0173068224331</v>
      </c>
      <c r="BB130" s="114">
        <v>4835.7686154383227</v>
      </c>
      <c r="BC130" s="114">
        <v>14049.791703381623</v>
      </c>
      <c r="BD130" s="114">
        <v>14248.164613583205</v>
      </c>
      <c r="BE130" s="114">
        <v>8277.588173137161</v>
      </c>
      <c r="BF130" s="114">
        <v>16508.216509623042</v>
      </c>
      <c r="BG130" s="114">
        <v>5229.7501374020339</v>
      </c>
      <c r="BH130" s="114">
        <v>15431.3545640312</v>
      </c>
      <c r="BI130" s="114">
        <v>8519.0270568384822</v>
      </c>
      <c r="BJ130" s="114">
        <v>4989.6743828993403</v>
      </c>
      <c r="BK130" s="114">
        <v>5762.0346854259451</v>
      </c>
      <c r="BL130" s="114">
        <v>8311.0771749652558</v>
      </c>
      <c r="BM130" s="114">
        <v>5308.7707301145219</v>
      </c>
      <c r="BN130" s="114">
        <v>5750.813355148508</v>
      </c>
      <c r="BO130" s="114">
        <v>7267.7333626746222</v>
      </c>
      <c r="BP130" s="114">
        <v>8610.0619607792705</v>
      </c>
      <c r="BQ130" s="114">
        <v>10439.683197014399</v>
      </c>
      <c r="BR130" s="114">
        <v>3998.2729744202938</v>
      </c>
      <c r="BS130" s="114">
        <v>6427.0340535122668</v>
      </c>
      <c r="BT130" s="114">
        <v>6595.4206183154829</v>
      </c>
      <c r="BU130" s="114">
        <v>6771.438830860061</v>
      </c>
      <c r="BV130" s="114">
        <v>9266.8890769281115</v>
      </c>
      <c r="BW130" s="114">
        <v>5794.6140387528903</v>
      </c>
      <c r="BX130" s="114">
        <v>14358.915513572836</v>
      </c>
      <c r="BY130" s="114">
        <v>15335.429975351917</v>
      </c>
      <c r="BZ130" s="114">
        <v>10376.652317157488</v>
      </c>
      <c r="CA130" s="114">
        <v>10448.953455395231</v>
      </c>
      <c r="CB130" s="114">
        <v>14557.035417544239</v>
      </c>
      <c r="CC130" s="114">
        <v>14365.146782458563</v>
      </c>
      <c r="CD130" s="114">
        <v>15327.112657569938</v>
      </c>
      <c r="CE130" s="114">
        <v>6049.1411699212331</v>
      </c>
      <c r="CF130" s="114">
        <v>8047.4251186837892</v>
      </c>
      <c r="CG130" s="114">
        <v>1563.8621291103082</v>
      </c>
      <c r="CH130" s="114">
        <v>799.38093784549881</v>
      </c>
      <c r="CI130" s="114">
        <v>4370.5415014515447</v>
      </c>
      <c r="CJ130" s="114">
        <v>3318.3950680882967</v>
      </c>
      <c r="CK130" s="114">
        <v>3952.2386067817461</v>
      </c>
      <c r="CL130" s="114">
        <v>7684.2117179332699</v>
      </c>
      <c r="CM130" s="114">
        <v>10893.355252390063</v>
      </c>
      <c r="CN130" s="114">
        <v>6665.1516571908933</v>
      </c>
      <c r="CO130" s="114">
        <v>6824.7475966843658</v>
      </c>
      <c r="CP130" s="114">
        <v>14590.11288195479</v>
      </c>
      <c r="CQ130" s="114">
        <v>5183.7518474144872</v>
      </c>
      <c r="CR130" s="114">
        <v>4788.7656981957389</v>
      </c>
      <c r="CS130" s="114">
        <v>2877.9553656273424</v>
      </c>
      <c r="CT130" s="114">
        <v>6097.421390559115</v>
      </c>
      <c r="CU130" s="114">
        <v>3630.1103391412416</v>
      </c>
      <c r="CV130" s="114">
        <v>1938.5335276703727</v>
      </c>
      <c r="CW130" s="114">
        <v>2067.5640695470779</v>
      </c>
      <c r="CX130" s="114">
        <v>5739.6216991870269</v>
      </c>
      <c r="CY130" s="114">
        <v>4782.6681953794159</v>
      </c>
      <c r="CZ130" s="114">
        <v>8809.2796613800547</v>
      </c>
      <c r="DA130" s="114">
        <v>10246.772296745507</v>
      </c>
      <c r="DB130" s="114">
        <v>6837.4414102177743</v>
      </c>
      <c r="DC130" s="114">
        <v>6782.2709357322874</v>
      </c>
      <c r="DD130" s="114">
        <v>5640.1862559775873</v>
      </c>
      <c r="DE130" s="114">
        <v>6969.2738106128918</v>
      </c>
      <c r="DF130" s="114">
        <v>6543.6523632801745</v>
      </c>
      <c r="DG130" s="114">
        <v>7232.6679089664813</v>
      </c>
      <c r="DH130" s="114">
        <v>3209.2777060324765</v>
      </c>
      <c r="DI130" s="114">
        <v>2897.9649095019786</v>
      </c>
      <c r="DJ130" s="114">
        <v>9644.689667991599</v>
      </c>
      <c r="DK130" s="114">
        <v>6639.6233371915732</v>
      </c>
      <c r="DL130" s="114">
        <v>6080.6192542869121</v>
      </c>
      <c r="DM130" s="114">
        <v>6076.0150584079265</v>
      </c>
      <c r="DN130" s="114">
        <v>14807.20699522259</v>
      </c>
      <c r="DO130" s="114">
        <v>5307.4754883068508</v>
      </c>
      <c r="DP130" s="114">
        <v>7001.8915460118251</v>
      </c>
      <c r="DQ130" s="114">
        <v>2950.9842064217764</v>
      </c>
      <c r="DR130" s="114">
        <v>6080.3918557719171</v>
      </c>
      <c r="DS130" s="114">
        <v>8517.779092296636</v>
      </c>
      <c r="DT130" s="114">
        <v>8172.8325362970154</v>
      </c>
      <c r="DU130" s="114">
        <v>1666.3366242354475</v>
      </c>
      <c r="DV130" s="114">
        <v>9176.7045109379778</v>
      </c>
      <c r="DW130" s="114" t="s">
        <v>237</v>
      </c>
      <c r="DX130" s="114">
        <v>7015.2129899468091</v>
      </c>
      <c r="DY130" s="114">
        <v>11757.226344641405</v>
      </c>
      <c r="DZ130" s="114">
        <v>11910.403684971025</v>
      </c>
      <c r="EA130" s="114">
        <v>15524.952404151551</v>
      </c>
      <c r="EB130" s="114">
        <v>8666.2587342593779</v>
      </c>
      <c r="EC130" s="114">
        <v>8354.8356080364611</v>
      </c>
      <c r="ED130" s="114">
        <v>3909.9231228040539</v>
      </c>
      <c r="EE130" s="114">
        <v>5922.2602283288579</v>
      </c>
      <c r="EF130" s="114">
        <v>6555.6857919725071</v>
      </c>
      <c r="EG130" s="114">
        <v>2728.1613711062801</v>
      </c>
      <c r="EH130" s="114">
        <v>1828.2770524948946</v>
      </c>
      <c r="EI130" s="114">
        <v>1334.1635492767914</v>
      </c>
      <c r="EJ130" s="114">
        <v>15629.590785268947</v>
      </c>
      <c r="EK130" s="114">
        <v>16280.936536649462</v>
      </c>
      <c r="EL130" s="114">
        <v>17487.208726212401</v>
      </c>
      <c r="EM130" s="114">
        <v>3973.0111592162893</v>
      </c>
      <c r="EN130" s="114">
        <v>5899.8982500073071</v>
      </c>
      <c r="EO130" s="114">
        <v>8500.6215601030417</v>
      </c>
      <c r="EP130" s="114">
        <v>3373.7372579156481</v>
      </c>
      <c r="EQ130" s="114">
        <v>5515.4072008934027</v>
      </c>
      <c r="ER130" s="114">
        <v>4905.7837483015628</v>
      </c>
      <c r="ES130" s="114">
        <v>6715.8826737039299</v>
      </c>
      <c r="ET130" s="114">
        <v>13949.697820921434</v>
      </c>
      <c r="EU130" s="114">
        <v>14109.309520770736</v>
      </c>
      <c r="EV130" s="114">
        <v>14224.321641028311</v>
      </c>
      <c r="EW130" s="114">
        <v>6622.1143448117455</v>
      </c>
      <c r="EX130" s="114">
        <v>8899.6672793295547</v>
      </c>
      <c r="EY130" s="114">
        <v>3877.3272062576543</v>
      </c>
      <c r="EZ130" s="114">
        <v>10465.174103042331</v>
      </c>
      <c r="FA130" s="114">
        <v>5968.9198893492894</v>
      </c>
      <c r="FB130" s="114">
        <v>10398.195588291001</v>
      </c>
      <c r="FC130" s="114">
        <v>3515.2085103931722</v>
      </c>
      <c r="FD130" s="114">
        <v>6190.9088820147244</v>
      </c>
      <c r="FE130" s="114">
        <v>6420.91746372746</v>
      </c>
      <c r="FF130" s="114">
        <v>5101.995289264747</v>
      </c>
      <c r="FG130" s="114">
        <v>8479.8482528317982</v>
      </c>
      <c r="FH130" s="114">
        <v>3995.9734530388437</v>
      </c>
      <c r="FI130" s="114">
        <v>6193.8721407336961</v>
      </c>
      <c r="FJ130" s="114">
        <v>7973.942881884178</v>
      </c>
      <c r="FK130" s="114">
        <v>7485.5798669965598</v>
      </c>
      <c r="FL130" s="114">
        <v>2350.5090069037524</v>
      </c>
      <c r="FM130" s="114">
        <v>5594.4127755070449</v>
      </c>
      <c r="FN130" s="114">
        <v>14394.555399751773</v>
      </c>
      <c r="FO130" s="114">
        <v>6125.9347827236597</v>
      </c>
      <c r="FP130" s="114">
        <v>6944.7173438215441</v>
      </c>
      <c r="FQ130" s="114">
        <v>4704.848775241494</v>
      </c>
      <c r="FR130" s="114">
        <v>3624.125072566771</v>
      </c>
      <c r="FS130" s="114">
        <v>1969.5713773981179</v>
      </c>
      <c r="FT130" s="114">
        <v>6232.8322584542129</v>
      </c>
      <c r="FU130" s="114">
        <v>2208.8843404531149</v>
      </c>
      <c r="FV130" s="114">
        <v>5865.9338808857656</v>
      </c>
      <c r="FW130" s="114">
        <v>9105.3183942288815</v>
      </c>
      <c r="FX130" s="114">
        <v>14462.96197429749</v>
      </c>
      <c r="FY130" s="114">
        <v>6978.4059945190938</v>
      </c>
      <c r="FZ130" s="114">
        <v>4990.644363141113</v>
      </c>
      <c r="GA130" s="114">
        <v>2830.0350417825775</v>
      </c>
      <c r="GB130" s="114">
        <v>6396.721045766054</v>
      </c>
      <c r="GC130" s="114">
        <v>5239.6019718231673</v>
      </c>
      <c r="GD130" s="114">
        <v>3111.7262671829053</v>
      </c>
      <c r="GE130" s="114">
        <v>7344.3780307761363</v>
      </c>
      <c r="GF130" s="114">
        <v>12743.994419240296</v>
      </c>
      <c r="GG130" s="114">
        <v>12137.693324102795</v>
      </c>
      <c r="GH130" s="114">
        <v>11879.671638373757</v>
      </c>
      <c r="GI130" s="114">
        <v>12408.842159372827</v>
      </c>
      <c r="GJ130" s="114">
        <v>16267.644712873205</v>
      </c>
      <c r="GK130" s="114">
        <v>2119.8226863113773</v>
      </c>
      <c r="GL130" s="114">
        <v>14829.951400455115</v>
      </c>
      <c r="GM130" s="114">
        <v>2174.2781550599993</v>
      </c>
      <c r="GN130" s="114">
        <v>4429.6065743654526</v>
      </c>
      <c r="GO130" s="114">
        <v>7768.52317428686</v>
      </c>
      <c r="GP130" s="114">
        <v>7678.8947123889675</v>
      </c>
      <c r="GQ130" s="114">
        <v>2903.5557894754947</v>
      </c>
      <c r="GR130" s="114">
        <v>9670.060597269583</v>
      </c>
      <c r="GS130" s="114">
        <v>6833.3580830785768</v>
      </c>
      <c r="GT130" s="115">
        <v>8540.7348120561383</v>
      </c>
    </row>
    <row r="131" spans="2:202" x14ac:dyDescent="0.6">
      <c r="B131" s="106" t="s">
        <v>119</v>
      </c>
      <c r="C131" s="63" t="s">
        <v>294</v>
      </c>
      <c r="D131" s="113">
        <v>5393.5566085510281</v>
      </c>
      <c r="E131" s="114">
        <v>1761.7295300805608</v>
      </c>
      <c r="F131" s="114">
        <v>1129.1931382875282</v>
      </c>
      <c r="G131" s="114">
        <v>6802.618951319012</v>
      </c>
      <c r="H131" s="114">
        <v>6910.2591716141969</v>
      </c>
      <c r="I131" s="114">
        <v>11655.377492272184</v>
      </c>
      <c r="J131" s="114">
        <v>3294.2824462000567</v>
      </c>
      <c r="K131" s="114">
        <v>16658.697401012592</v>
      </c>
      <c r="L131" s="114">
        <v>947.48635873459637</v>
      </c>
      <c r="M131" s="114">
        <v>3637.2597578109285</v>
      </c>
      <c r="N131" s="114">
        <v>7285.2380930477093</v>
      </c>
      <c r="O131" s="114">
        <v>4779.9939278438897</v>
      </c>
      <c r="P131" s="114">
        <v>7686.8468881425206</v>
      </c>
      <c r="Q131" s="114">
        <v>7093.9089679161607</v>
      </c>
      <c r="R131" s="114">
        <v>1527.6123294276206</v>
      </c>
      <c r="S131" s="114">
        <v>192.62171238787181</v>
      </c>
      <c r="T131" s="114">
        <v>8695.4613587476306</v>
      </c>
      <c r="U131" s="114">
        <v>5118.6566386228387</v>
      </c>
      <c r="V131" s="114">
        <v>7309.3974514402789</v>
      </c>
      <c r="W131" s="114">
        <v>10294.588818552018</v>
      </c>
      <c r="X131" s="114">
        <v>1404.6205336474759</v>
      </c>
      <c r="Y131" s="114">
        <v>8768.5435582085556</v>
      </c>
      <c r="Z131" s="114">
        <v>9777.7859279139393</v>
      </c>
      <c r="AA131" s="114">
        <v>9548.8524237830825</v>
      </c>
      <c r="AB131" s="114">
        <v>10974.148424502466</v>
      </c>
      <c r="AC131" s="114">
        <v>1768.7131800992483</v>
      </c>
      <c r="AD131" s="114">
        <v>4487.355811761975</v>
      </c>
      <c r="AE131" s="114">
        <v>6580.8189917382088</v>
      </c>
      <c r="AF131" s="114">
        <v>4814.8543628723592</v>
      </c>
      <c r="AG131" s="114">
        <v>9679.7775246441106</v>
      </c>
      <c r="AH131" s="114">
        <v>5378.733897771077</v>
      </c>
      <c r="AI131" s="114">
        <v>5454.9979804309369</v>
      </c>
      <c r="AJ131" s="114">
        <v>5964.2812363503999</v>
      </c>
      <c r="AK131" s="114">
        <v>5609.9902070719054</v>
      </c>
      <c r="AL131" s="114">
        <v>5487.1613536394698</v>
      </c>
      <c r="AM131" s="114">
        <v>4552.3353864936707</v>
      </c>
      <c r="AN131" s="114">
        <v>11950.020569893593</v>
      </c>
      <c r="AO131" s="114">
        <v>8902.2251124980721</v>
      </c>
      <c r="AP131" s="114">
        <v>7871.5601496403442</v>
      </c>
      <c r="AQ131" s="114">
        <v>8846.9474811142773</v>
      </c>
      <c r="AR131" s="114">
        <v>7980.2862635498523</v>
      </c>
      <c r="AS131" s="114">
        <v>6370.765000319223</v>
      </c>
      <c r="AT131" s="114">
        <v>6341.6898164788126</v>
      </c>
      <c r="AU131" s="114">
        <v>9071.9466985534709</v>
      </c>
      <c r="AV131" s="114">
        <v>5272.4342759577967</v>
      </c>
      <c r="AW131" s="114">
        <v>1098.7780091122795</v>
      </c>
      <c r="AX131" s="114">
        <v>7785.6418294083896</v>
      </c>
      <c r="AY131" s="114">
        <v>2959.5026908231725</v>
      </c>
      <c r="AZ131" s="114">
        <v>716.84620877003942</v>
      </c>
      <c r="BA131" s="114">
        <v>621.66588054879981</v>
      </c>
      <c r="BB131" s="114">
        <v>5683.7608605808891</v>
      </c>
      <c r="BC131" s="114">
        <v>7035.679080691194</v>
      </c>
      <c r="BD131" s="114">
        <v>7335.4767818573364</v>
      </c>
      <c r="BE131" s="114">
        <v>6354.2570238447124</v>
      </c>
      <c r="BF131" s="114">
        <v>9537.3099120655625</v>
      </c>
      <c r="BG131" s="114">
        <v>3290.0139759120748</v>
      </c>
      <c r="BH131" s="114">
        <v>9078.1349459685425</v>
      </c>
      <c r="BI131" s="114">
        <v>5436.4414605960937</v>
      </c>
      <c r="BJ131" s="114">
        <v>5093.2831552395819</v>
      </c>
      <c r="BK131" s="114">
        <v>1462.2410369175802</v>
      </c>
      <c r="BL131" s="114">
        <v>9092.8992180011828</v>
      </c>
      <c r="BM131" s="114">
        <v>5696.9865461757809</v>
      </c>
      <c r="BN131" s="114">
        <v>1533.4251351889557</v>
      </c>
      <c r="BO131" s="114">
        <v>446.6737831343454</v>
      </c>
      <c r="BP131" s="114">
        <v>5796.6928986411203</v>
      </c>
      <c r="BQ131" s="114">
        <v>4715.9002479660476</v>
      </c>
      <c r="BR131" s="114">
        <v>3218.9304319279399</v>
      </c>
      <c r="BS131" s="114">
        <v>592.4304149391744</v>
      </c>
      <c r="BT131" s="114">
        <v>676.745789922781</v>
      </c>
      <c r="BU131" s="114">
        <v>372.61925343987019</v>
      </c>
      <c r="BV131" s="114">
        <v>5229.9418299816662</v>
      </c>
      <c r="BW131" s="114">
        <v>2194.4475624524903</v>
      </c>
      <c r="BX131" s="114">
        <v>7344.1393914129458</v>
      </c>
      <c r="BY131" s="114">
        <v>9065.3191989692423</v>
      </c>
      <c r="BZ131" s="114">
        <v>5046.1717785467663</v>
      </c>
      <c r="CA131" s="114">
        <v>4876.8148858591521</v>
      </c>
      <c r="CB131" s="114">
        <v>7599.898829755587</v>
      </c>
      <c r="CC131" s="114">
        <v>7504.7269209394481</v>
      </c>
      <c r="CD131" s="114">
        <v>8890.1918179716267</v>
      </c>
      <c r="CE131" s="114">
        <v>1175.2341986843849</v>
      </c>
      <c r="CF131" s="114">
        <v>1996.1776123021739</v>
      </c>
      <c r="CG131" s="114">
        <v>6876.271591260921</v>
      </c>
      <c r="CH131" s="114">
        <v>6397.0474657004497</v>
      </c>
      <c r="CI131" s="114">
        <v>11349.179150559237</v>
      </c>
      <c r="CJ131" s="114">
        <v>4097.5270876020768</v>
      </c>
      <c r="CK131" s="114">
        <v>3805.8266212064918</v>
      </c>
      <c r="CL131" s="114">
        <v>727.48414119317135</v>
      </c>
      <c r="CM131" s="114">
        <v>3918.5169525715764</v>
      </c>
      <c r="CN131" s="114">
        <v>1324.8036661638066</v>
      </c>
      <c r="CO131" s="114">
        <v>825.2675176079789</v>
      </c>
      <c r="CP131" s="114">
        <v>7831.214983984898</v>
      </c>
      <c r="CQ131" s="114">
        <v>9318.4532566192211</v>
      </c>
      <c r="CR131" s="114">
        <v>3396.2288201153069</v>
      </c>
      <c r="CS131" s="114">
        <v>4438.8306540622016</v>
      </c>
      <c r="CT131" s="114">
        <v>6645.8118857732698</v>
      </c>
      <c r="CU131" s="114">
        <v>4362.8106726019905</v>
      </c>
      <c r="CV131" s="114">
        <v>5161.4975668122352</v>
      </c>
      <c r="CW131" s="114">
        <v>8984.3362432746217</v>
      </c>
      <c r="CX131" s="114">
        <v>1347.0394291210532</v>
      </c>
      <c r="CY131" s="114">
        <v>3215.2282785004272</v>
      </c>
      <c r="CZ131" s="114">
        <v>9319.9083039890575</v>
      </c>
      <c r="DA131" s="114">
        <v>5301.9181774025956</v>
      </c>
      <c r="DB131" s="114">
        <v>2300.3616937017064</v>
      </c>
      <c r="DC131" s="114">
        <v>667.37507725881505</v>
      </c>
      <c r="DD131" s="114">
        <v>1387.5350088048892</v>
      </c>
      <c r="DE131" s="114">
        <v>336.13569401531788</v>
      </c>
      <c r="DF131" s="114">
        <v>8888.2248555672722</v>
      </c>
      <c r="DG131" s="114">
        <v>7872.6851133423106</v>
      </c>
      <c r="DH131" s="114">
        <v>10201.518605789877</v>
      </c>
      <c r="DI131" s="114">
        <v>8221.4449352023712</v>
      </c>
      <c r="DJ131" s="114">
        <v>4565.8227803666114</v>
      </c>
      <c r="DK131" s="114">
        <v>2009.9879109377462</v>
      </c>
      <c r="DL131" s="114">
        <v>9520.1722853270639</v>
      </c>
      <c r="DM131" s="114">
        <v>9536.3413104694664</v>
      </c>
      <c r="DN131" s="114">
        <v>9218.3462796455005</v>
      </c>
      <c r="DO131" s="114">
        <v>1835.5899959546593</v>
      </c>
      <c r="DP131" s="114">
        <v>968.11514899086717</v>
      </c>
      <c r="DQ131" s="114">
        <v>6681.1174773269859</v>
      </c>
      <c r="DR131" s="114">
        <v>1548.7434140194077</v>
      </c>
      <c r="DS131" s="114">
        <v>2219.3008924503283</v>
      </c>
      <c r="DT131" s="114">
        <v>9064.5092894085574</v>
      </c>
      <c r="DU131" s="114">
        <v>8680.2548815921491</v>
      </c>
      <c r="DV131" s="114">
        <v>8381.4941894440726</v>
      </c>
      <c r="DW131" s="114">
        <v>7015.2129899468091</v>
      </c>
      <c r="DX131" s="114" t="s">
        <v>237</v>
      </c>
      <c r="DY131" s="114">
        <v>18143.348840826555</v>
      </c>
      <c r="DZ131" s="114">
        <v>18567.411579486485</v>
      </c>
      <c r="EA131" s="114">
        <v>9000.4123511366033</v>
      </c>
      <c r="EB131" s="114">
        <v>4337.8086601814593</v>
      </c>
      <c r="EC131" s="114">
        <v>4808.0208586116069</v>
      </c>
      <c r="ED131" s="114">
        <v>8362.8738023897149</v>
      </c>
      <c r="EE131" s="114">
        <v>1693.1589423999453</v>
      </c>
      <c r="EF131" s="114">
        <v>892.66125147588446</v>
      </c>
      <c r="EG131" s="114">
        <v>5537.4624481384253</v>
      </c>
      <c r="EH131" s="114">
        <v>5994.6072250431689</v>
      </c>
      <c r="EI131" s="114">
        <v>5730.3231426420562</v>
      </c>
      <c r="EJ131" s="114">
        <v>8795.5079386108719</v>
      </c>
      <c r="EK131" s="114">
        <v>10476.606176520889</v>
      </c>
      <c r="EL131" s="114">
        <v>10493.541698184521</v>
      </c>
      <c r="EM131" s="114">
        <v>10439.529206839488</v>
      </c>
      <c r="EN131" s="114">
        <v>1119.9294217936283</v>
      </c>
      <c r="EO131" s="114">
        <v>1862.7981315962691</v>
      </c>
      <c r="EP131" s="114">
        <v>4928.5561616561254</v>
      </c>
      <c r="EQ131" s="114">
        <v>1815.3438395425496</v>
      </c>
      <c r="ER131" s="114">
        <v>2175.771959748181</v>
      </c>
      <c r="ES131" s="114">
        <v>6443.5810596356514</v>
      </c>
      <c r="ET131" s="114">
        <v>6945.7860132249116</v>
      </c>
      <c r="EU131" s="114">
        <v>7094.1885643914093</v>
      </c>
      <c r="EV131" s="114">
        <v>7209.3544983767661</v>
      </c>
      <c r="EW131" s="114">
        <v>1123.8607611818954</v>
      </c>
      <c r="EX131" s="114">
        <v>5799.1676705871359</v>
      </c>
      <c r="EY131" s="114">
        <v>4681.6511465495978</v>
      </c>
      <c r="EZ131" s="114">
        <v>4636.8243460133453</v>
      </c>
      <c r="FA131" s="114">
        <v>1446.2414416094589</v>
      </c>
      <c r="FB131" s="114">
        <v>5143.1896133522951</v>
      </c>
      <c r="FC131" s="114">
        <v>10518.332700312962</v>
      </c>
      <c r="FD131" s="114">
        <v>1001.8733513134426</v>
      </c>
      <c r="FE131" s="114">
        <v>988.87300643790581</v>
      </c>
      <c r="FF131" s="114">
        <v>6731.4402656602088</v>
      </c>
      <c r="FG131" s="114">
        <v>8936.2569753960797</v>
      </c>
      <c r="FH131" s="114">
        <v>8586.1113153758761</v>
      </c>
      <c r="FI131" s="114">
        <v>5824.3001716241361</v>
      </c>
      <c r="FJ131" s="114">
        <v>1464.8929459666447</v>
      </c>
      <c r="FK131" s="114">
        <v>1219.0985965667219</v>
      </c>
      <c r="FL131" s="114">
        <v>8401.6039751048029</v>
      </c>
      <c r="FM131" s="114">
        <v>4782.4218009336537</v>
      </c>
      <c r="FN131" s="114">
        <v>7497.1837213702302</v>
      </c>
      <c r="FO131" s="114">
        <v>1142.7344590408652</v>
      </c>
      <c r="FP131" s="114">
        <v>659.73009182574469</v>
      </c>
      <c r="FQ131" s="114">
        <v>3287.1311533074681</v>
      </c>
      <c r="FR131" s="114">
        <v>9482.5067597314192</v>
      </c>
      <c r="FS131" s="114">
        <v>5055.6814746765422</v>
      </c>
      <c r="FT131" s="114">
        <v>7344.1671344012557</v>
      </c>
      <c r="FU131" s="114">
        <v>9215.0053462127653</v>
      </c>
      <c r="FV131" s="114">
        <v>12796.822035424449</v>
      </c>
      <c r="FW131" s="114">
        <v>5139.6685335829661</v>
      </c>
      <c r="FX131" s="114">
        <v>7451.1091792705411</v>
      </c>
      <c r="FY131" s="114">
        <v>1802.9211870837728</v>
      </c>
      <c r="FZ131" s="114">
        <v>2558.8202681818962</v>
      </c>
      <c r="GA131" s="114">
        <v>4334.016290285027</v>
      </c>
      <c r="GB131" s="114">
        <v>6337.2287730284324</v>
      </c>
      <c r="GC131" s="114">
        <v>1794.0868382512156</v>
      </c>
      <c r="GD131" s="114">
        <v>5188.5631315233304</v>
      </c>
      <c r="GE131" s="114">
        <v>330.08550689073286</v>
      </c>
      <c r="GF131" s="114">
        <v>8933.1024004589872</v>
      </c>
      <c r="GG131" s="114">
        <v>5845.4848984577693</v>
      </c>
      <c r="GH131" s="114">
        <v>5539.8634296109949</v>
      </c>
      <c r="GI131" s="114">
        <v>6171.1949060880534</v>
      </c>
      <c r="GJ131" s="114">
        <v>11292.475295324079</v>
      </c>
      <c r="GK131" s="114">
        <v>4898.9638695233616</v>
      </c>
      <c r="GL131" s="114">
        <v>7820.0946777432027</v>
      </c>
      <c r="GM131" s="114">
        <v>8885.2518177620186</v>
      </c>
      <c r="GN131" s="114">
        <v>5379.2475400385183</v>
      </c>
      <c r="GO131" s="114">
        <v>7844.5378731198462</v>
      </c>
      <c r="GP131" s="114">
        <v>8157.7465153481562</v>
      </c>
      <c r="GQ131" s="114">
        <v>9864.5733512116622</v>
      </c>
      <c r="GR131" s="114">
        <v>16648.188218506002</v>
      </c>
      <c r="GS131" s="114">
        <v>611.06469173541416</v>
      </c>
      <c r="GT131" s="115">
        <v>9015.9952343604509</v>
      </c>
    </row>
    <row r="132" spans="2:202" x14ac:dyDescent="0.6">
      <c r="B132" s="106" t="s">
        <v>120</v>
      </c>
      <c r="C132" s="63" t="s">
        <v>296</v>
      </c>
      <c r="D132" s="113">
        <v>13464.110263447275</v>
      </c>
      <c r="E132" s="114">
        <v>19271.948671457438</v>
      </c>
      <c r="F132" s="114">
        <v>19189.943966129529</v>
      </c>
      <c r="G132" s="114">
        <v>14618.463982048259</v>
      </c>
      <c r="H132" s="114">
        <v>14086.820761820334</v>
      </c>
      <c r="I132" s="114">
        <v>10114.536311547168</v>
      </c>
      <c r="J132" s="114">
        <v>15743.529907498725</v>
      </c>
      <c r="K132" s="114">
        <v>2174.8904018150206</v>
      </c>
      <c r="L132" s="114">
        <v>17868.429493999149</v>
      </c>
      <c r="M132" s="114">
        <v>15313.048048279788</v>
      </c>
      <c r="N132" s="114">
        <v>13185.584031068529</v>
      </c>
      <c r="O132" s="114">
        <v>14689.774646712083</v>
      </c>
      <c r="P132" s="114">
        <v>11084.816422708198</v>
      </c>
      <c r="Q132" s="114">
        <v>14050.463485809969</v>
      </c>
      <c r="R132" s="114">
        <v>16907.982149184125</v>
      </c>
      <c r="S132" s="114">
        <v>18321.798294344451</v>
      </c>
      <c r="T132" s="114">
        <v>11745.880976316679</v>
      </c>
      <c r="U132" s="114">
        <v>16520.890779506604</v>
      </c>
      <c r="V132" s="114">
        <v>11402.57350767432</v>
      </c>
      <c r="W132" s="114">
        <v>11180.02726202395</v>
      </c>
      <c r="X132" s="114">
        <v>17895.684271082147</v>
      </c>
      <c r="Y132" s="114">
        <v>12471.862702910044</v>
      </c>
      <c r="Z132" s="114">
        <v>12017.55440282764</v>
      </c>
      <c r="AA132" s="114">
        <v>12269.829355372633</v>
      </c>
      <c r="AB132" s="114">
        <v>7700.168224643854</v>
      </c>
      <c r="AC132" s="114">
        <v>17515.976509498872</v>
      </c>
      <c r="AD132" s="114">
        <v>17238.78836480439</v>
      </c>
      <c r="AE132" s="114">
        <v>14316.46447821109</v>
      </c>
      <c r="AF132" s="114">
        <v>16997.601261255255</v>
      </c>
      <c r="AG132" s="114">
        <v>9067.626441810391</v>
      </c>
      <c r="AH132" s="114">
        <v>16060.096988203693</v>
      </c>
      <c r="AI132" s="114">
        <v>15936.129351312165</v>
      </c>
      <c r="AJ132" s="114">
        <v>13889.612935626275</v>
      </c>
      <c r="AK132" s="114">
        <v>14244.363015875573</v>
      </c>
      <c r="AL132" s="114">
        <v>15661.547092302486</v>
      </c>
      <c r="AM132" s="114">
        <v>16624.115643396079</v>
      </c>
      <c r="AN132" s="114">
        <v>9702.6429990069755</v>
      </c>
      <c r="AO132" s="114">
        <v>9383.4584552769047</v>
      </c>
      <c r="AP132" s="114">
        <v>10392.031782773116</v>
      </c>
      <c r="AQ132" s="114">
        <v>12179.29610845874</v>
      </c>
      <c r="AR132" s="114">
        <v>12644.387896013497</v>
      </c>
      <c r="AS132" s="114">
        <v>14963.074330452542</v>
      </c>
      <c r="AT132" s="114">
        <v>14995.8073604198</v>
      </c>
      <c r="AU132" s="114">
        <v>11636.846478850239</v>
      </c>
      <c r="AV132" s="114">
        <v>16507.917843330255</v>
      </c>
      <c r="AW132" s="114">
        <v>18034.701536986347</v>
      </c>
      <c r="AX132" s="114">
        <v>12635.734071798199</v>
      </c>
      <c r="AY132" s="114">
        <v>16570.29643650103</v>
      </c>
      <c r="AZ132" s="114">
        <v>17879.019033766559</v>
      </c>
      <c r="BA132" s="114">
        <v>17563.752941543535</v>
      </c>
      <c r="BB132" s="114">
        <v>14485.375554049084</v>
      </c>
      <c r="BC132" s="114">
        <v>14019.742962719858</v>
      </c>
      <c r="BD132" s="114">
        <v>13469.926737667141</v>
      </c>
      <c r="BE132" s="114">
        <v>14983.251490032362</v>
      </c>
      <c r="BF132" s="114">
        <v>11491.207474972718</v>
      </c>
      <c r="BG132" s="114">
        <v>16576.784815643125</v>
      </c>
      <c r="BH132" s="114">
        <v>11435.027544859298</v>
      </c>
      <c r="BI132" s="114">
        <v>16042.961062241015</v>
      </c>
      <c r="BJ132" s="114">
        <v>15079.3196949925</v>
      </c>
      <c r="BK132" s="114">
        <v>16743.4981701947</v>
      </c>
      <c r="BL132" s="114">
        <v>12042.318377037789</v>
      </c>
      <c r="BM132" s="114">
        <v>14648.808420993992</v>
      </c>
      <c r="BN132" s="114">
        <v>16657.23101052687</v>
      </c>
      <c r="BO132" s="114">
        <v>18587.580618050826</v>
      </c>
      <c r="BP132" s="114">
        <v>15678.880130662046</v>
      </c>
      <c r="BQ132" s="114">
        <v>17166.768306952694</v>
      </c>
      <c r="BR132" s="114">
        <v>15755.478229581611</v>
      </c>
      <c r="BS132" s="114">
        <v>17772.828883131144</v>
      </c>
      <c r="BT132" s="114">
        <v>18159.686144014839</v>
      </c>
      <c r="BU132" s="114">
        <v>18169.736531058006</v>
      </c>
      <c r="BV132" s="114">
        <v>16471.251852241425</v>
      </c>
      <c r="BW132" s="114">
        <v>17483.156573609831</v>
      </c>
      <c r="BX132" s="114">
        <v>13771.117693122127</v>
      </c>
      <c r="BY132" s="114">
        <v>11400.61501270667</v>
      </c>
      <c r="BZ132" s="114">
        <v>16837.921488411892</v>
      </c>
      <c r="CA132" s="114">
        <v>17009.622590374824</v>
      </c>
      <c r="CB132" s="114">
        <v>13699.114714335563</v>
      </c>
      <c r="CC132" s="114">
        <v>13243.78188348874</v>
      </c>
      <c r="CD132" s="114">
        <v>11649.731149750278</v>
      </c>
      <c r="CE132" s="114">
        <v>17714.090275729068</v>
      </c>
      <c r="CF132" s="114">
        <v>16795.971125935997</v>
      </c>
      <c r="CG132" s="114">
        <v>12297.56351939181</v>
      </c>
      <c r="CH132" s="114">
        <v>12481.458550574969</v>
      </c>
      <c r="CI132" s="114">
        <v>7682.2543896708812</v>
      </c>
      <c r="CJ132" s="114">
        <v>15013.260501760646</v>
      </c>
      <c r="CK132" s="114">
        <v>15537.028058054932</v>
      </c>
      <c r="CL132" s="114">
        <v>18196.396050189996</v>
      </c>
      <c r="CM132" s="114">
        <v>17223.957746301308</v>
      </c>
      <c r="CN132" s="114">
        <v>18421.66957201713</v>
      </c>
      <c r="CO132" s="114">
        <v>18479.077471460492</v>
      </c>
      <c r="CP132" s="114">
        <v>12837.737695599504</v>
      </c>
      <c r="CQ132" s="114">
        <v>8839.4760087336363</v>
      </c>
      <c r="CR132" s="114">
        <v>16250.612576798681</v>
      </c>
      <c r="CS132" s="114">
        <v>13980.067553307492</v>
      </c>
      <c r="CT132" s="114">
        <v>13987.373210058979</v>
      </c>
      <c r="CU132" s="114">
        <v>15048.404795633271</v>
      </c>
      <c r="CV132" s="114">
        <v>13425.334198067383</v>
      </c>
      <c r="CW132" s="114">
        <v>9698.0788360285969</v>
      </c>
      <c r="CX132" s="114">
        <v>16932.193178287762</v>
      </c>
      <c r="CY132" s="114">
        <v>16340.035134262367</v>
      </c>
      <c r="CZ132" s="114">
        <v>11924.597495867616</v>
      </c>
      <c r="DA132" s="114">
        <v>16561.67452262609</v>
      </c>
      <c r="DB132" s="114">
        <v>18275.248549637436</v>
      </c>
      <c r="DC132" s="114">
        <v>18366.261869128313</v>
      </c>
      <c r="DD132" s="114">
        <v>16991.598999674276</v>
      </c>
      <c r="DE132" s="114">
        <v>18352.503451613778</v>
      </c>
      <c r="DF132" s="114">
        <v>11752.021240409042</v>
      </c>
      <c r="DG132" s="114">
        <v>13056.935992747411</v>
      </c>
      <c r="DH132" s="114">
        <v>8748.5190531292865</v>
      </c>
      <c r="DI132" s="114">
        <v>11295.469958117268</v>
      </c>
      <c r="DJ132" s="114">
        <v>17278.066676299837</v>
      </c>
      <c r="DK132" s="114">
        <v>18258.41834213151</v>
      </c>
      <c r="DL132" s="114">
        <v>10904.654661518953</v>
      </c>
      <c r="DM132" s="114">
        <v>10884.961828169262</v>
      </c>
      <c r="DN132" s="114">
        <v>10943.341484640934</v>
      </c>
      <c r="DO132" s="114">
        <v>17006.953038261334</v>
      </c>
      <c r="DP132" s="114">
        <v>18699.882355060785</v>
      </c>
      <c r="DQ132" s="114">
        <v>11572.263276946953</v>
      </c>
      <c r="DR132" s="114">
        <v>17836.940566127385</v>
      </c>
      <c r="DS132" s="114">
        <v>19666.749375136351</v>
      </c>
      <c r="DT132" s="114">
        <v>12036.057406041176</v>
      </c>
      <c r="DU132" s="114">
        <v>10120.926089938717</v>
      </c>
      <c r="DV132" s="114">
        <v>13028.367113859709</v>
      </c>
      <c r="DW132" s="114">
        <v>11757.226344641405</v>
      </c>
      <c r="DX132" s="114">
        <v>18143.348840826555</v>
      </c>
      <c r="DY132" s="114" t="s">
        <v>237</v>
      </c>
      <c r="DZ132" s="114">
        <v>481.78051843782413</v>
      </c>
      <c r="EA132" s="114">
        <v>11605.483010336748</v>
      </c>
      <c r="EB132" s="114">
        <v>17292.732554617553</v>
      </c>
      <c r="EC132" s="114">
        <v>16673.290245574593</v>
      </c>
      <c r="ED132" s="114">
        <v>9846.619973998515</v>
      </c>
      <c r="EE132" s="114">
        <v>17679.415645575791</v>
      </c>
      <c r="EF132" s="114">
        <v>17254.077278266028</v>
      </c>
      <c r="EG132" s="114">
        <v>13829.805506205834</v>
      </c>
      <c r="EH132" s="114">
        <v>13147.11081087407</v>
      </c>
      <c r="EI132" s="114">
        <v>13091.117768646594</v>
      </c>
      <c r="EJ132" s="114">
        <v>12025.27574386388</v>
      </c>
      <c r="EK132" s="114">
        <v>11231.111282486356</v>
      </c>
      <c r="EL132" s="114">
        <v>10774.642766608393</v>
      </c>
      <c r="EM132" s="114">
        <v>8007.3390508267657</v>
      </c>
      <c r="EN132" s="114">
        <v>17355.751785379111</v>
      </c>
      <c r="EO132" s="114">
        <v>19633.378239985599</v>
      </c>
      <c r="EP132" s="114">
        <v>14547.50588766522</v>
      </c>
      <c r="EQ132" s="114">
        <v>17262.561890489425</v>
      </c>
      <c r="ER132" s="114">
        <v>16200.009290697439</v>
      </c>
      <c r="ES132" s="114">
        <v>14401.197002710511</v>
      </c>
      <c r="ET132" s="114">
        <v>14037.650103667018</v>
      </c>
      <c r="EU132" s="114">
        <v>14002.035879676097</v>
      </c>
      <c r="EV132" s="114">
        <v>13896.55042911025</v>
      </c>
      <c r="EW132" s="114">
        <v>18355.55063071394</v>
      </c>
      <c r="EX132" s="114">
        <v>15755.270787029811</v>
      </c>
      <c r="EY132" s="114">
        <v>14946.937893006854</v>
      </c>
      <c r="EZ132" s="114">
        <v>17239.685970858274</v>
      </c>
      <c r="FA132" s="114">
        <v>17707.281765162272</v>
      </c>
      <c r="FB132" s="114">
        <v>16739.021554221861</v>
      </c>
      <c r="FC132" s="114">
        <v>8417.8534619765724</v>
      </c>
      <c r="FD132" s="114">
        <v>17813.22654567139</v>
      </c>
      <c r="FE132" s="114">
        <v>18099.791040607433</v>
      </c>
      <c r="FF132" s="114">
        <v>13565.594407168985</v>
      </c>
      <c r="FG132" s="114">
        <v>12256.731638960913</v>
      </c>
      <c r="FH132" s="114">
        <v>9625.5073423752219</v>
      </c>
      <c r="FI132" s="114">
        <v>14849.59019629901</v>
      </c>
      <c r="FJ132" s="114">
        <v>19608.190453094263</v>
      </c>
      <c r="FK132" s="114">
        <v>19202.808580326888</v>
      </c>
      <c r="FL132" s="114">
        <v>10904.16369095273</v>
      </c>
      <c r="FM132" s="114">
        <v>15605.775019743174</v>
      </c>
      <c r="FN132" s="114">
        <v>13877.849894794754</v>
      </c>
      <c r="FO132" s="114">
        <v>17022.333593536983</v>
      </c>
      <c r="FP132" s="114">
        <v>18521.027611951031</v>
      </c>
      <c r="FQ132" s="114">
        <v>16255.33381985581</v>
      </c>
      <c r="FR132" s="114">
        <v>8852.2439014890515</v>
      </c>
      <c r="FS132" s="114">
        <v>13703.208836229644</v>
      </c>
      <c r="FT132" s="114">
        <v>13308.432698360477</v>
      </c>
      <c r="FU132" s="114">
        <v>9568.7071611343308</v>
      </c>
      <c r="FV132" s="114">
        <v>5899.7821577580289</v>
      </c>
      <c r="FW132" s="114">
        <v>16531.015074310686</v>
      </c>
      <c r="FX132" s="114">
        <v>13698.948704864557</v>
      </c>
      <c r="FY132" s="114">
        <v>18647.737384954879</v>
      </c>
      <c r="FZ132" s="114">
        <v>16725.72070315676</v>
      </c>
      <c r="GA132" s="114">
        <v>14584.555113537084</v>
      </c>
      <c r="GB132" s="114">
        <v>14403.361855198633</v>
      </c>
      <c r="GC132" s="114">
        <v>16829.519290848832</v>
      </c>
      <c r="GD132" s="114">
        <v>14246.546422186364</v>
      </c>
      <c r="GE132" s="114">
        <v>18352.284477010922</v>
      </c>
      <c r="GF132" s="114">
        <v>10497.554058803689</v>
      </c>
      <c r="GG132" s="114">
        <v>14194.514819214211</v>
      </c>
      <c r="GH132" s="114">
        <v>14484.892767952766</v>
      </c>
      <c r="GI132" s="114">
        <v>13882.396600077363</v>
      </c>
      <c r="GJ132" s="114">
        <v>10493.576524083202</v>
      </c>
      <c r="GK132" s="114">
        <v>13776.978301306741</v>
      </c>
      <c r="GL132" s="114">
        <v>13234.145059836987</v>
      </c>
      <c r="GM132" s="114">
        <v>9696.2934198463499</v>
      </c>
      <c r="GN132" s="114">
        <v>14606.54161670121</v>
      </c>
      <c r="GO132" s="114">
        <v>13242.587604912014</v>
      </c>
      <c r="GP132" s="114">
        <v>12880.553282895702</v>
      </c>
      <c r="GQ132" s="114">
        <v>8854.7387860382532</v>
      </c>
      <c r="GR132" s="114">
        <v>2305.6804675578228</v>
      </c>
      <c r="GS132" s="114">
        <v>18389.883847741999</v>
      </c>
      <c r="GT132" s="115">
        <v>12186.04022173669</v>
      </c>
    </row>
    <row r="133" spans="2:202" x14ac:dyDescent="0.6">
      <c r="B133" s="106" t="s">
        <v>120</v>
      </c>
      <c r="C133" s="63" t="s">
        <v>492</v>
      </c>
      <c r="D133" s="113">
        <v>13603.263522820132</v>
      </c>
      <c r="E133" s="114">
        <v>19095.491457108335</v>
      </c>
      <c r="F133" s="114">
        <v>19427.847074911289</v>
      </c>
      <c r="G133" s="114">
        <v>14166.627017536786</v>
      </c>
      <c r="H133" s="114">
        <v>14055.876871165092</v>
      </c>
      <c r="I133" s="114">
        <v>9772.870711296202</v>
      </c>
      <c r="J133" s="114">
        <v>15861.390075596013</v>
      </c>
      <c r="K133" s="114">
        <v>2209.6515324718744</v>
      </c>
      <c r="L133" s="114">
        <v>18133.463735598743</v>
      </c>
      <c r="M133" s="114">
        <v>15447.157343249986</v>
      </c>
      <c r="N133" s="114">
        <v>13299.572726879014</v>
      </c>
      <c r="O133" s="114">
        <v>14673.192997588554</v>
      </c>
      <c r="P133" s="114">
        <v>11234.293765028204</v>
      </c>
      <c r="Q133" s="114">
        <v>13970.643649119218</v>
      </c>
      <c r="R133" s="114">
        <v>17218.23211940303</v>
      </c>
      <c r="S133" s="114">
        <v>18732.421331580972</v>
      </c>
      <c r="T133" s="114">
        <v>11854.618808980507</v>
      </c>
      <c r="U133" s="114">
        <v>16047.088207126415</v>
      </c>
      <c r="V133" s="114">
        <v>11573.266882362072</v>
      </c>
      <c r="W133" s="114">
        <v>10966.49568885478</v>
      </c>
      <c r="X133" s="114">
        <v>18044.332570371698</v>
      </c>
      <c r="Y133" s="114">
        <v>12039.591207144604</v>
      </c>
      <c r="Z133" s="114">
        <v>11664.213152447279</v>
      </c>
      <c r="AA133" s="114">
        <v>11902.512167619412</v>
      </c>
      <c r="AB133" s="114">
        <v>7865.0988712465487</v>
      </c>
      <c r="AC133" s="114">
        <v>17635.857817922562</v>
      </c>
      <c r="AD133" s="114">
        <v>16758.910722920235</v>
      </c>
      <c r="AE133" s="114">
        <v>13956.088379561699</v>
      </c>
      <c r="AF133" s="114">
        <v>16639.986125305579</v>
      </c>
      <c r="AG133" s="114">
        <v>9214.2535632086456</v>
      </c>
      <c r="AH133" s="114">
        <v>15611.880552463506</v>
      </c>
      <c r="AI133" s="114">
        <v>15494.992178402488</v>
      </c>
      <c r="AJ133" s="114">
        <v>14161.496283678624</v>
      </c>
      <c r="AK133" s="114">
        <v>14520.247452731724</v>
      </c>
      <c r="AL133" s="114">
        <v>15262.598791687604</v>
      </c>
      <c r="AM133" s="114">
        <v>16229.976544079989</v>
      </c>
      <c r="AN133" s="114">
        <v>9414.1806203647993</v>
      </c>
      <c r="AO133" s="114">
        <v>9711.5460995567537</v>
      </c>
      <c r="AP133" s="114">
        <v>10732.664335164003</v>
      </c>
      <c r="AQ133" s="114">
        <v>12123.606334697921</v>
      </c>
      <c r="AR133" s="114">
        <v>12327.322151578075</v>
      </c>
      <c r="AS133" s="114">
        <v>14526.091837389766</v>
      </c>
      <c r="AT133" s="114">
        <v>14558.389632859878</v>
      </c>
      <c r="AU133" s="114">
        <v>11671.559505303683</v>
      </c>
      <c r="AV133" s="114">
        <v>16026.25702960848</v>
      </c>
      <c r="AW133" s="114">
        <v>18242.468190121836</v>
      </c>
      <c r="AX133" s="114">
        <v>12757.574333901186</v>
      </c>
      <c r="AY133" s="114">
        <v>16580.3678740293</v>
      </c>
      <c r="AZ133" s="114">
        <v>18194.409397581807</v>
      </c>
      <c r="BA133" s="114">
        <v>17963.304561196383</v>
      </c>
      <c r="BB133" s="114">
        <v>14289.476625589328</v>
      </c>
      <c r="BC133" s="114">
        <v>13969.268994878848</v>
      </c>
      <c r="BD133" s="114">
        <v>13492.260587999106</v>
      </c>
      <c r="BE133" s="114">
        <v>14545.77027681061</v>
      </c>
      <c r="BF133" s="114">
        <v>11430.074252667831</v>
      </c>
      <c r="BG133" s="114">
        <v>16499.530275585101</v>
      </c>
      <c r="BH133" s="114">
        <v>11522.068755232887</v>
      </c>
      <c r="BI133" s="114">
        <v>15588.35211533558</v>
      </c>
      <c r="BJ133" s="114">
        <v>14891.15436394029</v>
      </c>
      <c r="BK133" s="114">
        <v>17127.472174163609</v>
      </c>
      <c r="BL133" s="114">
        <v>11625.223758047807</v>
      </c>
      <c r="BM133" s="114">
        <v>14413.132322145655</v>
      </c>
      <c r="BN133" s="114">
        <v>17047.802726494898</v>
      </c>
      <c r="BO133" s="114">
        <v>18996.985530267226</v>
      </c>
      <c r="BP133" s="114">
        <v>15223.20144457795</v>
      </c>
      <c r="BQ133" s="114">
        <v>16739.436517288184</v>
      </c>
      <c r="BR133" s="114">
        <v>15890.873558885261</v>
      </c>
      <c r="BS133" s="114">
        <v>18130.733286913131</v>
      </c>
      <c r="BT133" s="114">
        <v>18457.126948829467</v>
      </c>
      <c r="BU133" s="114">
        <v>18530.90561860134</v>
      </c>
      <c r="BV133" s="114">
        <v>15991.936697294761</v>
      </c>
      <c r="BW133" s="114">
        <v>17497.574994123996</v>
      </c>
      <c r="BX133" s="114">
        <v>13698.738328068901</v>
      </c>
      <c r="BY133" s="114">
        <v>11499.978341720294</v>
      </c>
      <c r="BZ133" s="114">
        <v>16384.092357210411</v>
      </c>
      <c r="CA133" s="114">
        <v>16571.086124568759</v>
      </c>
      <c r="CB133" s="114">
        <v>13562.708077808058</v>
      </c>
      <c r="CC133" s="114">
        <v>13280.740358215207</v>
      </c>
      <c r="CD133" s="114">
        <v>11731.31720583051</v>
      </c>
      <c r="CE133" s="114">
        <v>17947.962908941368</v>
      </c>
      <c r="CF133" s="114">
        <v>17267.400920676489</v>
      </c>
      <c r="CG133" s="114">
        <v>12334.685312861751</v>
      </c>
      <c r="CH133" s="114">
        <v>12606.497418198627</v>
      </c>
      <c r="CI133" s="114">
        <v>7728.2438391948226</v>
      </c>
      <c r="CJ133" s="114">
        <v>15098.18256156819</v>
      </c>
      <c r="CK133" s="114">
        <v>15568.836767852754</v>
      </c>
      <c r="CL133" s="114">
        <v>18677.888699033694</v>
      </c>
      <c r="CM133" s="114">
        <v>17190.893826576645</v>
      </c>
      <c r="CN133" s="114">
        <v>18524.266101962749</v>
      </c>
      <c r="CO133" s="114">
        <v>18730.2022793627</v>
      </c>
      <c r="CP133" s="114">
        <v>12893.819503767447</v>
      </c>
      <c r="CQ133" s="114">
        <v>9249.1303906611538</v>
      </c>
      <c r="CR133" s="114">
        <v>16220.225931889954</v>
      </c>
      <c r="CS133" s="114">
        <v>14265.057983288172</v>
      </c>
      <c r="CT133" s="114">
        <v>13679.502260927375</v>
      </c>
      <c r="CU133" s="114">
        <v>15053.042007438225</v>
      </c>
      <c r="CV133" s="114">
        <v>13649.103977550394</v>
      </c>
      <c r="CW133" s="114">
        <v>9870.0232978763743</v>
      </c>
      <c r="CX133" s="114">
        <v>17290.240304348739</v>
      </c>
      <c r="CY133" s="114">
        <v>16336.068004584173</v>
      </c>
      <c r="CZ133" s="114">
        <v>11489.8456035573</v>
      </c>
      <c r="DA133" s="114">
        <v>16092.259294806177</v>
      </c>
      <c r="DB133" s="114">
        <v>18098.527298733927</v>
      </c>
      <c r="DC133" s="114">
        <v>18660.049828115469</v>
      </c>
      <c r="DD133" s="114">
        <v>17319.866868021938</v>
      </c>
      <c r="DE133" s="114">
        <v>18727.974872739236</v>
      </c>
      <c r="DF133" s="114">
        <v>11425.5620701435</v>
      </c>
      <c r="DG133" s="114">
        <v>12681.489967320076</v>
      </c>
      <c r="DH133" s="114">
        <v>8827.2701408921312</v>
      </c>
      <c r="DI133" s="114">
        <v>11230.119316117802</v>
      </c>
      <c r="DJ133" s="114">
        <v>16801.496594919652</v>
      </c>
      <c r="DK133" s="114">
        <v>18174.138320425736</v>
      </c>
      <c r="DL133" s="114">
        <v>10617.619967488636</v>
      </c>
      <c r="DM133" s="114">
        <v>10598.546649992</v>
      </c>
      <c r="DN133" s="114">
        <v>11116.543915413729</v>
      </c>
      <c r="DO133" s="114">
        <v>17212.31684472191</v>
      </c>
      <c r="DP133" s="114">
        <v>18911.074248011195</v>
      </c>
      <c r="DQ133" s="114">
        <v>11919.745347860775</v>
      </c>
      <c r="DR133" s="114">
        <v>17957.251120773595</v>
      </c>
      <c r="DS133" s="114">
        <v>19210.477927517546</v>
      </c>
      <c r="DT133" s="114">
        <v>11624.702247654646</v>
      </c>
      <c r="DU133" s="114">
        <v>10255.433022776237</v>
      </c>
      <c r="DV133" s="114">
        <v>12573.399109043079</v>
      </c>
      <c r="DW133" s="114">
        <v>11910.403684971025</v>
      </c>
      <c r="DX133" s="114">
        <v>18567.411579486485</v>
      </c>
      <c r="DY133" s="114">
        <v>481.78051843782413</v>
      </c>
      <c r="DZ133" s="114" t="s">
        <v>237</v>
      </c>
      <c r="EA133" s="114">
        <v>11668.690437076528</v>
      </c>
      <c r="EB133" s="114">
        <v>16822.733530928748</v>
      </c>
      <c r="EC133" s="114">
        <v>16221.92995865959</v>
      </c>
      <c r="ED133" s="114">
        <v>10216.714516944567</v>
      </c>
      <c r="EE133" s="114">
        <v>17788.953367626626</v>
      </c>
      <c r="EF133" s="114">
        <v>17691.578993408395</v>
      </c>
      <c r="EG133" s="114">
        <v>13828.936256241728</v>
      </c>
      <c r="EH133" s="114">
        <v>13200.932789853621</v>
      </c>
      <c r="EI133" s="114">
        <v>13238.146969626756</v>
      </c>
      <c r="EJ133" s="114">
        <v>12030.7443102123</v>
      </c>
      <c r="EK133" s="114">
        <v>10921.726015423088</v>
      </c>
      <c r="EL133" s="114">
        <v>10632.004514535216</v>
      </c>
      <c r="EM133" s="114">
        <v>8260.4341784965163</v>
      </c>
      <c r="EN133" s="114">
        <v>17668.462175773664</v>
      </c>
      <c r="EO133" s="114">
        <v>19585.908020584106</v>
      </c>
      <c r="EP133" s="114">
        <v>14527.147953901607</v>
      </c>
      <c r="EQ133" s="114">
        <v>17419.704773246031</v>
      </c>
      <c r="ER133" s="114">
        <v>16516.833510203571</v>
      </c>
      <c r="ES133" s="114">
        <v>14052.261996833831</v>
      </c>
      <c r="ET133" s="114">
        <v>14010.597964678489</v>
      </c>
      <c r="EU133" s="114">
        <v>13937.950989985096</v>
      </c>
      <c r="EV133" s="114">
        <v>13828.335505280153</v>
      </c>
      <c r="EW133" s="114">
        <v>18524.384133004885</v>
      </c>
      <c r="EX133" s="114">
        <v>15289.146965575428</v>
      </c>
      <c r="EY133" s="114">
        <v>14893.044852028093</v>
      </c>
      <c r="EZ133" s="114">
        <v>16822.775537537749</v>
      </c>
      <c r="FA133" s="114">
        <v>17875.441735930643</v>
      </c>
      <c r="FB133" s="114">
        <v>16282.433370393701</v>
      </c>
      <c r="FC133" s="114">
        <v>8498.8641125981212</v>
      </c>
      <c r="FD133" s="114">
        <v>18073.233347806337</v>
      </c>
      <c r="FE133" s="114">
        <v>18327.791634368517</v>
      </c>
      <c r="FF133" s="114">
        <v>13328.905804061898</v>
      </c>
      <c r="FG133" s="114">
        <v>11831.118439808504</v>
      </c>
      <c r="FH133" s="114">
        <v>9994.1275943467881</v>
      </c>
      <c r="FI133" s="114">
        <v>14541.649737334348</v>
      </c>
      <c r="FJ133" s="114">
        <v>19805.917832967712</v>
      </c>
      <c r="FK133" s="114">
        <v>19365.453985091037</v>
      </c>
      <c r="FL133" s="114">
        <v>10893.045626737656</v>
      </c>
      <c r="FM133" s="114">
        <v>15374.380565393098</v>
      </c>
      <c r="FN133" s="114">
        <v>13714.727720351057</v>
      </c>
      <c r="FO133" s="114">
        <v>17428.236308622669</v>
      </c>
      <c r="FP133" s="114">
        <v>18824.107419398457</v>
      </c>
      <c r="FQ133" s="114">
        <v>16252.203432201211</v>
      </c>
      <c r="FR133" s="114">
        <v>9156.0774835645079</v>
      </c>
      <c r="FS133" s="114">
        <v>13874.335699781983</v>
      </c>
      <c r="FT133" s="114">
        <v>12990.564379495803</v>
      </c>
      <c r="FU133" s="114">
        <v>9705.8933950535193</v>
      </c>
      <c r="FV133" s="114">
        <v>6045.9171588874051</v>
      </c>
      <c r="FW133" s="114">
        <v>16054.196780100914</v>
      </c>
      <c r="FX133" s="114">
        <v>13614.328813021531</v>
      </c>
      <c r="FY133" s="114">
        <v>18560.638187947552</v>
      </c>
      <c r="FZ133" s="114">
        <v>16805.377473172168</v>
      </c>
      <c r="GA133" s="114">
        <v>14717.387183663001</v>
      </c>
      <c r="GB133" s="114">
        <v>14076.322616809875</v>
      </c>
      <c r="GC133" s="114">
        <v>17086.158252818084</v>
      </c>
      <c r="GD133" s="114">
        <v>14232.811962854707</v>
      </c>
      <c r="GE133" s="114">
        <v>18807.337689478449</v>
      </c>
      <c r="GF133" s="114">
        <v>10829.863691298606</v>
      </c>
      <c r="GG133" s="114">
        <v>14427.900382028965</v>
      </c>
      <c r="GH133" s="114">
        <v>14725.527249784152</v>
      </c>
      <c r="GI133" s="114">
        <v>14108.888197386326</v>
      </c>
      <c r="GJ133" s="114">
        <v>10143.815174496152</v>
      </c>
      <c r="GK133" s="114">
        <v>13974.479478917128</v>
      </c>
      <c r="GL133" s="114">
        <v>13177.412969806024</v>
      </c>
      <c r="GM133" s="114">
        <v>9903.7721243168762</v>
      </c>
      <c r="GN133" s="114">
        <v>14457.001262352122</v>
      </c>
      <c r="GO133" s="114">
        <v>12839.140732909937</v>
      </c>
      <c r="GP133" s="114">
        <v>12483.979177677898</v>
      </c>
      <c r="GQ133" s="114">
        <v>9009.8244659113243</v>
      </c>
      <c r="GR133" s="114">
        <v>2297.1151893800497</v>
      </c>
      <c r="GS133" s="114">
        <v>18698.774974246207</v>
      </c>
      <c r="GT133" s="115">
        <v>11758.733060356519</v>
      </c>
    </row>
    <row r="134" spans="2:202" x14ac:dyDescent="0.6">
      <c r="B134" s="106" t="s">
        <v>121</v>
      </c>
      <c r="C134" s="63" t="s">
        <v>493</v>
      </c>
      <c r="D134" s="113">
        <v>14239.779215405311</v>
      </c>
      <c r="E134" s="114">
        <v>9151.6795654770667</v>
      </c>
      <c r="F134" s="114">
        <v>8906.6662222290361</v>
      </c>
      <c r="G134" s="114">
        <v>11212.570442810982</v>
      </c>
      <c r="H134" s="114">
        <v>2678.8114678532861</v>
      </c>
      <c r="I134" s="114">
        <v>6038.4178313332841</v>
      </c>
      <c r="J134" s="114">
        <v>12294.685347291763</v>
      </c>
      <c r="K134" s="114">
        <v>13765.980936094178</v>
      </c>
      <c r="L134" s="114">
        <v>9911.0066166242887</v>
      </c>
      <c r="M134" s="114">
        <v>12624.477876451534</v>
      </c>
      <c r="N134" s="114">
        <v>1726.5841298178536</v>
      </c>
      <c r="O134" s="114">
        <v>13680.555410038491</v>
      </c>
      <c r="P134" s="114">
        <v>16050.029170468219</v>
      </c>
      <c r="Q134" s="114">
        <v>2920.3582016751634</v>
      </c>
      <c r="R134" s="114">
        <v>10414.563000656466</v>
      </c>
      <c r="S134" s="114">
        <v>9004.4761563906013</v>
      </c>
      <c r="T134" s="114">
        <v>612.48223594997489</v>
      </c>
      <c r="U134" s="114">
        <v>9713.8236072446307</v>
      </c>
      <c r="V134" s="114">
        <v>15612.26218996466</v>
      </c>
      <c r="W134" s="114">
        <v>3719.8134541769441</v>
      </c>
      <c r="X134" s="114">
        <v>10219.084978369541</v>
      </c>
      <c r="Y134" s="114">
        <v>12745.51761875424</v>
      </c>
      <c r="Z134" s="114">
        <v>5846.9574119113022</v>
      </c>
      <c r="AA134" s="114">
        <v>6087.5368153399768</v>
      </c>
      <c r="AB134" s="114">
        <v>17033.081135658747</v>
      </c>
      <c r="AC134" s="114">
        <v>10637.135209279979</v>
      </c>
      <c r="AD134" s="114">
        <v>9183.6437176585732</v>
      </c>
      <c r="AE134" s="114">
        <v>12839.689163830972</v>
      </c>
      <c r="AF134" s="114">
        <v>6781.46971096569</v>
      </c>
      <c r="AG134" s="114">
        <v>17158.476490079149</v>
      </c>
      <c r="AH134" s="114">
        <v>10553.539072096401</v>
      </c>
      <c r="AI134" s="114">
        <v>10745.017768806441</v>
      </c>
      <c r="AJ134" s="114">
        <v>3578.176859524242</v>
      </c>
      <c r="AK134" s="114">
        <v>3831.7571908991695</v>
      </c>
      <c r="AL134" s="114">
        <v>11483.489583072405</v>
      </c>
      <c r="AM134" s="114">
        <v>10871.6371802494</v>
      </c>
      <c r="AN134" s="114">
        <v>5308.4805230906713</v>
      </c>
      <c r="AO134" s="114">
        <v>14369.668237274433</v>
      </c>
      <c r="AP134" s="114">
        <v>13826.071309683028</v>
      </c>
      <c r="AQ134" s="114">
        <v>1592.7083423980798</v>
      </c>
      <c r="AR134" s="114">
        <v>14509.328141844668</v>
      </c>
      <c r="AS134" s="114">
        <v>11358.124946730632</v>
      </c>
      <c r="AT134" s="114">
        <v>11331.838484142225</v>
      </c>
      <c r="AU134" s="114">
        <v>366.85309846557169</v>
      </c>
      <c r="AV134" s="114">
        <v>9035.267754493254</v>
      </c>
      <c r="AW134" s="114">
        <v>9949.6422257262566</v>
      </c>
      <c r="AX134" s="114">
        <v>1295.6904766576895</v>
      </c>
      <c r="AY134" s="114">
        <v>11770.761433035554</v>
      </c>
      <c r="AZ134" s="114">
        <v>9710.5517283114841</v>
      </c>
      <c r="BA134" s="114">
        <v>9436.1866366701579</v>
      </c>
      <c r="BB134" s="114">
        <v>13763.379763031922</v>
      </c>
      <c r="BC134" s="114">
        <v>2718.1761326346718</v>
      </c>
      <c r="BD134" s="114">
        <v>1911.3809816040628</v>
      </c>
      <c r="BE134" s="114">
        <v>11337.530737334224</v>
      </c>
      <c r="BF134" s="114">
        <v>1610.614607011116</v>
      </c>
      <c r="BG134" s="114">
        <v>11844.963476108442</v>
      </c>
      <c r="BH134" s="114">
        <v>348.03710897772947</v>
      </c>
      <c r="BI134" s="114">
        <v>10437.348753749022</v>
      </c>
      <c r="BJ134" s="114">
        <v>13220.449134357152</v>
      </c>
      <c r="BK134" s="114">
        <v>9989.8807072083655</v>
      </c>
      <c r="BL134" s="114">
        <v>13300.438441813656</v>
      </c>
      <c r="BM134" s="114">
        <v>13461.474678161365</v>
      </c>
      <c r="BN134" s="114">
        <v>9975.9441189210738</v>
      </c>
      <c r="BO134" s="114">
        <v>8889.5859225764234</v>
      </c>
      <c r="BP134" s="114">
        <v>10595.389836947754</v>
      </c>
      <c r="BQ134" s="114">
        <v>7547.2619910941603</v>
      </c>
      <c r="BR134" s="114">
        <v>12216.909204499529</v>
      </c>
      <c r="BS134" s="114">
        <v>9579.5599501466422</v>
      </c>
      <c r="BT134" s="114">
        <v>9578.912912540929</v>
      </c>
      <c r="BU134" s="114">
        <v>9324.9242949186373</v>
      </c>
      <c r="BV134" s="114">
        <v>9465.1797564222088</v>
      </c>
      <c r="BW134" s="114">
        <v>10859.460493984565</v>
      </c>
      <c r="BX134" s="114">
        <v>2657.9970207195506</v>
      </c>
      <c r="BY134" s="114">
        <v>506.96537445213096</v>
      </c>
      <c r="BZ134" s="114">
        <v>7928.5188590582384</v>
      </c>
      <c r="CA134" s="114">
        <v>7678.5493679891015</v>
      </c>
      <c r="CB134" s="114">
        <v>3140.8039665432634</v>
      </c>
      <c r="CC134" s="114">
        <v>1658.1807467875494</v>
      </c>
      <c r="CD134" s="114">
        <v>243.57821149634862</v>
      </c>
      <c r="CE134" s="114">
        <v>10141.012535233021</v>
      </c>
      <c r="CF134" s="114">
        <v>7586.2076652576161</v>
      </c>
      <c r="CG134" s="114">
        <v>15863.169683455963</v>
      </c>
      <c r="CH134" s="114">
        <v>15174.971052221772</v>
      </c>
      <c r="CI134" s="114">
        <v>18481.222449248871</v>
      </c>
      <c r="CJ134" s="114">
        <v>13097.908665932926</v>
      </c>
      <c r="CK134" s="114">
        <v>12748.226928399481</v>
      </c>
      <c r="CL134" s="114">
        <v>8275.5480891649822</v>
      </c>
      <c r="CM134" s="114">
        <v>5646.8822181702835</v>
      </c>
      <c r="CN134" s="114">
        <v>9813.273320960041</v>
      </c>
      <c r="CO134" s="114">
        <v>9468.5212237725536</v>
      </c>
      <c r="CP134" s="114">
        <v>1232.8919290058616</v>
      </c>
      <c r="CQ134" s="114">
        <v>12841.672824736719</v>
      </c>
      <c r="CR134" s="114">
        <v>12141.243935491721</v>
      </c>
      <c r="CS134" s="114">
        <v>12662.406561847989</v>
      </c>
      <c r="CT134" s="114">
        <v>13582.822226595004</v>
      </c>
      <c r="CU134" s="114">
        <v>13286.949829356505</v>
      </c>
      <c r="CV134" s="114">
        <v>13631.364384786415</v>
      </c>
      <c r="CW134" s="114">
        <v>16589.660416457962</v>
      </c>
      <c r="CX134" s="114">
        <v>10088.117073984738</v>
      </c>
      <c r="CY134" s="114">
        <v>12019.999739055525</v>
      </c>
      <c r="CZ134" s="114">
        <v>12926.694343451238</v>
      </c>
      <c r="DA134" s="114">
        <v>8317.6856445526901</v>
      </c>
      <c r="DB134" s="114">
        <v>10139.084045110314</v>
      </c>
      <c r="DC134" s="114">
        <v>9439.3831785583388</v>
      </c>
      <c r="DD134" s="114">
        <v>10248.93795597465</v>
      </c>
      <c r="DE134" s="114">
        <v>9156.8918929565189</v>
      </c>
      <c r="DF134" s="114">
        <v>14990.344969076681</v>
      </c>
      <c r="DG134" s="114">
        <v>13494.436953750797</v>
      </c>
      <c r="DH134" s="114">
        <v>18132.679157138977</v>
      </c>
      <c r="DI134" s="114">
        <v>17128.089231850125</v>
      </c>
      <c r="DJ134" s="114">
        <v>8511.53070467613</v>
      </c>
      <c r="DK134" s="114">
        <v>10158.564329403664</v>
      </c>
      <c r="DL134" s="114">
        <v>16023.161528999253</v>
      </c>
      <c r="DM134" s="114">
        <v>16042.877903626428</v>
      </c>
      <c r="DN134" s="114">
        <v>1592.1291410583308</v>
      </c>
      <c r="DO134" s="114">
        <v>10835.868031707187</v>
      </c>
      <c r="DP134" s="114">
        <v>9370.7633591745871</v>
      </c>
      <c r="DQ134" s="114">
        <v>13220.337087944687</v>
      </c>
      <c r="DR134" s="114">
        <v>10335.308734626897</v>
      </c>
      <c r="DS134" s="114">
        <v>8288.3935816636913</v>
      </c>
      <c r="DT134" s="114">
        <v>13427.381791745162</v>
      </c>
      <c r="DU134" s="114">
        <v>16833.955711286158</v>
      </c>
      <c r="DV134" s="114">
        <v>11859.446452293168</v>
      </c>
      <c r="DW134" s="114">
        <v>15524.952404151551</v>
      </c>
      <c r="DX134" s="114">
        <v>9000.4123511366033</v>
      </c>
      <c r="DY134" s="114">
        <v>11605.483010336748</v>
      </c>
      <c r="DZ134" s="114">
        <v>11668.690437076528</v>
      </c>
      <c r="EA134" s="114" t="s">
        <v>237</v>
      </c>
      <c r="EB134" s="114">
        <v>9517.3834544488873</v>
      </c>
      <c r="EC134" s="114">
        <v>10175.945970261913</v>
      </c>
      <c r="ED134" s="114">
        <v>13457.527061522738</v>
      </c>
      <c r="EE134" s="114">
        <v>10506.17003113317</v>
      </c>
      <c r="EF134" s="114">
        <v>9223.6854087246611</v>
      </c>
      <c r="EG134" s="114">
        <v>14503.006768380515</v>
      </c>
      <c r="EH134" s="114">
        <v>14986.01771956835</v>
      </c>
      <c r="EI134" s="114">
        <v>14504.69074584159</v>
      </c>
      <c r="EJ134" s="114">
        <v>832.39441762395847</v>
      </c>
      <c r="EK134" s="114">
        <v>5185.3838323100945</v>
      </c>
      <c r="EL134" s="114">
        <v>2861.5698502567543</v>
      </c>
      <c r="EM134" s="114">
        <v>15815.50785331187</v>
      </c>
      <c r="EN134" s="114">
        <v>10087.726428025644</v>
      </c>
      <c r="EO134" s="114">
        <v>8060.4147062534394</v>
      </c>
      <c r="EP134" s="114">
        <v>13828.107373851048</v>
      </c>
      <c r="EQ134" s="114">
        <v>10773.077004896473</v>
      </c>
      <c r="ER134" s="114">
        <v>10860.954802799099</v>
      </c>
      <c r="ES134" s="114">
        <v>12896.015692054609</v>
      </c>
      <c r="ET134" s="114">
        <v>2617.7794271915013</v>
      </c>
      <c r="EU134" s="114">
        <v>2782.541754005772</v>
      </c>
      <c r="EV134" s="114">
        <v>2725.3479005210784</v>
      </c>
      <c r="EW134" s="114">
        <v>9757.798394611702</v>
      </c>
      <c r="EX134" s="114">
        <v>10286.85188863447</v>
      </c>
      <c r="EY134" s="114">
        <v>13466.578088817518</v>
      </c>
      <c r="EZ134" s="114">
        <v>7436.5889971874003</v>
      </c>
      <c r="FA134" s="114">
        <v>10342.014953433814</v>
      </c>
      <c r="FB134" s="114">
        <v>7982.0131411370257</v>
      </c>
      <c r="FC134" s="114">
        <v>18157.973836159363</v>
      </c>
      <c r="FD134" s="114">
        <v>9971.8508388690516</v>
      </c>
      <c r="FE134" s="114">
        <v>9839.7132890500834</v>
      </c>
      <c r="FF134" s="114">
        <v>14428.786904418426</v>
      </c>
      <c r="FG134" s="114">
        <v>13005.892324020315</v>
      </c>
      <c r="FH134" s="114">
        <v>13550.597299511805</v>
      </c>
      <c r="FI134" s="114">
        <v>12885.475124678796</v>
      </c>
      <c r="FJ134" s="114">
        <v>8534.2667667731639</v>
      </c>
      <c r="FK134" s="114">
        <v>8990.5060009029567</v>
      </c>
      <c r="FL134" s="114">
        <v>17401.134784124304</v>
      </c>
      <c r="FM134" s="114">
        <v>12598.923085077338</v>
      </c>
      <c r="FN134" s="114">
        <v>3491.6619818919944</v>
      </c>
      <c r="FO134" s="114">
        <v>9648.1702469444335</v>
      </c>
      <c r="FP134" s="114">
        <v>9299.389603663707</v>
      </c>
      <c r="FQ134" s="114">
        <v>12103.032600814335</v>
      </c>
      <c r="FR134" s="114">
        <v>14908.802785034999</v>
      </c>
      <c r="FS134" s="114">
        <v>13824.120815822766</v>
      </c>
      <c r="FT134" s="114">
        <v>14016.216315516685</v>
      </c>
      <c r="FU134" s="114">
        <v>17089.364105237732</v>
      </c>
      <c r="FV134" s="114">
        <v>16544.20720581217</v>
      </c>
      <c r="FW134" s="114">
        <v>9584.9793199422165</v>
      </c>
      <c r="FX134" s="114">
        <v>2696.1562406170415</v>
      </c>
      <c r="FY134" s="114">
        <v>9766.1544320178291</v>
      </c>
      <c r="FZ134" s="114">
        <v>11482.011167701436</v>
      </c>
      <c r="GA134" s="114">
        <v>13287.838943670988</v>
      </c>
      <c r="GB134" s="114">
        <v>13095.224726438941</v>
      </c>
      <c r="GC134" s="114">
        <v>10759.639632736116</v>
      </c>
      <c r="GD134" s="114">
        <v>14116.388980569833</v>
      </c>
      <c r="GE134" s="114">
        <v>8697.3826590093067</v>
      </c>
      <c r="GF134" s="114">
        <v>4059.3372259524863</v>
      </c>
      <c r="GG134" s="114">
        <v>3401.6238850338577</v>
      </c>
      <c r="GH134" s="114">
        <v>3673.6549941703861</v>
      </c>
      <c r="GI134" s="114">
        <v>3119.9689952702765</v>
      </c>
      <c r="GJ134" s="114">
        <v>6073.5525833495012</v>
      </c>
      <c r="GK134" s="114">
        <v>13572.882962760737</v>
      </c>
      <c r="GL134" s="114">
        <v>2151.9392504530356</v>
      </c>
      <c r="GM134" s="114">
        <v>16117.809911436403</v>
      </c>
      <c r="GN134" s="114">
        <v>13761.052061985762</v>
      </c>
      <c r="GO134" s="114">
        <v>12939.767859994206</v>
      </c>
      <c r="GP134" s="114">
        <v>13265.38196981136</v>
      </c>
      <c r="GQ134" s="114">
        <v>17102.713968841337</v>
      </c>
      <c r="GR134" s="114">
        <v>13910.435188477964</v>
      </c>
      <c r="GS134" s="114">
        <v>9375.7911237783537</v>
      </c>
      <c r="GT134" s="115">
        <v>12998.513415313115</v>
      </c>
    </row>
    <row r="135" spans="2:202" x14ac:dyDescent="0.6">
      <c r="B135" s="106" t="s">
        <v>122</v>
      </c>
      <c r="C135" s="63" t="s">
        <v>494</v>
      </c>
      <c r="D135" s="113">
        <v>7084.4892541326853</v>
      </c>
      <c r="E135" s="114">
        <v>2576.1729740097931</v>
      </c>
      <c r="F135" s="114">
        <v>3229.8884701156439</v>
      </c>
      <c r="G135" s="114">
        <v>2712.8326414818821</v>
      </c>
      <c r="H135" s="114">
        <v>6841.1609689514189</v>
      </c>
      <c r="I135" s="114">
        <v>8518.2275523888111</v>
      </c>
      <c r="J135" s="114">
        <v>5076.9115459151535</v>
      </c>
      <c r="K135" s="114">
        <v>16134.973644711023</v>
      </c>
      <c r="L135" s="114">
        <v>4090.0820954223204</v>
      </c>
      <c r="M135" s="114">
        <v>5499.5102212322963</v>
      </c>
      <c r="N135" s="114">
        <v>8321.8929257910222</v>
      </c>
      <c r="O135" s="114">
        <v>5216.4617251907712</v>
      </c>
      <c r="P135" s="114">
        <v>9245.5211297861006</v>
      </c>
      <c r="Q135" s="114">
        <v>6625.3319192426625</v>
      </c>
      <c r="R135" s="114">
        <v>4995.8373622921727</v>
      </c>
      <c r="S135" s="114">
        <v>4145.4841919565597</v>
      </c>
      <c r="T135" s="114">
        <v>9612.5572383668532</v>
      </c>
      <c r="U135" s="114">
        <v>783.80443832993558</v>
      </c>
      <c r="V135" s="114">
        <v>9082.441874816639</v>
      </c>
      <c r="W135" s="114">
        <v>8376.8065300375129</v>
      </c>
      <c r="X135" s="114">
        <v>3702.7385614938366</v>
      </c>
      <c r="Y135" s="114">
        <v>4909.7729409834265</v>
      </c>
      <c r="Z135" s="114">
        <v>6692.864974033163</v>
      </c>
      <c r="AA135" s="114">
        <v>6357.9442492728267</v>
      </c>
      <c r="AB135" s="114">
        <v>12354.397056865613</v>
      </c>
      <c r="AC135" s="114">
        <v>3829.076011200088</v>
      </c>
      <c r="AD135" s="114">
        <v>385.14170161097843</v>
      </c>
      <c r="AE135" s="114">
        <v>3506.5651438815557</v>
      </c>
      <c r="AF135" s="114">
        <v>2744.1343400090836</v>
      </c>
      <c r="AG135" s="114">
        <v>11034.42734162588</v>
      </c>
      <c r="AH135" s="114">
        <v>1325.1191782894662</v>
      </c>
      <c r="AI135" s="114">
        <v>1490.5910209053102</v>
      </c>
      <c r="AJ135" s="114">
        <v>8311.3951813022322</v>
      </c>
      <c r="AK135" s="114">
        <v>7988.9803400752016</v>
      </c>
      <c r="AL135" s="114">
        <v>2051.3185562661602</v>
      </c>
      <c r="AM135" s="114">
        <v>1365.3195918059341</v>
      </c>
      <c r="AN135" s="114">
        <v>9244.3233344818545</v>
      </c>
      <c r="AO135" s="114">
        <v>11879.307119652703</v>
      </c>
      <c r="AP135" s="114">
        <v>11036.224872895253</v>
      </c>
      <c r="AQ135" s="114">
        <v>8390.0086974214883</v>
      </c>
      <c r="AR135" s="114">
        <v>5298.9151541916963</v>
      </c>
      <c r="AS135" s="114">
        <v>2443.4035429616515</v>
      </c>
      <c r="AT135" s="114">
        <v>2409.3948674087601</v>
      </c>
      <c r="AU135" s="114">
        <v>9345.6895003340742</v>
      </c>
      <c r="AV135" s="114">
        <v>1105.1980376614836</v>
      </c>
      <c r="AW135" s="114">
        <v>3803.6740595538809</v>
      </c>
      <c r="AX135" s="114">
        <v>8859.499165149793</v>
      </c>
      <c r="AY135" s="114">
        <v>3957.5718880758786</v>
      </c>
      <c r="AZ135" s="114">
        <v>4236.7024342399445</v>
      </c>
      <c r="BA135" s="114">
        <v>4769.373399410596</v>
      </c>
      <c r="BB135" s="114">
        <v>4365.3034160798616</v>
      </c>
      <c r="BC135" s="114">
        <v>6801.8425993244491</v>
      </c>
      <c r="BD135" s="114">
        <v>7640.8641197470488</v>
      </c>
      <c r="BE135" s="114">
        <v>2421.2055182123172</v>
      </c>
      <c r="BF135" s="114">
        <v>8973.7980492245733</v>
      </c>
      <c r="BG135" s="114">
        <v>3518.0026614092694</v>
      </c>
      <c r="BH135" s="114">
        <v>9790.7093014302536</v>
      </c>
      <c r="BI135" s="114">
        <v>1301.1349859026295</v>
      </c>
      <c r="BJ135" s="114">
        <v>3934.4066201103979</v>
      </c>
      <c r="BK135" s="114">
        <v>5435.214123798075</v>
      </c>
      <c r="BL135" s="114">
        <v>5392.5642659534669</v>
      </c>
      <c r="BM135" s="114">
        <v>3991.2653932962244</v>
      </c>
      <c r="BN135" s="114">
        <v>5540.3491511171997</v>
      </c>
      <c r="BO135" s="114">
        <v>3917.418528838296</v>
      </c>
      <c r="BP135" s="114">
        <v>1650.8294983834749</v>
      </c>
      <c r="BQ135" s="114">
        <v>1997.3497845496784</v>
      </c>
      <c r="BR135" s="114">
        <v>5152.3241476790272</v>
      </c>
      <c r="BS135" s="114">
        <v>4453.1802666468857</v>
      </c>
      <c r="BT135" s="114">
        <v>3975.4721299575795</v>
      </c>
      <c r="BU135" s="114">
        <v>4140.5661815147805</v>
      </c>
      <c r="BV135" s="114">
        <v>910.81900087581448</v>
      </c>
      <c r="BW135" s="114">
        <v>3434.8439902073615</v>
      </c>
      <c r="BX135" s="114">
        <v>6904.2869254628313</v>
      </c>
      <c r="BY135" s="114">
        <v>9882.7910478062968</v>
      </c>
      <c r="BZ135" s="114">
        <v>1751.9165462760684</v>
      </c>
      <c r="CA135" s="114">
        <v>1912.2003219843314</v>
      </c>
      <c r="CB135" s="114">
        <v>6621.0196699369681</v>
      </c>
      <c r="CC135" s="114">
        <v>7912.23604725515</v>
      </c>
      <c r="CD135" s="114">
        <v>9568.1825432664409</v>
      </c>
      <c r="CE135" s="114">
        <v>4099.4333110874441</v>
      </c>
      <c r="CF135" s="114">
        <v>5939.777269209344</v>
      </c>
      <c r="CG135" s="114">
        <v>7543.5743005481818</v>
      </c>
      <c r="CH135" s="114">
        <v>7866.8979799964218</v>
      </c>
      <c r="CI135" s="114">
        <v>11710.020422578356</v>
      </c>
      <c r="CJ135" s="114">
        <v>5492.6264342910499</v>
      </c>
      <c r="CK135" s="114">
        <v>4806.7412530092743</v>
      </c>
      <c r="CL135" s="114">
        <v>4500.0846638205985</v>
      </c>
      <c r="CM135" s="114">
        <v>4302.2225723761758</v>
      </c>
      <c r="CN135" s="114">
        <v>3295.8908255003112</v>
      </c>
      <c r="CO135" s="114">
        <v>3642.4653740050558</v>
      </c>
      <c r="CP135" s="114">
        <v>8367.8972122766299</v>
      </c>
      <c r="CQ135" s="114">
        <v>12987.269935202474</v>
      </c>
      <c r="CR135" s="114">
        <v>3970.6327590518299</v>
      </c>
      <c r="CS135" s="114">
        <v>7418.5498416572527</v>
      </c>
      <c r="CT135" s="114">
        <v>4120.5552237919519</v>
      </c>
      <c r="CU135" s="114">
        <v>5044.3646713596854</v>
      </c>
      <c r="CV135" s="114">
        <v>7578.9334699455412</v>
      </c>
      <c r="CW135" s="114">
        <v>10617.635730872364</v>
      </c>
      <c r="CX135" s="114">
        <v>5164.0552830021916</v>
      </c>
      <c r="CY135" s="114">
        <v>4043.0948272703158</v>
      </c>
      <c r="CZ135" s="114">
        <v>5442.819522466506</v>
      </c>
      <c r="DA135" s="114">
        <v>1582.5648058306874</v>
      </c>
      <c r="DB135" s="114">
        <v>2412.6166106185015</v>
      </c>
      <c r="DC135" s="114">
        <v>3819.7480258850592</v>
      </c>
      <c r="DD135" s="114">
        <v>4996.7790260539241</v>
      </c>
      <c r="DE135" s="114">
        <v>4031.0512224531149</v>
      </c>
      <c r="DF135" s="114">
        <v>6092.2261341880285</v>
      </c>
      <c r="DG135" s="114">
        <v>4600.8729245120903</v>
      </c>
      <c r="DH135" s="114">
        <v>10936.901978154649</v>
      </c>
      <c r="DI135" s="114">
        <v>7874.4809699537273</v>
      </c>
      <c r="DJ135" s="114">
        <v>1047.053395467944</v>
      </c>
      <c r="DK135" s="114">
        <v>2763.7305324714453</v>
      </c>
      <c r="DL135" s="114">
        <v>7089.0535144446831</v>
      </c>
      <c r="DM135" s="114">
        <v>7110.6866749321198</v>
      </c>
      <c r="DN135" s="114">
        <v>10661.175265662101</v>
      </c>
      <c r="DO135" s="114">
        <v>4504.8694860505575</v>
      </c>
      <c r="DP135" s="114">
        <v>3426.4342754550098</v>
      </c>
      <c r="DQ135" s="114">
        <v>9987.7382282267645</v>
      </c>
      <c r="DR135" s="114">
        <v>3641.6997397530322</v>
      </c>
      <c r="DS135" s="114">
        <v>2476.2257491670089</v>
      </c>
      <c r="DT135" s="114">
        <v>5422.2008895423787</v>
      </c>
      <c r="DU135" s="114">
        <v>10022.764457854559</v>
      </c>
      <c r="DV135" s="114">
        <v>4284.0982810186651</v>
      </c>
      <c r="DW135" s="114">
        <v>8666.2587342593779</v>
      </c>
      <c r="DX135" s="114">
        <v>4337.8086601814593</v>
      </c>
      <c r="DY135" s="114">
        <v>17292.732554617553</v>
      </c>
      <c r="DZ135" s="114">
        <v>16822.733530928748</v>
      </c>
      <c r="EA135" s="114">
        <v>9517.3834544488873</v>
      </c>
      <c r="EB135" s="114" t="s">
        <v>237</v>
      </c>
      <c r="EC135" s="114">
        <v>741.14053120722963</v>
      </c>
      <c r="ED135" s="114">
        <v>11745.055789945405</v>
      </c>
      <c r="EE135" s="114">
        <v>3693.7653328481542</v>
      </c>
      <c r="EF135" s="114">
        <v>5192.4749954247518</v>
      </c>
      <c r="EG135" s="114">
        <v>6012.4545945194695</v>
      </c>
      <c r="EH135" s="114">
        <v>6894.3213882157743</v>
      </c>
      <c r="EI135" s="114">
        <v>7452.6035834769891</v>
      </c>
      <c r="EJ135" s="114">
        <v>8847.0190896333024</v>
      </c>
      <c r="EK135" s="114">
        <v>7717.0587352860684</v>
      </c>
      <c r="EL135" s="114">
        <v>9157.9835892197534</v>
      </c>
      <c r="EM135" s="114">
        <v>12623.008925075503</v>
      </c>
      <c r="EN135" s="114">
        <v>4639.7492008815516</v>
      </c>
      <c r="EO135" s="114">
        <v>3005.4584442327382</v>
      </c>
      <c r="EP135" s="114">
        <v>5311.1123444692312</v>
      </c>
      <c r="EQ135" s="114">
        <v>4134.4931404337522</v>
      </c>
      <c r="ER135" s="114">
        <v>5621.6160896587935</v>
      </c>
      <c r="ES135" s="114">
        <v>3500.3053129570199</v>
      </c>
      <c r="ET135" s="114">
        <v>6902.8938354977772</v>
      </c>
      <c r="EU135" s="114">
        <v>6747.9977298682024</v>
      </c>
      <c r="EV135" s="114">
        <v>6817.6210625655904</v>
      </c>
      <c r="EW135" s="114">
        <v>3506.3535866186298</v>
      </c>
      <c r="EX135" s="114">
        <v>1540.1951330356908</v>
      </c>
      <c r="EY135" s="114">
        <v>4807.7143643561585</v>
      </c>
      <c r="EZ135" s="114">
        <v>2092.2471538793561</v>
      </c>
      <c r="FA135" s="114">
        <v>3882.9980668315106</v>
      </c>
      <c r="FB135" s="114">
        <v>1752.262480380356</v>
      </c>
      <c r="FC135" s="114">
        <v>11244.234149715296</v>
      </c>
      <c r="FD135" s="114">
        <v>4113.8190225175613</v>
      </c>
      <c r="FE135" s="114">
        <v>3821.6828229593793</v>
      </c>
      <c r="FF135" s="114">
        <v>4911.5233492711304</v>
      </c>
      <c r="FG135" s="114">
        <v>5147.5969867521926</v>
      </c>
      <c r="FH135" s="114">
        <v>11939.883798104163</v>
      </c>
      <c r="FI135" s="114">
        <v>3370.266030036315</v>
      </c>
      <c r="FJ135" s="114">
        <v>3047.8875012777471</v>
      </c>
      <c r="FK135" s="114">
        <v>3126.2758188066341</v>
      </c>
      <c r="FL135" s="114">
        <v>8516.8948967671131</v>
      </c>
      <c r="FM135" s="114">
        <v>3269.1759592252602</v>
      </c>
      <c r="FN135" s="114">
        <v>6317.2234921580612</v>
      </c>
      <c r="FO135" s="114">
        <v>5275.6011170239944</v>
      </c>
      <c r="FP135" s="114">
        <v>3734.8701298014798</v>
      </c>
      <c r="FQ135" s="114">
        <v>4105.2335486429583</v>
      </c>
      <c r="FR135" s="114">
        <v>12198.785615342493</v>
      </c>
      <c r="FS135" s="114">
        <v>7049.5864013917999</v>
      </c>
      <c r="FT135" s="114">
        <v>4678.4320851293141</v>
      </c>
      <c r="FU135" s="114">
        <v>10532.323445743035</v>
      </c>
      <c r="FV135" s="114">
        <v>13802.318564393328</v>
      </c>
      <c r="FW135" s="114">
        <v>803.91752685969254</v>
      </c>
      <c r="FX135" s="114">
        <v>6902.4519618914428</v>
      </c>
      <c r="FY135" s="114">
        <v>2704.8815826768896</v>
      </c>
      <c r="FZ135" s="114">
        <v>4175.5496411257027</v>
      </c>
      <c r="GA135" s="114">
        <v>6093.7540151846915</v>
      </c>
      <c r="GB135" s="114">
        <v>3634.4073682539838</v>
      </c>
      <c r="GC135" s="114">
        <v>4845.781807047877</v>
      </c>
      <c r="GD135" s="114">
        <v>5594.0699595023752</v>
      </c>
      <c r="GE135" s="114">
        <v>4239.6685476284265</v>
      </c>
      <c r="GF135" s="114">
        <v>11804.769126839066</v>
      </c>
      <c r="GG135" s="114">
        <v>7882.6627509508835</v>
      </c>
      <c r="GH135" s="114">
        <v>7637.3498521605989</v>
      </c>
      <c r="GI135" s="114">
        <v>8148.7081844839213</v>
      </c>
      <c r="GJ135" s="114">
        <v>8112.8674623009101</v>
      </c>
      <c r="GK135" s="114">
        <v>7127.1322548912385</v>
      </c>
      <c r="GL135" s="114">
        <v>7453.0577348662355</v>
      </c>
      <c r="GM135" s="114">
        <v>10829.629379796508</v>
      </c>
      <c r="GN135" s="114">
        <v>4538.3148001399222</v>
      </c>
      <c r="GO135" s="114">
        <v>4280.4819599532539</v>
      </c>
      <c r="GP135" s="114">
        <v>4664.5446670695028</v>
      </c>
      <c r="GQ135" s="114">
        <v>11273.312350433906</v>
      </c>
      <c r="GR135" s="114">
        <v>15913.934752367646</v>
      </c>
      <c r="GS135" s="114">
        <v>3840.1295421412387</v>
      </c>
      <c r="GT135" s="115">
        <v>5210.9036218157817</v>
      </c>
    </row>
    <row r="136" spans="2:202" x14ac:dyDescent="0.6">
      <c r="B136" s="106" t="s">
        <v>123</v>
      </c>
      <c r="C136" s="63" t="s">
        <v>495</v>
      </c>
      <c r="D136" s="113">
        <v>6859.0040945301507</v>
      </c>
      <c r="E136" s="114">
        <v>3073.408896508322</v>
      </c>
      <c r="F136" s="114">
        <v>3744.5626195414943</v>
      </c>
      <c r="G136" s="114">
        <v>2055.5259578858395</v>
      </c>
      <c r="H136" s="114">
        <v>7509.9050753635465</v>
      </c>
      <c r="I136" s="114">
        <v>8635.0674773132905</v>
      </c>
      <c r="J136" s="114">
        <v>5025.5432209400933</v>
      </c>
      <c r="K136" s="114">
        <v>15394.578614474114</v>
      </c>
      <c r="L136" s="114">
        <v>4424.0112562223057</v>
      </c>
      <c r="M136" s="114">
        <v>5420.2865131482476</v>
      </c>
      <c r="N136" s="114">
        <v>9035.1299634890438</v>
      </c>
      <c r="O136" s="114">
        <v>4904.7445177490808</v>
      </c>
      <c r="P136" s="114">
        <v>8893.8612848288121</v>
      </c>
      <c r="Q136" s="114">
        <v>7265.11582331715</v>
      </c>
      <c r="R136" s="114">
        <v>5258.4900054747504</v>
      </c>
      <c r="S136" s="114">
        <v>4619.0349052397914</v>
      </c>
      <c r="T136" s="114">
        <v>10300.296776133278</v>
      </c>
      <c r="U136" s="114">
        <v>624.40425140974583</v>
      </c>
      <c r="V136" s="114">
        <v>8774.607197325844</v>
      </c>
      <c r="W136" s="114">
        <v>8758.2091005743696</v>
      </c>
      <c r="X136" s="114">
        <v>3977.0234091565007</v>
      </c>
      <c r="Y136" s="114">
        <v>4218.6239355035132</v>
      </c>
      <c r="Z136" s="114">
        <v>6892.0671019886277</v>
      </c>
      <c r="AA136" s="114">
        <v>6542.2994864627817</v>
      </c>
      <c r="AB136" s="114">
        <v>11859.380929028241</v>
      </c>
      <c r="AC136" s="114">
        <v>4024.406214953</v>
      </c>
      <c r="AD136" s="114">
        <v>1003.0751620812995</v>
      </c>
      <c r="AE136" s="114">
        <v>2777.2987981468709</v>
      </c>
      <c r="AF136" s="114">
        <v>3396.306502684457</v>
      </c>
      <c r="AG136" s="114">
        <v>10582.498459839624</v>
      </c>
      <c r="AH136" s="114">
        <v>615.34540684323019</v>
      </c>
      <c r="AI136" s="114">
        <v>760.98521878561132</v>
      </c>
      <c r="AJ136" s="114">
        <v>9051.2357123370566</v>
      </c>
      <c r="AK136" s="114">
        <v>8727.4388422777502</v>
      </c>
      <c r="AL136" s="114">
        <v>1330.5714196483452</v>
      </c>
      <c r="AM136" s="114">
        <v>863.88976976919707</v>
      </c>
      <c r="AN136" s="114">
        <v>9436.8725439064201</v>
      </c>
      <c r="AO136" s="114">
        <v>11708.468336346679</v>
      </c>
      <c r="AP136" s="114">
        <v>10942.61377620757</v>
      </c>
      <c r="AQ136" s="114">
        <v>8980.4714723788438</v>
      </c>
      <c r="AR136" s="114">
        <v>4568.992840092119</v>
      </c>
      <c r="AS136" s="114">
        <v>1731.4197152771101</v>
      </c>
      <c r="AT136" s="114">
        <v>1697.7449211833741</v>
      </c>
      <c r="AU136" s="114">
        <v>9986.3747754693286</v>
      </c>
      <c r="AV136" s="114">
        <v>1317.3061719688235</v>
      </c>
      <c r="AW136" s="114">
        <v>4129.436305652026</v>
      </c>
      <c r="AX136" s="114">
        <v>9567.872268826799</v>
      </c>
      <c r="AY136" s="114">
        <v>3914.8618398364115</v>
      </c>
      <c r="AZ136" s="114">
        <v>4603.4145002735231</v>
      </c>
      <c r="BA136" s="114">
        <v>5173.9017048042888</v>
      </c>
      <c r="BB136" s="114">
        <v>3823.3705459424191</v>
      </c>
      <c r="BC136" s="114">
        <v>7457.9588166441599</v>
      </c>
      <c r="BD136" s="114">
        <v>8320.3443816671934</v>
      </c>
      <c r="BE136" s="114">
        <v>1709.9701915460137</v>
      </c>
      <c r="BF136" s="114">
        <v>9534.7067375922015</v>
      </c>
      <c r="BG136" s="114">
        <v>3399.4985077382662</v>
      </c>
      <c r="BH136" s="114">
        <v>10460.039100811084</v>
      </c>
      <c r="BI136" s="114">
        <v>636.1939942675624</v>
      </c>
      <c r="BJ136" s="114">
        <v>3459.4826783297262</v>
      </c>
      <c r="BK136" s="114">
        <v>5763.0857824464201</v>
      </c>
      <c r="BL136" s="114">
        <v>4682.4943893453592</v>
      </c>
      <c r="BM136" s="114">
        <v>3414.1925566970367</v>
      </c>
      <c r="BN136" s="114">
        <v>5870.537707065675</v>
      </c>
      <c r="BO136" s="114">
        <v>4412.7541378059113</v>
      </c>
      <c r="BP136" s="114">
        <v>1001.8123789834544</v>
      </c>
      <c r="BQ136" s="114">
        <v>2628.6841471377702</v>
      </c>
      <c r="BR136" s="114">
        <v>5120.657549666108</v>
      </c>
      <c r="BS136" s="114">
        <v>4839.1542385838184</v>
      </c>
      <c r="BT136" s="114">
        <v>4364.4493455405345</v>
      </c>
      <c r="BU136" s="114">
        <v>4567.4992133301366</v>
      </c>
      <c r="BV136" s="114">
        <v>912.05705776983109</v>
      </c>
      <c r="BW136" s="114">
        <v>3562.1831327064269</v>
      </c>
      <c r="BX136" s="114">
        <v>7538.7635536289936</v>
      </c>
      <c r="BY136" s="114">
        <v>10558.657399694232</v>
      </c>
      <c r="BZ136" s="114">
        <v>2284.2246325137244</v>
      </c>
      <c r="CA136" s="114">
        <v>2505.0287731790431</v>
      </c>
      <c r="CB136" s="114">
        <v>7206.4147036966251</v>
      </c>
      <c r="CC136" s="114">
        <v>8593.7420885647989</v>
      </c>
      <c r="CD136" s="114">
        <v>10238.932131651363</v>
      </c>
      <c r="CE136" s="114">
        <v>4394.0853481016011</v>
      </c>
      <c r="CF136" s="114">
        <v>6529.6882391458257</v>
      </c>
      <c r="CG136" s="114">
        <v>7122.5014285659609</v>
      </c>
      <c r="CH136" s="114">
        <v>7560.9982594345602</v>
      </c>
      <c r="CI136" s="114">
        <v>11106.613138692695</v>
      </c>
      <c r="CJ136" s="114">
        <v>5328.4355608038668</v>
      </c>
      <c r="CK136" s="114">
        <v>4640.5071706162444</v>
      </c>
      <c r="CL136" s="114">
        <v>5057.4138013601505</v>
      </c>
      <c r="CM136" s="114">
        <v>5041.7580175815283</v>
      </c>
      <c r="CN136" s="114">
        <v>3645.5531807004318</v>
      </c>
      <c r="CO136" s="114">
        <v>4053.031465062701</v>
      </c>
      <c r="CP136" s="114">
        <v>9050.1019461879641</v>
      </c>
      <c r="CQ136" s="114">
        <v>12978.077518301103</v>
      </c>
      <c r="CR136" s="114">
        <v>3839.0470614138067</v>
      </c>
      <c r="CS136" s="114">
        <v>7424.2061306907253</v>
      </c>
      <c r="CT136" s="114">
        <v>3424.3049612790692</v>
      </c>
      <c r="CU136" s="114">
        <v>4793.1807263916135</v>
      </c>
      <c r="CV136" s="114">
        <v>7461.8961365697251</v>
      </c>
      <c r="CW136" s="114">
        <v>10225.564841533786</v>
      </c>
      <c r="CX136" s="114">
        <v>5476.7516848665327</v>
      </c>
      <c r="CY136" s="114">
        <v>3950.731400195265</v>
      </c>
      <c r="CZ136" s="114">
        <v>4760.0095175453343</v>
      </c>
      <c r="DA136" s="114">
        <v>1986.162052190635</v>
      </c>
      <c r="DB136" s="114">
        <v>2672.7395318179824</v>
      </c>
      <c r="DC136" s="114">
        <v>4232.9355423244106</v>
      </c>
      <c r="DD136" s="114">
        <v>5284.4898858838869</v>
      </c>
      <c r="DE136" s="114">
        <v>4484.8381917538582</v>
      </c>
      <c r="DF136" s="114">
        <v>5353.2983183084643</v>
      </c>
      <c r="DG136" s="114">
        <v>3859.9649737249238</v>
      </c>
      <c r="DH136" s="114">
        <v>10400.771721335101</v>
      </c>
      <c r="DI136" s="114">
        <v>7300.0448722940328</v>
      </c>
      <c r="DJ136" s="114">
        <v>1665.0270042505069</v>
      </c>
      <c r="DK136" s="114">
        <v>3029.7501058329335</v>
      </c>
      <c r="DL136" s="114">
        <v>6355.7475484974939</v>
      </c>
      <c r="DM136" s="114">
        <v>6377.4398474784448</v>
      </c>
      <c r="DN136" s="114">
        <v>11367.871888401354</v>
      </c>
      <c r="DO136" s="114">
        <v>4686.8612804258555</v>
      </c>
      <c r="DP136" s="114">
        <v>3857.1874039775166</v>
      </c>
      <c r="DQ136" s="114">
        <v>9966.7950307251667</v>
      </c>
      <c r="DR136" s="114">
        <v>3891.7628362464511</v>
      </c>
      <c r="DS136" s="114">
        <v>3131.0587482314249</v>
      </c>
      <c r="DT136" s="114">
        <v>4705.9016767658841</v>
      </c>
      <c r="DU136" s="114">
        <v>9605.5473961879379</v>
      </c>
      <c r="DV136" s="114">
        <v>3648.6931721899291</v>
      </c>
      <c r="DW136" s="114">
        <v>8354.8356080364611</v>
      </c>
      <c r="DX136" s="114">
        <v>4808.0208586116069</v>
      </c>
      <c r="DY136" s="114">
        <v>16673.290245574593</v>
      </c>
      <c r="DZ136" s="114">
        <v>16221.92995865959</v>
      </c>
      <c r="EA136" s="114">
        <v>10175.945970261913</v>
      </c>
      <c r="EB136" s="114">
        <v>741.14053120722963</v>
      </c>
      <c r="EC136" s="114" t="s">
        <v>237</v>
      </c>
      <c r="ED136" s="114">
        <v>11686.091191316114</v>
      </c>
      <c r="EE136" s="114">
        <v>3910.8014666826252</v>
      </c>
      <c r="EF136" s="114">
        <v>5621.5057500731682</v>
      </c>
      <c r="EG136" s="114">
        <v>5645.6262838476114</v>
      </c>
      <c r="EH136" s="114">
        <v>6543.558702514114</v>
      </c>
      <c r="EI136" s="114">
        <v>7212.2244528809315</v>
      </c>
      <c r="EJ136" s="114">
        <v>9478.375357016037</v>
      </c>
      <c r="EK136" s="114">
        <v>7955.2522524580472</v>
      </c>
      <c r="EL136" s="114">
        <v>9606.5380899752836</v>
      </c>
      <c r="EM136" s="114">
        <v>12251.993512099385</v>
      </c>
      <c r="EN136" s="114">
        <v>4948.6051408273361</v>
      </c>
      <c r="EO136" s="114">
        <v>3654.8534914774496</v>
      </c>
      <c r="EP136" s="114">
        <v>4981.5991407170059</v>
      </c>
      <c r="EQ136" s="114">
        <v>4314.7850967520526</v>
      </c>
      <c r="ER136" s="114">
        <v>5829.0308272337452</v>
      </c>
      <c r="ES136" s="114">
        <v>2781.4149769334558</v>
      </c>
      <c r="ET136" s="114">
        <v>7572.2208847648399</v>
      </c>
      <c r="EU136" s="114">
        <v>7395.6387429747156</v>
      </c>
      <c r="EV136" s="114">
        <v>7459.1296292373218</v>
      </c>
      <c r="EW136" s="114">
        <v>3866.5117967352739</v>
      </c>
      <c r="EX136" s="114">
        <v>1000.5079218377667</v>
      </c>
      <c r="EY136" s="114">
        <v>4479.025545005039</v>
      </c>
      <c r="EZ136" s="114">
        <v>2741.6041219206845</v>
      </c>
      <c r="FA136" s="114">
        <v>4137.4994483260216</v>
      </c>
      <c r="FB136" s="114">
        <v>2253.5687465651113</v>
      </c>
      <c r="FC136" s="114">
        <v>10697.262516847</v>
      </c>
      <c r="FD136" s="114">
        <v>4437.6183213138775</v>
      </c>
      <c r="FE136" s="114">
        <v>4167.0578052729807</v>
      </c>
      <c r="FF136" s="114">
        <v>4266.7012792919768</v>
      </c>
      <c r="FG136" s="114">
        <v>4447.2171121708734</v>
      </c>
      <c r="FH136" s="114">
        <v>11866.201314336495</v>
      </c>
      <c r="FI136" s="114">
        <v>2717.455397651257</v>
      </c>
      <c r="FJ136" s="114">
        <v>3629.2677877400592</v>
      </c>
      <c r="FK136" s="114">
        <v>3630.9246328335275</v>
      </c>
      <c r="FL136" s="114">
        <v>7978.7090051317682</v>
      </c>
      <c r="FM136" s="114">
        <v>2805.7442485931979</v>
      </c>
      <c r="FN136" s="114">
        <v>6888.8688197104138</v>
      </c>
      <c r="FO136" s="114">
        <v>5649.1786876207507</v>
      </c>
      <c r="FP136" s="114">
        <v>4172.0353783956389</v>
      </c>
      <c r="FQ136" s="114">
        <v>4000.5081557434419</v>
      </c>
      <c r="FR136" s="114">
        <v>11954.626273356707</v>
      </c>
      <c r="FS136" s="114">
        <v>6881.3509565145459</v>
      </c>
      <c r="FT136" s="114">
        <v>3957.3246406582284</v>
      </c>
      <c r="FU136" s="114">
        <v>10092.570068306113</v>
      </c>
      <c r="FV136" s="114">
        <v>13205.65050058765</v>
      </c>
      <c r="FW136" s="114">
        <v>750.51846798038696</v>
      </c>
      <c r="FX136" s="114">
        <v>7526.1987059931862</v>
      </c>
      <c r="FY136" s="114">
        <v>3065.2804791711374</v>
      </c>
      <c r="FZ136" s="114">
        <v>4216.3182560308087</v>
      </c>
      <c r="GA136" s="114">
        <v>5946.0647420229625</v>
      </c>
      <c r="GB136" s="114">
        <v>2935.5023275970643</v>
      </c>
      <c r="GC136" s="114">
        <v>5050.8272488435523</v>
      </c>
      <c r="GD136" s="114">
        <v>5245.6126525266727</v>
      </c>
      <c r="GE136" s="114">
        <v>4752.6762038826155</v>
      </c>
      <c r="GF136" s="114">
        <v>12544.765149629668</v>
      </c>
      <c r="GG136" s="114">
        <v>8623.8014431740012</v>
      </c>
      <c r="GH136" s="114">
        <v>8378.1051782780632</v>
      </c>
      <c r="GI136" s="114">
        <v>8889.5475178187717</v>
      </c>
      <c r="GJ136" s="114">
        <v>8233.0350807444611</v>
      </c>
      <c r="GK136" s="114">
        <v>6998.3025368327726</v>
      </c>
      <c r="GL136" s="114">
        <v>8079.2795845072305</v>
      </c>
      <c r="GM136" s="114">
        <v>10483.500633936097</v>
      </c>
      <c r="GN136" s="114">
        <v>4062.7993467921378</v>
      </c>
      <c r="GO136" s="114">
        <v>3548.4215130643629</v>
      </c>
      <c r="GP136" s="114">
        <v>3930.8090433092389</v>
      </c>
      <c r="GQ136" s="114">
        <v>10821.209976445707</v>
      </c>
      <c r="GR136" s="114">
        <v>15174.009790618002</v>
      </c>
      <c r="GS136" s="114">
        <v>4263.3294469652301</v>
      </c>
      <c r="GT136" s="115">
        <v>4513.6194481257899</v>
      </c>
    </row>
    <row r="137" spans="2:202" x14ac:dyDescent="0.6">
      <c r="B137" s="106" t="s">
        <v>124</v>
      </c>
      <c r="C137" s="63" t="s">
        <v>496</v>
      </c>
      <c r="D137" s="113">
        <v>4959.4532446484473</v>
      </c>
      <c r="E137" s="114">
        <v>9744.0110089600021</v>
      </c>
      <c r="F137" s="114">
        <v>9346.0364643435678</v>
      </c>
      <c r="G137" s="114">
        <v>12509.004139728553</v>
      </c>
      <c r="H137" s="114">
        <v>13720.826250350483</v>
      </c>
      <c r="I137" s="114">
        <v>19455.152241578529</v>
      </c>
      <c r="J137" s="114">
        <v>6678.1438278709938</v>
      </c>
      <c r="K137" s="114">
        <v>8533.4236511010131</v>
      </c>
      <c r="L137" s="114">
        <v>8065.7362129106032</v>
      </c>
      <c r="M137" s="114">
        <v>6269.9885411565065</v>
      </c>
      <c r="N137" s="114">
        <v>12509.195635253705</v>
      </c>
      <c r="O137" s="114">
        <v>6978.0196562799247</v>
      </c>
      <c r="P137" s="114">
        <v>3725.9918532512638</v>
      </c>
      <c r="Q137" s="114">
        <v>14197.753243479618</v>
      </c>
      <c r="R137" s="114">
        <v>7085.2388167038671</v>
      </c>
      <c r="S137" s="114">
        <v>8517.6640891070474</v>
      </c>
      <c r="T137" s="114">
        <v>12849.196655613108</v>
      </c>
      <c r="U137" s="114">
        <v>12288.664251665443</v>
      </c>
      <c r="V137" s="114">
        <v>3555.3550431288431</v>
      </c>
      <c r="W137" s="114">
        <v>17155.68974297541</v>
      </c>
      <c r="X137" s="114">
        <v>8270.6036545835286</v>
      </c>
      <c r="Y137" s="114">
        <v>12493.631179429756</v>
      </c>
      <c r="Z137" s="114">
        <v>18127.784734902431</v>
      </c>
      <c r="AA137" s="114">
        <v>17910.943294342676</v>
      </c>
      <c r="AB137" s="114">
        <v>3981.8572850579344</v>
      </c>
      <c r="AC137" s="114">
        <v>8029.3630687305185</v>
      </c>
      <c r="AD137" s="114">
        <v>12080.660731188631</v>
      </c>
      <c r="AE137" s="114">
        <v>10757.094948769909</v>
      </c>
      <c r="AF137" s="114">
        <v>13173.414000206851</v>
      </c>
      <c r="AG137" s="114">
        <v>3708.5968389230402</v>
      </c>
      <c r="AH137" s="114">
        <v>11881.816639127541</v>
      </c>
      <c r="AI137" s="114">
        <v>11789.007199286765</v>
      </c>
      <c r="AJ137" s="114">
        <v>10480.531616215803</v>
      </c>
      <c r="AK137" s="114">
        <v>10408.848115933819</v>
      </c>
      <c r="AL137" s="114">
        <v>11155.123289640625</v>
      </c>
      <c r="AM137" s="114">
        <v>10878.027373689669</v>
      </c>
      <c r="AN137" s="114">
        <v>18465.676606209414</v>
      </c>
      <c r="AO137" s="114">
        <v>941.76608226248345</v>
      </c>
      <c r="AP137" s="114">
        <v>784.13778201385924</v>
      </c>
      <c r="AQ137" s="114">
        <v>14795.220052651883</v>
      </c>
      <c r="AR137" s="114">
        <v>10138.688545302886</v>
      </c>
      <c r="AS137" s="114">
        <v>12029.792311671339</v>
      </c>
      <c r="AT137" s="114">
        <v>12029.323396832331</v>
      </c>
      <c r="AU137" s="114">
        <v>13815.462081477915</v>
      </c>
      <c r="AV137" s="114">
        <v>12846.322271075118</v>
      </c>
      <c r="AW137" s="114">
        <v>8291.0880841711896</v>
      </c>
      <c r="AX137" s="114">
        <v>12532.709207503034</v>
      </c>
      <c r="AY137" s="114">
        <v>7798.3614773167128</v>
      </c>
      <c r="AZ137" s="114">
        <v>8038.8060655197651</v>
      </c>
      <c r="BA137" s="114">
        <v>7748.4849209219401</v>
      </c>
      <c r="BB137" s="114">
        <v>8642.105959994662</v>
      </c>
      <c r="BC137" s="114">
        <v>13940.152971309699</v>
      </c>
      <c r="BD137" s="114">
        <v>13448.1606267471</v>
      </c>
      <c r="BE137" s="114">
        <v>12034.620177450186</v>
      </c>
      <c r="BF137" s="114">
        <v>15061.16407524233</v>
      </c>
      <c r="BG137" s="114">
        <v>8288.1774682016021</v>
      </c>
      <c r="BH137" s="114">
        <v>13174.403996945697</v>
      </c>
      <c r="BI137" s="114">
        <v>12024.840823873737</v>
      </c>
      <c r="BJ137" s="114">
        <v>8674.7147500017418</v>
      </c>
      <c r="BK137" s="114">
        <v>6910.7612801062314</v>
      </c>
      <c r="BL137" s="114">
        <v>12148.024423808434</v>
      </c>
      <c r="BM137" s="114">
        <v>9108.9485389103229</v>
      </c>
      <c r="BN137" s="114">
        <v>6832.2998652633669</v>
      </c>
      <c r="BO137" s="114">
        <v>8780.6392074209052</v>
      </c>
      <c r="BP137" s="114">
        <v>12204.051618743737</v>
      </c>
      <c r="BQ137" s="114">
        <v>12966.900442665903</v>
      </c>
      <c r="BR137" s="114">
        <v>6595.8676109363414</v>
      </c>
      <c r="BS137" s="114">
        <v>7927.5399311382125</v>
      </c>
      <c r="BT137" s="114">
        <v>8323.7583205221508</v>
      </c>
      <c r="BU137" s="114">
        <v>8326.5928709033615</v>
      </c>
      <c r="BV137" s="114">
        <v>12549.060562140767</v>
      </c>
      <c r="BW137" s="114">
        <v>8342.7811110718321</v>
      </c>
      <c r="BX137" s="114">
        <v>14281.075551835853</v>
      </c>
      <c r="BY137" s="114">
        <v>13017.512489997693</v>
      </c>
      <c r="BZ137" s="114">
        <v>13157.012833555222</v>
      </c>
      <c r="CA137" s="114">
        <v>13080.99324163068</v>
      </c>
      <c r="CB137" s="114">
        <v>14933.47281718247</v>
      </c>
      <c r="CC137" s="114">
        <v>13368.140364944995</v>
      </c>
      <c r="CD137" s="114">
        <v>13214.429508525813</v>
      </c>
      <c r="CE137" s="114">
        <v>7959.1963272409075</v>
      </c>
      <c r="CF137" s="114">
        <v>8177.6091080439355</v>
      </c>
      <c r="CG137" s="114">
        <v>5470.6618261862031</v>
      </c>
      <c r="CH137" s="114">
        <v>4555.4252963931813</v>
      </c>
      <c r="CI137" s="114">
        <v>5387.4075318872583</v>
      </c>
      <c r="CJ137" s="114">
        <v>6373.9024256577759</v>
      </c>
      <c r="CK137" s="114">
        <v>7056.1725700185407</v>
      </c>
      <c r="CL137" s="114">
        <v>8742.5086278253311</v>
      </c>
      <c r="CM137" s="114">
        <v>11886.108368771633</v>
      </c>
      <c r="CN137" s="114">
        <v>8782.8310301207293</v>
      </c>
      <c r="CO137" s="114">
        <v>8660.342891484308</v>
      </c>
      <c r="CP137" s="114">
        <v>13273.952073637945</v>
      </c>
      <c r="CQ137" s="114">
        <v>1330.8045900089369</v>
      </c>
      <c r="CR137" s="114">
        <v>7847.0448309493459</v>
      </c>
      <c r="CS137" s="114">
        <v>4336.066950796705</v>
      </c>
      <c r="CT137" s="114">
        <v>9987.7586735735877</v>
      </c>
      <c r="CU137" s="114">
        <v>6981.0137514396592</v>
      </c>
      <c r="CV137" s="114">
        <v>4231.2638001757259</v>
      </c>
      <c r="CW137" s="114">
        <v>3264.9655381851294</v>
      </c>
      <c r="CX137" s="114">
        <v>7085.8104026976243</v>
      </c>
      <c r="CY137" s="114">
        <v>7740.2906123130142</v>
      </c>
      <c r="CZ137" s="114">
        <v>12641.379814729518</v>
      </c>
      <c r="DA137" s="114">
        <v>13233.876397287067</v>
      </c>
      <c r="DB137" s="114">
        <v>9426.8804816301872</v>
      </c>
      <c r="DC137" s="114">
        <v>8528.1101720174156</v>
      </c>
      <c r="DD137" s="114">
        <v>7152.9771536028584</v>
      </c>
      <c r="DE137" s="114">
        <v>8516.6034313604578</v>
      </c>
      <c r="DF137" s="114">
        <v>10310.160951221051</v>
      </c>
      <c r="DG137" s="114">
        <v>11137.686137481753</v>
      </c>
      <c r="DH137" s="114">
        <v>4675.7391322787644</v>
      </c>
      <c r="DI137" s="114">
        <v>6520.1476437029232</v>
      </c>
      <c r="DJ137" s="114">
        <v>12497.13647515481</v>
      </c>
      <c r="DK137" s="114">
        <v>9110.8314798905976</v>
      </c>
      <c r="DL137" s="114">
        <v>9648.3250964177769</v>
      </c>
      <c r="DM137" s="114">
        <v>9638.1418327546107</v>
      </c>
      <c r="DN137" s="114">
        <v>12058.12444349868</v>
      </c>
      <c r="DO137" s="114">
        <v>7372.5459075743656</v>
      </c>
      <c r="DP137" s="114">
        <v>8894.9767709143962</v>
      </c>
      <c r="DQ137" s="114">
        <v>1771.1334282534267</v>
      </c>
      <c r="DR137" s="114">
        <v>8283.7599885041309</v>
      </c>
      <c r="DS137" s="114">
        <v>10510.422370889844</v>
      </c>
      <c r="DT137" s="114">
        <v>12006.555700718762</v>
      </c>
      <c r="DU137" s="114">
        <v>3781.2892608811949</v>
      </c>
      <c r="DV137" s="114">
        <v>13086.585657576539</v>
      </c>
      <c r="DW137" s="114">
        <v>3909.9231228040539</v>
      </c>
      <c r="DX137" s="114">
        <v>8362.8738023897149</v>
      </c>
      <c r="DY137" s="114">
        <v>9846.619973998515</v>
      </c>
      <c r="DZ137" s="114">
        <v>10216.714516944567</v>
      </c>
      <c r="EA137" s="114">
        <v>13457.527061522738</v>
      </c>
      <c r="EB137" s="114">
        <v>11745.055789945405</v>
      </c>
      <c r="EC137" s="114">
        <v>11686.091191316114</v>
      </c>
      <c r="ED137" s="114" t="s">
        <v>237</v>
      </c>
      <c r="EE137" s="114">
        <v>8185.6351720484827</v>
      </c>
      <c r="EF137" s="114">
        <v>7536.0628385400396</v>
      </c>
      <c r="EG137" s="114">
        <v>6454.7793591114751</v>
      </c>
      <c r="EH137" s="114">
        <v>5613.4109177315822</v>
      </c>
      <c r="EI137" s="114">
        <v>4659.6804984361615</v>
      </c>
      <c r="EJ137" s="114">
        <v>14096.632264758971</v>
      </c>
      <c r="EK137" s="114">
        <v>18440.514961602592</v>
      </c>
      <c r="EL137" s="114">
        <v>16285.742169927467</v>
      </c>
      <c r="EM137" s="114">
        <v>2777.5028690833674</v>
      </c>
      <c r="EN137" s="114">
        <v>7523.6912581622237</v>
      </c>
      <c r="EO137" s="114">
        <v>10221.868363056914</v>
      </c>
      <c r="EP137" s="114">
        <v>6946.3083249305801</v>
      </c>
      <c r="EQ137" s="114">
        <v>7720.7162900327394</v>
      </c>
      <c r="ER137" s="114">
        <v>6381.6582067951731</v>
      </c>
      <c r="ES137" s="114">
        <v>10572.900866545226</v>
      </c>
      <c r="ET137" s="114">
        <v>13707.770668130162</v>
      </c>
      <c r="EU137" s="114">
        <v>14078.02193578936</v>
      </c>
      <c r="EV137" s="114">
        <v>14173.919494761078</v>
      </c>
      <c r="EW137" s="114">
        <v>8629.3913560436358</v>
      </c>
      <c r="EX137" s="114">
        <v>12450.490411891864</v>
      </c>
      <c r="EY137" s="114">
        <v>7407.3623854318594</v>
      </c>
      <c r="EZ137" s="114">
        <v>12918.181255911182</v>
      </c>
      <c r="FA137" s="114">
        <v>8070.858606451613</v>
      </c>
      <c r="FB137" s="114">
        <v>13225.784397346079</v>
      </c>
      <c r="FC137" s="114">
        <v>4729.1035971084757</v>
      </c>
      <c r="FD137" s="114">
        <v>8018.4425534487318</v>
      </c>
      <c r="FE137" s="114">
        <v>8324.8168136508066</v>
      </c>
      <c r="FF137" s="114">
        <v>9007.9580321420144</v>
      </c>
      <c r="FG137" s="114">
        <v>12343.274851623954</v>
      </c>
      <c r="FH137" s="114">
        <v>223.98217601934016</v>
      </c>
      <c r="FI137" s="114">
        <v>9987.2896946784585</v>
      </c>
      <c r="FJ137" s="114">
        <v>9774.1992190112833</v>
      </c>
      <c r="FK137" s="114">
        <v>9378.2190256841513</v>
      </c>
      <c r="FL137" s="114">
        <v>5773.9130837338716</v>
      </c>
      <c r="FM137" s="114">
        <v>9190.0570674173905</v>
      </c>
      <c r="FN137" s="114">
        <v>15056.73415906312</v>
      </c>
      <c r="FO137" s="114">
        <v>7220.6037395646881</v>
      </c>
      <c r="FP137" s="114">
        <v>8677.5695304085384</v>
      </c>
      <c r="FQ137" s="114">
        <v>7687.6182614649215</v>
      </c>
      <c r="FR137" s="114">
        <v>1601.7693721744981</v>
      </c>
      <c r="FS137" s="114">
        <v>4847.2407311322395</v>
      </c>
      <c r="FT137" s="114">
        <v>10142.334491812928</v>
      </c>
      <c r="FU137" s="114">
        <v>3760.4399307547451</v>
      </c>
      <c r="FV137" s="114">
        <v>5268.4156244191909</v>
      </c>
      <c r="FW137" s="114">
        <v>12393.388789852997</v>
      </c>
      <c r="FX137" s="114">
        <v>14439.020377858909</v>
      </c>
      <c r="FY137" s="114">
        <v>9308.4746411826909</v>
      </c>
      <c r="FZ137" s="114">
        <v>7573.2684068256931</v>
      </c>
      <c r="GA137" s="114">
        <v>5752.7123133009636</v>
      </c>
      <c r="GB137" s="114">
        <v>10252.375225375245</v>
      </c>
      <c r="GC137" s="114">
        <v>7092.4695151781079</v>
      </c>
      <c r="GD137" s="114">
        <v>6754.6483194526782</v>
      </c>
      <c r="GE137" s="114">
        <v>8645.9068059246474</v>
      </c>
      <c r="GF137" s="114">
        <v>9583.0887731959938</v>
      </c>
      <c r="GG137" s="114">
        <v>10927.867815794851</v>
      </c>
      <c r="GH137" s="114">
        <v>10808.912274107855</v>
      </c>
      <c r="GI137" s="114">
        <v>11048.784213614139</v>
      </c>
      <c r="GJ137" s="114">
        <v>19489.508380169736</v>
      </c>
      <c r="GK137" s="114">
        <v>4698.1355676098037</v>
      </c>
      <c r="GL137" s="114">
        <v>14387.81356414426</v>
      </c>
      <c r="GM137" s="114">
        <v>2753.9960567624335</v>
      </c>
      <c r="GN137" s="114">
        <v>8180.9801901961846</v>
      </c>
      <c r="GO137" s="114">
        <v>11678.189451222086</v>
      </c>
      <c r="GP137" s="114">
        <v>11578.825243405206</v>
      </c>
      <c r="GQ137" s="114">
        <v>3646.4522911998356</v>
      </c>
      <c r="GR137" s="114">
        <v>8615.9429691989571</v>
      </c>
      <c r="GS137" s="114">
        <v>8546.4376498448364</v>
      </c>
      <c r="GT137" s="115">
        <v>12397.998322244006</v>
      </c>
    </row>
    <row r="138" spans="2:202" x14ac:dyDescent="0.6">
      <c r="B138" s="106" t="s">
        <v>125</v>
      </c>
      <c r="C138" s="63" t="s">
        <v>497</v>
      </c>
      <c r="D138" s="113">
        <v>4215.5193871019846</v>
      </c>
      <c r="E138" s="114">
        <v>1680.8768410677242</v>
      </c>
      <c r="F138" s="114">
        <v>1640.1448424321404</v>
      </c>
      <c r="G138" s="114">
        <v>5676.8924961671682</v>
      </c>
      <c r="H138" s="114">
        <v>8184.0723271223751</v>
      </c>
      <c r="I138" s="114">
        <v>11983.623432456112</v>
      </c>
      <c r="J138" s="114">
        <v>1938.4446358530688</v>
      </c>
      <c r="K138" s="114">
        <v>15580.621576197878</v>
      </c>
      <c r="L138" s="114">
        <v>785.88743599547502</v>
      </c>
      <c r="M138" s="114">
        <v>2366.4055936119667</v>
      </c>
      <c r="N138" s="114">
        <v>8826.3610195052661</v>
      </c>
      <c r="O138" s="114">
        <v>3182.5257136729088</v>
      </c>
      <c r="P138" s="114">
        <v>6594.6304106028483</v>
      </c>
      <c r="Q138" s="114">
        <v>8266.8156923322131</v>
      </c>
      <c r="R138" s="114">
        <v>1355.9255778483412</v>
      </c>
      <c r="S138" s="114">
        <v>1609.7686178964855</v>
      </c>
      <c r="T138" s="114">
        <v>10262.319806747362</v>
      </c>
      <c r="U138" s="114">
        <v>4391.4980645459309</v>
      </c>
      <c r="V138" s="114">
        <v>6279.3822730292595</v>
      </c>
      <c r="W138" s="114">
        <v>11152.498041092629</v>
      </c>
      <c r="X138" s="114">
        <v>296.89888118931918</v>
      </c>
      <c r="Y138" s="114">
        <v>7403.3016111617671</v>
      </c>
      <c r="Z138" s="114">
        <v>10078.974078369563</v>
      </c>
      <c r="AA138" s="114">
        <v>9785.2742173663846</v>
      </c>
      <c r="AB138" s="114">
        <v>9979.3437566424618</v>
      </c>
      <c r="AC138" s="114">
        <v>167.04964208891994</v>
      </c>
      <c r="AD138" s="114">
        <v>3974.2763582742286</v>
      </c>
      <c r="AE138" s="114">
        <v>5085.9356307647686</v>
      </c>
      <c r="AF138" s="114">
        <v>5205.0043814742303</v>
      </c>
      <c r="AG138" s="114">
        <v>8612.3801500102381</v>
      </c>
      <c r="AH138" s="114">
        <v>4374.4021023183059</v>
      </c>
      <c r="AI138" s="114">
        <v>4394.1113676391842</v>
      </c>
      <c r="AJ138" s="114">
        <v>7640.6456495331231</v>
      </c>
      <c r="AK138" s="114">
        <v>7283.6731792833898</v>
      </c>
      <c r="AL138" s="114">
        <v>4210.8711522662716</v>
      </c>
      <c r="AM138" s="114">
        <v>3388.1400007167458</v>
      </c>
      <c r="AN138" s="114">
        <v>12524.416828613788</v>
      </c>
      <c r="AO138" s="114">
        <v>8500.0593825170272</v>
      </c>
      <c r="AP138" s="114">
        <v>7546.0639246682204</v>
      </c>
      <c r="AQ138" s="114">
        <v>10117.61358189452</v>
      </c>
      <c r="AR138" s="114">
        <v>6346.5858166534554</v>
      </c>
      <c r="AS138" s="114">
        <v>5187.5216976747624</v>
      </c>
      <c r="AT138" s="114">
        <v>5163.5714296295655</v>
      </c>
      <c r="AU138" s="114">
        <v>10530.970254377087</v>
      </c>
      <c r="AV138" s="114">
        <v>4782.1607492246658</v>
      </c>
      <c r="AW138" s="114">
        <v>598.6584935185042</v>
      </c>
      <c r="AX138" s="114">
        <v>9350.0360292964997</v>
      </c>
      <c r="AY138" s="114">
        <v>1293.0602697440775</v>
      </c>
      <c r="AZ138" s="114">
        <v>1045.1748385204885</v>
      </c>
      <c r="BA138" s="114">
        <v>1624.3260571545129</v>
      </c>
      <c r="BB138" s="114">
        <v>3996.286903856188</v>
      </c>
      <c r="BC138" s="114">
        <v>8271.9450826718094</v>
      </c>
      <c r="BD138" s="114">
        <v>8726.7889560302247</v>
      </c>
      <c r="BE138" s="114">
        <v>5175.3658769389385</v>
      </c>
      <c r="BF138" s="114">
        <v>10811.102044393161</v>
      </c>
      <c r="BG138" s="114">
        <v>1600.6403462459728</v>
      </c>
      <c r="BH138" s="114">
        <v>10622.503603401823</v>
      </c>
      <c r="BI138" s="114">
        <v>4471.5847046115314</v>
      </c>
      <c r="BJ138" s="114">
        <v>3411.5158361992117</v>
      </c>
      <c r="BK138" s="114">
        <v>1926.5490749037449</v>
      </c>
      <c r="BL138" s="114">
        <v>7649.0132761463328</v>
      </c>
      <c r="BM138" s="114">
        <v>4034.5443824336871</v>
      </c>
      <c r="BN138" s="114">
        <v>2033.3888303984947</v>
      </c>
      <c r="BO138" s="114">
        <v>1651.251816121003</v>
      </c>
      <c r="BP138" s="114">
        <v>4796.7695776597593</v>
      </c>
      <c r="BQ138" s="114">
        <v>4829.1044536051413</v>
      </c>
      <c r="BR138" s="114">
        <v>1923.9886273194509</v>
      </c>
      <c r="BS138" s="114">
        <v>1292.7752431859092</v>
      </c>
      <c r="BT138" s="114">
        <v>1019.0919140045398</v>
      </c>
      <c r="BU138" s="114">
        <v>1320.8478673460593</v>
      </c>
      <c r="BV138" s="114">
        <v>4589.4493540489239</v>
      </c>
      <c r="BW138" s="114">
        <v>527.181698493966</v>
      </c>
      <c r="BX138" s="114">
        <v>8540.5001080585425</v>
      </c>
      <c r="BY138" s="114">
        <v>10627.100273163183</v>
      </c>
      <c r="BZ138" s="114">
        <v>4972.7721209194551</v>
      </c>
      <c r="CA138" s="114">
        <v>4917.0486808395881</v>
      </c>
      <c r="CB138" s="114">
        <v>8647.7495737015997</v>
      </c>
      <c r="CC138" s="114">
        <v>8927.5853070329395</v>
      </c>
      <c r="CD138" s="114">
        <v>10422.234075252067</v>
      </c>
      <c r="CE138" s="114">
        <v>612.51408932005506</v>
      </c>
      <c r="CF138" s="114">
        <v>3653.1565412331975</v>
      </c>
      <c r="CG138" s="114">
        <v>5460.2618501868719</v>
      </c>
      <c r="CH138" s="114">
        <v>5201.4422964694704</v>
      </c>
      <c r="CI138" s="114">
        <v>10061.105798097882</v>
      </c>
      <c r="CJ138" s="114">
        <v>2690.9466889735759</v>
      </c>
      <c r="CK138" s="114">
        <v>2244.0397637476012</v>
      </c>
      <c r="CL138" s="114">
        <v>2380.5692229286306</v>
      </c>
      <c r="CM138" s="114">
        <v>5050.0878588723454</v>
      </c>
      <c r="CN138" s="114">
        <v>745.33142077241087</v>
      </c>
      <c r="CO138" s="114">
        <v>1041.6959424931465</v>
      </c>
      <c r="CP138" s="114">
        <v>9296.3594701444745</v>
      </c>
      <c r="CQ138" s="114">
        <v>9353.9924731565679</v>
      </c>
      <c r="CR138" s="114">
        <v>1716.1431321883642</v>
      </c>
      <c r="CS138" s="114">
        <v>3876.6177647448399</v>
      </c>
      <c r="CT138" s="114">
        <v>5039.3123866533069</v>
      </c>
      <c r="CU138" s="114">
        <v>2781.4913832153093</v>
      </c>
      <c r="CV138" s="114">
        <v>4303.1885904623996</v>
      </c>
      <c r="CW138" s="114">
        <v>7982.9596086265738</v>
      </c>
      <c r="CX138" s="114">
        <v>1627.1123310286728</v>
      </c>
      <c r="CY138" s="114">
        <v>1550.3357415026446</v>
      </c>
      <c r="CZ138" s="114">
        <v>7940.1897195139782</v>
      </c>
      <c r="DA138" s="114">
        <v>5064.3916324066804</v>
      </c>
      <c r="DB138" s="114">
        <v>1281.5749286441196</v>
      </c>
      <c r="DC138" s="114">
        <v>1100.3559119998388</v>
      </c>
      <c r="DD138" s="114">
        <v>1405.4234532442331</v>
      </c>
      <c r="DE138" s="114">
        <v>1430.4245953345799</v>
      </c>
      <c r="DF138" s="114">
        <v>7246.413370242698</v>
      </c>
      <c r="DG138" s="114">
        <v>6352.7326080013963</v>
      </c>
      <c r="DH138" s="114">
        <v>8963.5876649162674</v>
      </c>
      <c r="DI138" s="114">
        <v>6650.9250859663962</v>
      </c>
      <c r="DJ138" s="114">
        <v>4317.3354369184963</v>
      </c>
      <c r="DK138" s="114">
        <v>937.69083199801617</v>
      </c>
      <c r="DL138" s="114">
        <v>7836.4076553903888</v>
      </c>
      <c r="DM138" s="114">
        <v>7852.1526684876571</v>
      </c>
      <c r="DN138" s="114">
        <v>10867.452378889879</v>
      </c>
      <c r="DO138" s="114">
        <v>819.48514527944815</v>
      </c>
      <c r="DP138" s="114">
        <v>1142.2935196488972</v>
      </c>
      <c r="DQ138" s="114">
        <v>6415.3260138196138</v>
      </c>
      <c r="DR138" s="114">
        <v>171.22322636484233</v>
      </c>
      <c r="DS138" s="114">
        <v>2602.923017698181</v>
      </c>
      <c r="DT138" s="114">
        <v>7601.2135759861903</v>
      </c>
      <c r="DU138" s="114">
        <v>7560.7582853931808</v>
      </c>
      <c r="DV138" s="114">
        <v>7169.6654590583485</v>
      </c>
      <c r="DW138" s="114">
        <v>5922.2602283288579</v>
      </c>
      <c r="DX138" s="114">
        <v>1693.1589423999453</v>
      </c>
      <c r="DY138" s="114">
        <v>17679.415645575791</v>
      </c>
      <c r="DZ138" s="114">
        <v>17788.953367626626</v>
      </c>
      <c r="EA138" s="114">
        <v>10506.17003113317</v>
      </c>
      <c r="EB138" s="114">
        <v>3693.7653328481542</v>
      </c>
      <c r="EC138" s="114">
        <v>3910.8014666826252</v>
      </c>
      <c r="ED138" s="114">
        <v>8185.6351720484827</v>
      </c>
      <c r="EE138" s="114" t="s">
        <v>237</v>
      </c>
      <c r="EF138" s="114">
        <v>2086.9951548016206</v>
      </c>
      <c r="EG138" s="114">
        <v>3997.9613545205052</v>
      </c>
      <c r="EH138" s="114">
        <v>4590.1137476403865</v>
      </c>
      <c r="EI138" s="114">
        <v>4588.3084446255461</v>
      </c>
      <c r="EJ138" s="114">
        <v>10193.409232445321</v>
      </c>
      <c r="EK138" s="114">
        <v>10969.66909309543</v>
      </c>
      <c r="EL138" s="114">
        <v>11575.04188502647</v>
      </c>
      <c r="EM138" s="114">
        <v>9722.7676920514405</v>
      </c>
      <c r="EN138" s="114">
        <v>1125.4629249912539</v>
      </c>
      <c r="EO138" s="114">
        <v>2594.7073145596914</v>
      </c>
      <c r="EP138" s="114">
        <v>3331.3565058238228</v>
      </c>
      <c r="EQ138" s="114">
        <v>466.10424199774377</v>
      </c>
      <c r="ER138" s="114">
        <v>1930.6226332488004</v>
      </c>
      <c r="ES138" s="114">
        <v>4927.9830738277496</v>
      </c>
      <c r="ET138" s="114">
        <v>8228.6992863566466</v>
      </c>
      <c r="EU138" s="114">
        <v>8302.399757081841</v>
      </c>
      <c r="EV138" s="114">
        <v>8411.5163191353276</v>
      </c>
      <c r="EW138" s="114">
        <v>750.62683859721744</v>
      </c>
      <c r="EX138" s="114">
        <v>4892.8368966578446</v>
      </c>
      <c r="EY138" s="114">
        <v>3030.3464164380616</v>
      </c>
      <c r="EZ138" s="114">
        <v>4805.6542682772142</v>
      </c>
      <c r="FA138" s="114">
        <v>286.09772964171412</v>
      </c>
      <c r="FB138" s="114">
        <v>5040.1725165507514</v>
      </c>
      <c r="FC138" s="114">
        <v>9292.6126340624724</v>
      </c>
      <c r="FD138" s="114">
        <v>752.63630237657947</v>
      </c>
      <c r="FE138" s="114">
        <v>712.14138248781626</v>
      </c>
      <c r="FF138" s="114">
        <v>5049.5197599404855</v>
      </c>
      <c r="FG138" s="114">
        <v>7533.1992769835251</v>
      </c>
      <c r="FH138" s="114">
        <v>8395.6770497768121</v>
      </c>
      <c r="FI138" s="114">
        <v>4256.5909479116035</v>
      </c>
      <c r="FJ138" s="114">
        <v>2071.555362349507</v>
      </c>
      <c r="FK138" s="114">
        <v>1582.9141789866073</v>
      </c>
      <c r="FL138" s="114">
        <v>6926.2872440118008</v>
      </c>
      <c r="FM138" s="114">
        <v>3153.3771779628323</v>
      </c>
      <c r="FN138" s="114">
        <v>8472.876672585875</v>
      </c>
      <c r="FO138" s="114">
        <v>1924.4271527231667</v>
      </c>
      <c r="FP138" s="114">
        <v>1220.5581475082458</v>
      </c>
      <c r="FQ138" s="114">
        <v>1627.9610084361982</v>
      </c>
      <c r="FR138" s="114">
        <v>8966.0090875530532</v>
      </c>
      <c r="FS138" s="114">
        <v>3982.0739872003214</v>
      </c>
      <c r="FT138" s="114">
        <v>5729.0876123600146</v>
      </c>
      <c r="FU138" s="114">
        <v>8112.6406412243277</v>
      </c>
      <c r="FV138" s="114">
        <v>11781.58223189911</v>
      </c>
      <c r="FW138" s="114">
        <v>4457.9934783972576</v>
      </c>
      <c r="FX138" s="114">
        <v>8622.1469869842786</v>
      </c>
      <c r="FY138" s="114">
        <v>1137.4358211367271</v>
      </c>
      <c r="FZ138" s="114">
        <v>986.77023255458289</v>
      </c>
      <c r="GA138" s="114">
        <v>3095.2887003236692</v>
      </c>
      <c r="GB138" s="114">
        <v>4778.9958360935698</v>
      </c>
      <c r="GC138" s="114">
        <v>1152.5328032510338</v>
      </c>
      <c r="GD138" s="114">
        <v>3612.6622892205264</v>
      </c>
      <c r="GE138" s="114">
        <v>1918.7129320294064</v>
      </c>
      <c r="GF138" s="114">
        <v>10603.434565607131</v>
      </c>
      <c r="GG138" s="114">
        <v>7490.7376475848387</v>
      </c>
      <c r="GH138" s="114">
        <v>7184.6773989382154</v>
      </c>
      <c r="GI138" s="114">
        <v>7817.1778564441256</v>
      </c>
      <c r="GJ138" s="114">
        <v>11585.677882733296</v>
      </c>
      <c r="GK138" s="114">
        <v>3925.8026420029637</v>
      </c>
      <c r="GL138" s="114">
        <v>9063.7271523069958</v>
      </c>
      <c r="GM138" s="114">
        <v>7999.5705097736218</v>
      </c>
      <c r="GN138" s="114">
        <v>3686.3817167053421</v>
      </c>
      <c r="GO138" s="114">
        <v>6409.58697304827</v>
      </c>
      <c r="GP138" s="114">
        <v>6685.0768718727713</v>
      </c>
      <c r="GQ138" s="114">
        <v>8824.7088785901051</v>
      </c>
      <c r="GR138" s="114">
        <v>15493.135343462494</v>
      </c>
      <c r="GS138" s="114">
        <v>1166.9954481356422</v>
      </c>
      <c r="GT138" s="115">
        <v>7616.5067247895522</v>
      </c>
    </row>
    <row r="139" spans="2:202" x14ac:dyDescent="0.6">
      <c r="B139" s="106" t="s">
        <v>126</v>
      </c>
      <c r="C139" s="63" t="s">
        <v>498</v>
      </c>
      <c r="D139" s="113">
        <v>5037.5111608587067</v>
      </c>
      <c r="E139" s="114">
        <v>2626.0436333355628</v>
      </c>
      <c r="F139" s="114">
        <v>2016.5643684820363</v>
      </c>
      <c r="G139" s="114">
        <v>7570.6362798993559</v>
      </c>
      <c r="H139" s="114">
        <v>7378.0895552527718</v>
      </c>
      <c r="I139" s="114">
        <v>12447.493879351858</v>
      </c>
      <c r="J139" s="114">
        <v>3190.7488723452607</v>
      </c>
      <c r="K139" s="114">
        <v>15972.460314187609</v>
      </c>
      <c r="L139" s="114">
        <v>1324.9340435012043</v>
      </c>
      <c r="M139" s="114">
        <v>3443.967153407888</v>
      </c>
      <c r="N139" s="114">
        <v>7497.7180919344319</v>
      </c>
      <c r="O139" s="114">
        <v>4806.5225151075483</v>
      </c>
      <c r="P139" s="114">
        <v>7210.5743997439531</v>
      </c>
      <c r="Q139" s="114">
        <v>7623.4736145244824</v>
      </c>
      <c r="R139" s="114">
        <v>1226.3502839204118</v>
      </c>
      <c r="S139" s="114">
        <v>1079.8767779440186</v>
      </c>
      <c r="T139" s="114">
        <v>8848.1318339786121</v>
      </c>
      <c r="U139" s="114">
        <v>5968.0650400965706</v>
      </c>
      <c r="V139" s="114">
        <v>6807.3842990416879</v>
      </c>
      <c r="W139" s="114">
        <v>10927.53336722498</v>
      </c>
      <c r="X139" s="114">
        <v>1859.4815491296188</v>
      </c>
      <c r="Y139" s="114">
        <v>9442.6024775816622</v>
      </c>
      <c r="Z139" s="114">
        <v>10595.255555140859</v>
      </c>
      <c r="AA139" s="114">
        <v>10381.589348660609</v>
      </c>
      <c r="AB139" s="114">
        <v>10383.548292905412</v>
      </c>
      <c r="AC139" s="114">
        <v>2091.9814772860213</v>
      </c>
      <c r="AD139" s="114">
        <v>5359.9209857720807</v>
      </c>
      <c r="AE139" s="114">
        <v>7163.6992022046334</v>
      </c>
      <c r="AF139" s="114">
        <v>5663.706581967871</v>
      </c>
      <c r="AG139" s="114">
        <v>9149.537162911025</v>
      </c>
      <c r="AH139" s="114">
        <v>6171.8417801444148</v>
      </c>
      <c r="AI139" s="114">
        <v>6232.9549102040419</v>
      </c>
      <c r="AJ139" s="114">
        <v>5935.1642169958641</v>
      </c>
      <c r="AK139" s="114">
        <v>5598.3922511807523</v>
      </c>
      <c r="AL139" s="114">
        <v>6188.3897223195218</v>
      </c>
      <c r="AM139" s="114">
        <v>5287.3725052996788</v>
      </c>
      <c r="AN139" s="114">
        <v>12665.084785958044</v>
      </c>
      <c r="AO139" s="114">
        <v>8123.0934974596594</v>
      </c>
      <c r="AP139" s="114">
        <v>7084.6510026130218</v>
      </c>
      <c r="AQ139" s="114">
        <v>9278.9606789981099</v>
      </c>
      <c r="AR139" s="114">
        <v>8413.4335113060006</v>
      </c>
      <c r="AS139" s="114">
        <v>7115.7675958087693</v>
      </c>
      <c r="AT139" s="114">
        <v>7088.3719127294207</v>
      </c>
      <c r="AU139" s="114">
        <v>9343.2803533973547</v>
      </c>
      <c r="AV139" s="114">
        <v>6152.2105677807349</v>
      </c>
      <c r="AW139" s="114">
        <v>1599.2013572078033</v>
      </c>
      <c r="AX139" s="114">
        <v>7957.6710733432528</v>
      </c>
      <c r="AY139" s="114">
        <v>3180.9442549643845</v>
      </c>
      <c r="AZ139" s="114">
        <v>1083.196418114971</v>
      </c>
      <c r="BA139" s="114">
        <v>473.95826092511368</v>
      </c>
      <c r="BB139" s="114">
        <v>5998.2152438934354</v>
      </c>
      <c r="BC139" s="114">
        <v>7526.4435255566859</v>
      </c>
      <c r="BD139" s="114">
        <v>7702.878362706153</v>
      </c>
      <c r="BE139" s="114">
        <v>7100.7438183520226</v>
      </c>
      <c r="BF139" s="114">
        <v>9954.3041652259399</v>
      </c>
      <c r="BG139" s="114">
        <v>3633.7396944722436</v>
      </c>
      <c r="BH139" s="114">
        <v>9254.05909874586</v>
      </c>
      <c r="BI139" s="114">
        <v>6240.2837180119623</v>
      </c>
      <c r="BJ139" s="114">
        <v>5437.9705167885977</v>
      </c>
      <c r="BK139" s="114">
        <v>793.85553338562806</v>
      </c>
      <c r="BL139" s="114">
        <v>9718.5272567629981</v>
      </c>
      <c r="BM139" s="114">
        <v>6087.4157344647938</v>
      </c>
      <c r="BN139" s="114">
        <v>815.33693095037188</v>
      </c>
      <c r="BO139" s="114">
        <v>1339.3075422057045</v>
      </c>
      <c r="BP139" s="114">
        <v>6594.6689749109164</v>
      </c>
      <c r="BQ139" s="114">
        <v>5598.7463652756142</v>
      </c>
      <c r="BR139" s="114">
        <v>3081.9164860520709</v>
      </c>
      <c r="BS139" s="114">
        <v>824.63153065220854</v>
      </c>
      <c r="BT139" s="114">
        <v>1271.4020945108782</v>
      </c>
      <c r="BU139" s="114">
        <v>1055.5728809508009</v>
      </c>
      <c r="BV139" s="114">
        <v>6093.013481213904</v>
      </c>
      <c r="BW139" s="114">
        <v>2612.9164223142775</v>
      </c>
      <c r="BX139" s="114">
        <v>7854.2725484593047</v>
      </c>
      <c r="BY139" s="114">
        <v>9218.6858220629056</v>
      </c>
      <c r="BZ139" s="114">
        <v>5937.3853093352682</v>
      </c>
      <c r="CA139" s="114">
        <v>5763.6703808448292</v>
      </c>
      <c r="CB139" s="114">
        <v>8189.131684792811</v>
      </c>
      <c r="CC139" s="114">
        <v>7840.4320525036719</v>
      </c>
      <c r="CD139" s="114">
        <v>9084.675989121637</v>
      </c>
      <c r="CE139" s="114">
        <v>1474.7263862667685</v>
      </c>
      <c r="CF139" s="114">
        <v>1734.448827070466</v>
      </c>
      <c r="CG139" s="114">
        <v>6646.9499241055573</v>
      </c>
      <c r="CH139" s="114">
        <v>6017.3968566547583</v>
      </c>
      <c r="CI139" s="114">
        <v>10926.203784342377</v>
      </c>
      <c r="CJ139" s="114">
        <v>3968.4645633630653</v>
      </c>
      <c r="CK139" s="114">
        <v>3835.1628728391793</v>
      </c>
      <c r="CL139" s="114">
        <v>1236.1786786791406</v>
      </c>
      <c r="CM139" s="114">
        <v>4555.7936014432971</v>
      </c>
      <c r="CN139" s="114">
        <v>2006.6469253891473</v>
      </c>
      <c r="CO139" s="114">
        <v>1568.5177132587196</v>
      </c>
      <c r="CP139" s="114">
        <v>8119.4403767689619</v>
      </c>
      <c r="CQ139" s="114">
        <v>8449.8713482774801</v>
      </c>
      <c r="CR139" s="114">
        <v>3625.1777471322921</v>
      </c>
      <c r="CS139" s="114">
        <v>3816.0364366406434</v>
      </c>
      <c r="CT139" s="114">
        <v>7121.3553771015277</v>
      </c>
      <c r="CU139" s="114">
        <v>4385.7056818881265</v>
      </c>
      <c r="CV139" s="114">
        <v>4638.3308196917596</v>
      </c>
      <c r="CW139" s="114">
        <v>8432.0330628082502</v>
      </c>
      <c r="CX139" s="114">
        <v>867.68562971434255</v>
      </c>
      <c r="CY139" s="114">
        <v>3418.1362393063205</v>
      </c>
      <c r="CZ139" s="114">
        <v>9987.365075569578</v>
      </c>
      <c r="DA139" s="114">
        <v>6194.283580658428</v>
      </c>
      <c r="DB139" s="114">
        <v>3015.1865355873479</v>
      </c>
      <c r="DC139" s="114">
        <v>1388.6147592692782</v>
      </c>
      <c r="DD139" s="114">
        <v>1058.9485467341715</v>
      </c>
      <c r="DE139" s="114">
        <v>1165.8869276869675</v>
      </c>
      <c r="DF139" s="114">
        <v>9304.2700784124208</v>
      </c>
      <c r="DG139" s="114">
        <v>8437.2480091718535</v>
      </c>
      <c r="DH139" s="114">
        <v>9764.8812336994106</v>
      </c>
      <c r="DI139" s="114">
        <v>8126.4574702070304</v>
      </c>
      <c r="DJ139" s="114">
        <v>5456.7911205287855</v>
      </c>
      <c r="DK139" s="114">
        <v>2684.3997625741627</v>
      </c>
      <c r="DL139" s="114">
        <v>9821.3084108399453</v>
      </c>
      <c r="DM139" s="114">
        <v>9835.3948239882211</v>
      </c>
      <c r="DN139" s="114">
        <v>9219.6478935888572</v>
      </c>
      <c r="DO139" s="114">
        <v>1842.9048598809179</v>
      </c>
      <c r="DP139" s="114">
        <v>1770.0631154632315</v>
      </c>
      <c r="DQ139" s="114">
        <v>5895.1368875629732</v>
      </c>
      <c r="DR139" s="114">
        <v>1995.8480027644221</v>
      </c>
      <c r="DS139" s="114">
        <v>3107.5510642899326</v>
      </c>
      <c r="DT139" s="114">
        <v>9676.1180366114259</v>
      </c>
      <c r="DU139" s="114">
        <v>8198.5617674908844</v>
      </c>
      <c r="DV139" s="114">
        <v>9126.7892122635458</v>
      </c>
      <c r="DW139" s="114">
        <v>6555.6857919725071</v>
      </c>
      <c r="DX139" s="114">
        <v>892.66125147588446</v>
      </c>
      <c r="DY139" s="114">
        <v>17254.077278266028</v>
      </c>
      <c r="DZ139" s="114">
        <v>17691.578993408395</v>
      </c>
      <c r="EA139" s="114">
        <v>9223.6854087246611</v>
      </c>
      <c r="EB139" s="114">
        <v>5192.4749954247518</v>
      </c>
      <c r="EC139" s="114">
        <v>5621.5057500731682</v>
      </c>
      <c r="ED139" s="114">
        <v>7536.0628385400396</v>
      </c>
      <c r="EE139" s="114">
        <v>2086.9951548016206</v>
      </c>
      <c r="EF139" s="114" t="s">
        <v>237</v>
      </c>
      <c r="EG139" s="114">
        <v>5467.7221447754491</v>
      </c>
      <c r="EH139" s="114">
        <v>5780.5533305109775</v>
      </c>
      <c r="EI139" s="114">
        <v>5339.061642555911</v>
      </c>
      <c r="EJ139" s="114">
        <v>9128.8845864509676</v>
      </c>
      <c r="EK139" s="114">
        <v>11237.880857250311</v>
      </c>
      <c r="EL139" s="114">
        <v>11013.106908733367</v>
      </c>
      <c r="EM139" s="114">
        <v>9739.3537958003908</v>
      </c>
      <c r="EN139" s="114">
        <v>1053.2003318435659</v>
      </c>
      <c r="EO139" s="114">
        <v>2725.6066988056455</v>
      </c>
      <c r="EP139" s="114">
        <v>4949.4214728476736</v>
      </c>
      <c r="EQ139" s="114">
        <v>1998.6249037839368</v>
      </c>
      <c r="ER139" s="114">
        <v>1657.5407196323404</v>
      </c>
      <c r="ES139" s="114">
        <v>7009.8768593357418</v>
      </c>
      <c r="ET139" s="114">
        <v>7406.4262320963835</v>
      </c>
      <c r="EU139" s="114">
        <v>7601.9191912423512</v>
      </c>
      <c r="EV139" s="114">
        <v>7718.5591275787247</v>
      </c>
      <c r="EW139" s="114">
        <v>1783.5386206656904</v>
      </c>
      <c r="EX139" s="114">
        <v>6619.9430021271419</v>
      </c>
      <c r="EY139" s="114">
        <v>4796.3051805300411</v>
      </c>
      <c r="EZ139" s="114">
        <v>5515.6055091827257</v>
      </c>
      <c r="FA139" s="114">
        <v>1801.3182941441642</v>
      </c>
      <c r="FB139" s="114">
        <v>6034.9821205607941</v>
      </c>
      <c r="FC139" s="114">
        <v>10067.679585235135</v>
      </c>
      <c r="FD139" s="114">
        <v>1343.6794396431587</v>
      </c>
      <c r="FE139" s="114">
        <v>1524.0770620940884</v>
      </c>
      <c r="FF139" s="114">
        <v>7060.3273587268613</v>
      </c>
      <c r="FG139" s="114">
        <v>9588.4236066458507</v>
      </c>
      <c r="FH139" s="114">
        <v>7759.9693395784116</v>
      </c>
      <c r="FI139" s="114">
        <v>6343.542972083017</v>
      </c>
      <c r="FJ139" s="114">
        <v>2354.6811309287204</v>
      </c>
      <c r="FK139" s="114">
        <v>2099.2699018483972</v>
      </c>
      <c r="FL139" s="114">
        <v>8193.608900837633</v>
      </c>
      <c r="FM139" s="114">
        <v>5233.5478169886183</v>
      </c>
      <c r="FN139" s="114">
        <v>8123.5786870588081</v>
      </c>
      <c r="FO139" s="114">
        <v>430.88875847215888</v>
      </c>
      <c r="FP139" s="114">
        <v>1458.3543085039114</v>
      </c>
      <c r="FQ139" s="114">
        <v>3475.2924879260972</v>
      </c>
      <c r="FR139" s="114">
        <v>8728.8637077775074</v>
      </c>
      <c r="FS139" s="114">
        <v>4651.1523477408609</v>
      </c>
      <c r="FT139" s="114">
        <v>7806.9548479602181</v>
      </c>
      <c r="FU139" s="114">
        <v>8712.9502556237148</v>
      </c>
      <c r="FV139" s="114">
        <v>12184.215159104211</v>
      </c>
      <c r="FW139" s="114">
        <v>5996.2871649101598</v>
      </c>
      <c r="FX139" s="114">
        <v>7974.6776434215099</v>
      </c>
      <c r="FY139" s="114">
        <v>2563.1597705693998</v>
      </c>
      <c r="FZ139" s="114">
        <v>2706.1768092158013</v>
      </c>
      <c r="GA139" s="114">
        <v>4069.4136380087552</v>
      </c>
      <c r="GB139" s="114">
        <v>6865.8086654148619</v>
      </c>
      <c r="GC139" s="114">
        <v>1621.1257230840447</v>
      </c>
      <c r="GD139" s="114">
        <v>5173.0461238961134</v>
      </c>
      <c r="GE139" s="114">
        <v>1123.1071134366912</v>
      </c>
      <c r="GF139" s="114">
        <v>8592.9238139951613</v>
      </c>
      <c r="GG139" s="114">
        <v>5912.4693053655092</v>
      </c>
      <c r="GH139" s="114">
        <v>5614.7738026625748</v>
      </c>
      <c r="GI139" s="114">
        <v>6229.6146695312054</v>
      </c>
      <c r="GJ139" s="114">
        <v>12097.189858066973</v>
      </c>
      <c r="GK139" s="114">
        <v>4446.0419413598584</v>
      </c>
      <c r="GL139" s="114">
        <v>8290.1901962544671</v>
      </c>
      <c r="GM139" s="114">
        <v>8278.9321665163898</v>
      </c>
      <c r="GN139" s="114">
        <v>5625.6030250985914</v>
      </c>
      <c r="GO139" s="114">
        <v>8473.1713534073861</v>
      </c>
      <c r="GP139" s="114">
        <v>8760.669298894054</v>
      </c>
      <c r="GQ139" s="114">
        <v>9316.2182239874837</v>
      </c>
      <c r="GR139" s="114">
        <v>16000.488552944144</v>
      </c>
      <c r="GS139" s="114">
        <v>1359.3143690137349</v>
      </c>
      <c r="GT139" s="115">
        <v>9670.6037415438204</v>
      </c>
    </row>
    <row r="140" spans="2:202" x14ac:dyDescent="0.6">
      <c r="B140" s="106" t="s">
        <v>127</v>
      </c>
      <c r="C140" s="63" t="s">
        <v>540</v>
      </c>
      <c r="D140" s="113">
        <v>1600.4119658531718</v>
      </c>
      <c r="E140" s="114">
        <v>5447.1573383706718</v>
      </c>
      <c r="F140" s="114">
        <v>5613.1689693735971</v>
      </c>
      <c r="G140" s="114">
        <v>6057.9607095533129</v>
      </c>
      <c r="H140" s="114">
        <v>12113.217812841945</v>
      </c>
      <c r="I140" s="114">
        <v>13998.481386853991</v>
      </c>
      <c r="J140" s="114">
        <v>2279.6089677038526</v>
      </c>
      <c r="K140" s="114">
        <v>11657.954033609019</v>
      </c>
      <c r="L140" s="114">
        <v>4607.0695105693885</v>
      </c>
      <c r="M140" s="114">
        <v>2054.175558014088</v>
      </c>
      <c r="N140" s="114">
        <v>12809.866340470786</v>
      </c>
      <c r="O140" s="114">
        <v>868.53682452902308</v>
      </c>
      <c r="P140" s="114">
        <v>3248.5857071312571</v>
      </c>
      <c r="Q140" s="114">
        <v>12120.23445854541</v>
      </c>
      <c r="R140" s="114">
        <v>4241.3732812383741</v>
      </c>
      <c r="S140" s="114">
        <v>5516.1257712223651</v>
      </c>
      <c r="T140" s="114">
        <v>14231.685131372362</v>
      </c>
      <c r="U140" s="114">
        <v>6265.7834728098132</v>
      </c>
      <c r="V140" s="114">
        <v>3146.8451113684687</v>
      </c>
      <c r="W140" s="114">
        <v>14386.856406658177</v>
      </c>
      <c r="X140" s="114">
        <v>4284.0049889296251</v>
      </c>
      <c r="Y140" s="114">
        <v>6386.0600841279575</v>
      </c>
      <c r="Z140" s="114">
        <v>12465.531164243261</v>
      </c>
      <c r="AA140" s="114">
        <v>12105.991339357726</v>
      </c>
      <c r="AB140" s="114">
        <v>6415.0170751110436</v>
      </c>
      <c r="AC140" s="114">
        <v>3865.8717041310679</v>
      </c>
      <c r="AD140" s="114">
        <v>6397.5482286222641</v>
      </c>
      <c r="AE140" s="114">
        <v>4324.0812541146161</v>
      </c>
      <c r="AF140" s="114">
        <v>8523.8363789640134</v>
      </c>
      <c r="AG140" s="114">
        <v>5053.2990344601021</v>
      </c>
      <c r="AH140" s="114">
        <v>5641.7052107359341</v>
      </c>
      <c r="AI140" s="114">
        <v>5508.0679182060849</v>
      </c>
      <c r="AJ140" s="114">
        <v>11402.883233067161</v>
      </c>
      <c r="AK140" s="114">
        <v>11064.742069106243</v>
      </c>
      <c r="AL140" s="114">
        <v>4789.9100480977595</v>
      </c>
      <c r="AM140" s="114">
        <v>4781.8543505461739</v>
      </c>
      <c r="AN140" s="114">
        <v>14930.673094262387</v>
      </c>
      <c r="AO140" s="114">
        <v>6214.5215738469533</v>
      </c>
      <c r="AP140" s="114">
        <v>5670.8072925148299</v>
      </c>
      <c r="AQ140" s="114">
        <v>14002.17255015808</v>
      </c>
      <c r="AR140" s="114">
        <v>4205.1124138287278</v>
      </c>
      <c r="AS140" s="114">
        <v>5591.1540589051492</v>
      </c>
      <c r="AT140" s="114">
        <v>5593.3994285267054</v>
      </c>
      <c r="AU140" s="114">
        <v>14525.710939957462</v>
      </c>
      <c r="AV140" s="114">
        <v>6957.8432165935346</v>
      </c>
      <c r="AW140" s="114">
        <v>4554.5808114662095</v>
      </c>
      <c r="AX140" s="114">
        <v>13320.437237331533</v>
      </c>
      <c r="AY140" s="114">
        <v>2752.1204418813272</v>
      </c>
      <c r="AZ140" s="114">
        <v>4821.0444551748078</v>
      </c>
      <c r="BA140" s="114">
        <v>5169.9438749957644</v>
      </c>
      <c r="BB140" s="114">
        <v>2190.2006843505869</v>
      </c>
      <c r="BC140" s="114">
        <v>12174.148979985806</v>
      </c>
      <c r="BD140" s="114">
        <v>12708.932005622411</v>
      </c>
      <c r="BE140" s="114">
        <v>5597.7375132708057</v>
      </c>
      <c r="BF140" s="114">
        <v>14678.4462349641</v>
      </c>
      <c r="BG140" s="114">
        <v>2795.5874588297165</v>
      </c>
      <c r="BH140" s="114">
        <v>14607.199898116965</v>
      </c>
      <c r="BI140" s="114">
        <v>5790.9612970408043</v>
      </c>
      <c r="BJ140" s="114">
        <v>2266.2116109161602</v>
      </c>
      <c r="BK140" s="114">
        <v>4786.6370471096434</v>
      </c>
      <c r="BL140" s="114">
        <v>6243.5373181911518</v>
      </c>
      <c r="BM140" s="114">
        <v>2654.4938424620163</v>
      </c>
      <c r="BN140" s="114">
        <v>4833.1343202425005</v>
      </c>
      <c r="BO140" s="114">
        <v>5617.544983128224</v>
      </c>
      <c r="BP140" s="114">
        <v>5885.8488965832767</v>
      </c>
      <c r="BQ140" s="114">
        <v>7892.1714990002656</v>
      </c>
      <c r="BR140" s="114">
        <v>2385.8965916524903</v>
      </c>
      <c r="BS140" s="114">
        <v>4977.3756675474169</v>
      </c>
      <c r="BT140" s="114">
        <v>4932.7119241308046</v>
      </c>
      <c r="BU140" s="114">
        <v>5197.4154250241363</v>
      </c>
      <c r="BV140" s="114">
        <v>6556.1945769543227</v>
      </c>
      <c r="BW140" s="114">
        <v>3670.6644838673351</v>
      </c>
      <c r="BX140" s="114">
        <v>12404.903518664554</v>
      </c>
      <c r="BY140" s="114">
        <v>14600.750908682397</v>
      </c>
      <c r="BZ140" s="114">
        <v>7755.0472787865465</v>
      </c>
      <c r="CA140" s="114">
        <v>7867.6583103725861</v>
      </c>
      <c r="CB140" s="114">
        <v>12365.876196987605</v>
      </c>
      <c r="CC140" s="114">
        <v>12918.508727773567</v>
      </c>
      <c r="CD140" s="114">
        <v>14412.208564287615</v>
      </c>
      <c r="CE140" s="114">
        <v>4376.1264294433286</v>
      </c>
      <c r="CF140" s="114">
        <v>7197.292466132616</v>
      </c>
      <c r="CG140" s="114">
        <v>1578.3563715112741</v>
      </c>
      <c r="CH140" s="114">
        <v>1956.0161536315088</v>
      </c>
      <c r="CI140" s="114">
        <v>6157.3331095432759</v>
      </c>
      <c r="CJ140" s="114">
        <v>1505.152716976306</v>
      </c>
      <c r="CK140" s="114">
        <v>1754.7902749425371</v>
      </c>
      <c r="CL140" s="114">
        <v>6264.798372678425</v>
      </c>
      <c r="CM140" s="114">
        <v>8974.9661100890098</v>
      </c>
      <c r="CN140" s="114">
        <v>4702.5658010618281</v>
      </c>
      <c r="CO140" s="114">
        <v>5034.5007046754699</v>
      </c>
      <c r="CP140" s="114">
        <v>13293.780320126973</v>
      </c>
      <c r="CQ140" s="114">
        <v>7777.8248632450022</v>
      </c>
      <c r="CR140" s="114">
        <v>2424.6083735797479</v>
      </c>
      <c r="CS140" s="114">
        <v>3278.2364107142516</v>
      </c>
      <c r="CT140" s="114">
        <v>3611.8220006589117</v>
      </c>
      <c r="CU140" s="114">
        <v>1224.1157077306277</v>
      </c>
      <c r="CV140" s="114">
        <v>2597.6843051262349</v>
      </c>
      <c r="CW140" s="114">
        <v>4605.1985775552166</v>
      </c>
      <c r="CX140" s="114">
        <v>4612.1723286478118</v>
      </c>
      <c r="CY140" s="114">
        <v>2512.7222875032962</v>
      </c>
      <c r="CZ140" s="114">
        <v>6721.8960919776346</v>
      </c>
      <c r="DA140" s="114">
        <v>7577.1978126567883</v>
      </c>
      <c r="DB140" s="114">
        <v>4528.9308345791087</v>
      </c>
      <c r="DC140" s="114">
        <v>5065.8859814862499</v>
      </c>
      <c r="DD140" s="114">
        <v>4408.8425973754747</v>
      </c>
      <c r="DE140" s="114">
        <v>5357.0396341785681</v>
      </c>
      <c r="DF140" s="114">
        <v>4813.1510247105634</v>
      </c>
      <c r="DG140" s="114">
        <v>4958.9134712928699</v>
      </c>
      <c r="DH140" s="114">
        <v>5144.4262150881659</v>
      </c>
      <c r="DI140" s="114">
        <v>2684.6348705662367</v>
      </c>
      <c r="DJ140" s="114">
        <v>7028.0585401005519</v>
      </c>
      <c r="DK140" s="114">
        <v>4434.0183892876421</v>
      </c>
      <c r="DL140" s="114">
        <v>4835.009440876699</v>
      </c>
      <c r="DM140" s="114">
        <v>4841.426534539336</v>
      </c>
      <c r="DN140" s="114">
        <v>14687.166966119699</v>
      </c>
      <c r="DO140" s="114">
        <v>3712.702468904869</v>
      </c>
      <c r="DP140" s="114">
        <v>5136.628308282654</v>
      </c>
      <c r="DQ140" s="114">
        <v>5053.4521686116332</v>
      </c>
      <c r="DR140" s="114">
        <v>4169.0271662641244</v>
      </c>
      <c r="DS140" s="114">
        <v>6365.3426656850597</v>
      </c>
      <c r="DT140" s="114">
        <v>6122.7944013258675</v>
      </c>
      <c r="DU140" s="114">
        <v>4018.4207386675212</v>
      </c>
      <c r="DV140" s="114">
        <v>6768.4399469548671</v>
      </c>
      <c r="DW140" s="114">
        <v>2728.1613711062801</v>
      </c>
      <c r="DX140" s="114">
        <v>5537.4624481384253</v>
      </c>
      <c r="DY140" s="114">
        <v>13829.805506205834</v>
      </c>
      <c r="DZ140" s="114">
        <v>13828.936256241728</v>
      </c>
      <c r="EA140" s="114">
        <v>14503.006768380515</v>
      </c>
      <c r="EB140" s="114">
        <v>6012.4545945194695</v>
      </c>
      <c r="EC140" s="114">
        <v>5645.6262838476114</v>
      </c>
      <c r="ED140" s="114">
        <v>6454.7793591114751</v>
      </c>
      <c r="EE140" s="114">
        <v>3997.9613545205052</v>
      </c>
      <c r="EF140" s="114">
        <v>5467.7221447754491</v>
      </c>
      <c r="EG140" s="114" t="s">
        <v>237</v>
      </c>
      <c r="EH140" s="114">
        <v>901.18226717497078</v>
      </c>
      <c r="EI140" s="114">
        <v>1819.4826865508646</v>
      </c>
      <c r="EJ140" s="114">
        <v>14167.893342782192</v>
      </c>
      <c r="EK140" s="114">
        <v>13553.13082952743</v>
      </c>
      <c r="EL140" s="114">
        <v>15141.081030253672</v>
      </c>
      <c r="EM140" s="114">
        <v>6618.0811118535603</v>
      </c>
      <c r="EN140" s="114">
        <v>4497.2504813031155</v>
      </c>
      <c r="EO140" s="114">
        <v>6507.2231844689722</v>
      </c>
      <c r="EP140" s="114">
        <v>737.57308359881938</v>
      </c>
      <c r="EQ140" s="114">
        <v>3738.2599198691041</v>
      </c>
      <c r="ER140" s="114">
        <v>3981.7167704432013</v>
      </c>
      <c r="ES140" s="114">
        <v>4133.8611613392677</v>
      </c>
      <c r="ET140" s="114">
        <v>12162.67263657952</v>
      </c>
      <c r="EU140" s="114">
        <v>12183.011796619105</v>
      </c>
      <c r="EV140" s="114">
        <v>12284.365685198478</v>
      </c>
      <c r="EW140" s="114">
        <v>4747.5613103890573</v>
      </c>
      <c r="EX140" s="114">
        <v>6172.7252518269061</v>
      </c>
      <c r="EY140" s="114">
        <v>1219.0286117976591</v>
      </c>
      <c r="EZ140" s="114">
        <v>7941.2747990959551</v>
      </c>
      <c r="FA140" s="114">
        <v>4162.6388739273852</v>
      </c>
      <c r="FB140" s="114">
        <v>7763.2046822355796</v>
      </c>
      <c r="FC140" s="114">
        <v>5473.9235143089209</v>
      </c>
      <c r="FD140" s="114">
        <v>4547.6772087462095</v>
      </c>
      <c r="FE140" s="114">
        <v>4665.1944254665013</v>
      </c>
      <c r="FF140" s="114">
        <v>2762.4018370428812</v>
      </c>
      <c r="FG140" s="114">
        <v>6329.6139587223424</v>
      </c>
      <c r="FH140" s="114">
        <v>6580.9596950485875</v>
      </c>
      <c r="FI140" s="114">
        <v>3533.1083863631848</v>
      </c>
      <c r="FJ140" s="114">
        <v>6008.6109875119973</v>
      </c>
      <c r="FK140" s="114">
        <v>5537.0239557569039</v>
      </c>
      <c r="FL140" s="114">
        <v>2935.8936079331238</v>
      </c>
      <c r="FM140" s="114">
        <v>2866.9401087482952</v>
      </c>
      <c r="FN140" s="114">
        <v>12121.455798759527</v>
      </c>
      <c r="FO140" s="114">
        <v>5076.0113633472865</v>
      </c>
      <c r="FP140" s="114">
        <v>5204.1112189081168</v>
      </c>
      <c r="FQ140" s="114">
        <v>2428.1727187072315</v>
      </c>
      <c r="FR140" s="114">
        <v>6352.180408805164</v>
      </c>
      <c r="FS140" s="114">
        <v>1920.6246605969707</v>
      </c>
      <c r="FT140" s="114">
        <v>3944.0464457961407</v>
      </c>
      <c r="FU140" s="114">
        <v>4542.9625310151896</v>
      </c>
      <c r="FV140" s="114">
        <v>8075.6194337948082</v>
      </c>
      <c r="FW140" s="114">
        <v>6395.369965629824</v>
      </c>
      <c r="FX140" s="114">
        <v>12462.325079794096</v>
      </c>
      <c r="FY140" s="114">
        <v>4819.0584041658394</v>
      </c>
      <c r="FZ140" s="114">
        <v>3021.2321192427985</v>
      </c>
      <c r="GA140" s="114">
        <v>1628.8358595617017</v>
      </c>
      <c r="GB140" s="114">
        <v>3814.9057467079751</v>
      </c>
      <c r="GC140" s="114">
        <v>3854.0279103545486</v>
      </c>
      <c r="GD140" s="114">
        <v>433.08268806063177</v>
      </c>
      <c r="GE140" s="114">
        <v>5827.0285977038793</v>
      </c>
      <c r="GF140" s="114">
        <v>13619.935167707485</v>
      </c>
      <c r="GG140" s="114">
        <v>11356.430794369639</v>
      </c>
      <c r="GH140" s="114">
        <v>11053.539265112247</v>
      </c>
      <c r="GI140" s="114">
        <v>11678.719434886252</v>
      </c>
      <c r="GJ140" s="114">
        <v>13626.948734719075</v>
      </c>
      <c r="GK140" s="114">
        <v>2220.5852336186476</v>
      </c>
      <c r="GL140" s="114">
        <v>12952.437747687107</v>
      </c>
      <c r="GM140" s="114">
        <v>4838.4613027291225</v>
      </c>
      <c r="GN140" s="114">
        <v>1730.4555268141262</v>
      </c>
      <c r="GO140" s="114">
        <v>5408.5091812843948</v>
      </c>
      <c r="GP140" s="114">
        <v>5422.2934914550642</v>
      </c>
      <c r="GQ140" s="114">
        <v>5289.9419571125409</v>
      </c>
      <c r="GR140" s="114">
        <v>11543.423650674467</v>
      </c>
      <c r="GS140" s="114">
        <v>5130.0424533031746</v>
      </c>
      <c r="GT140" s="115">
        <v>6404.9113244263244</v>
      </c>
    </row>
    <row r="141" spans="2:202" x14ac:dyDescent="0.6">
      <c r="B141" s="106" t="s">
        <v>128</v>
      </c>
      <c r="C141" s="63" t="s">
        <v>557</v>
      </c>
      <c r="D141" s="113">
        <v>1060.5887564820025</v>
      </c>
      <c r="E141" s="114">
        <v>6143.9199979647237</v>
      </c>
      <c r="F141" s="114">
        <v>6229.671570463599</v>
      </c>
      <c r="G141" s="114">
        <v>6919.9600264398896</v>
      </c>
      <c r="H141" s="114">
        <v>12773.362638288627</v>
      </c>
      <c r="I141" s="114">
        <v>14859.523373716955</v>
      </c>
      <c r="J141" s="114">
        <v>2708.8421401029318</v>
      </c>
      <c r="K141" s="114">
        <v>10998.349498444206</v>
      </c>
      <c r="L141" s="114">
        <v>5105.5074461537033</v>
      </c>
      <c r="M141" s="114">
        <v>2361.851559388715</v>
      </c>
      <c r="N141" s="114">
        <v>13261.45731177879</v>
      </c>
      <c r="O141" s="114">
        <v>1688.3077777200444</v>
      </c>
      <c r="P141" s="114">
        <v>2354.2750320616296</v>
      </c>
      <c r="Q141" s="114">
        <v>12832.479065819387</v>
      </c>
      <c r="R141" s="114">
        <v>4575.3983737180606</v>
      </c>
      <c r="S141" s="114">
        <v>6002.7786068665482</v>
      </c>
      <c r="T141" s="114">
        <v>14628.608592271068</v>
      </c>
      <c r="U141" s="114">
        <v>7164.6204004045194</v>
      </c>
      <c r="V141" s="114">
        <v>2246.3366378800201</v>
      </c>
      <c r="W141" s="114">
        <v>15270.92525140993</v>
      </c>
      <c r="X141" s="114">
        <v>4858.7429659410018</v>
      </c>
      <c r="Y141" s="114">
        <v>7076.7332171134758</v>
      </c>
      <c r="Z141" s="114">
        <v>13363.829610686707</v>
      </c>
      <c r="AA141" s="114">
        <v>13003.834801159255</v>
      </c>
      <c r="AB141" s="114">
        <v>5589.8197050580256</v>
      </c>
      <c r="AC141" s="114">
        <v>4442.1981587974251</v>
      </c>
      <c r="AD141" s="114">
        <v>7278.9863026713774</v>
      </c>
      <c r="AE141" s="114">
        <v>5143.9421343101067</v>
      </c>
      <c r="AF141" s="114">
        <v>9352.1823032741631</v>
      </c>
      <c r="AG141" s="114">
        <v>4214.5513339071504</v>
      </c>
      <c r="AH141" s="114">
        <v>6542.3813168330762</v>
      </c>
      <c r="AI141" s="114">
        <v>6407.6127719824908</v>
      </c>
      <c r="AJ141" s="114">
        <v>11655.146682523435</v>
      </c>
      <c r="AK141" s="114">
        <v>11337.545371105223</v>
      </c>
      <c r="AL141" s="114">
        <v>5684.4150781515091</v>
      </c>
      <c r="AM141" s="114">
        <v>5679.6692403216575</v>
      </c>
      <c r="AN141" s="114">
        <v>15810.061293632412</v>
      </c>
      <c r="AO141" s="114">
        <v>5329.2760970218633</v>
      </c>
      <c r="AP141" s="114">
        <v>4832.239279830419</v>
      </c>
      <c r="AQ141" s="114">
        <v>14700.63264058733</v>
      </c>
      <c r="AR141" s="114">
        <v>4798.7247404132304</v>
      </c>
      <c r="AS141" s="114">
        <v>6464.3637006461959</v>
      </c>
      <c r="AT141" s="114">
        <v>6468.0547615398682</v>
      </c>
      <c r="AU141" s="114">
        <v>15066.375216474215</v>
      </c>
      <c r="AV141" s="114">
        <v>7853.800315997556</v>
      </c>
      <c r="AW141" s="114">
        <v>5102.1947554959243</v>
      </c>
      <c r="AX141" s="114">
        <v>13736.052562845825</v>
      </c>
      <c r="AY141" s="114">
        <v>3429.7525587271889</v>
      </c>
      <c r="AZ141" s="114">
        <v>5291.5643966055814</v>
      </c>
      <c r="BA141" s="114">
        <v>5550.334446724275</v>
      </c>
      <c r="BB141" s="114">
        <v>3038.5608237326223</v>
      </c>
      <c r="BC141" s="114">
        <v>12855.824589285467</v>
      </c>
      <c r="BD141" s="114">
        <v>13300.728165761559</v>
      </c>
      <c r="BE141" s="114">
        <v>6471.8858198369162</v>
      </c>
      <c r="BF141" s="114">
        <v>15391.071047841633</v>
      </c>
      <c r="BG141" s="114">
        <v>3576.7874924851531</v>
      </c>
      <c r="BH141" s="114">
        <v>15033.564741364675</v>
      </c>
      <c r="BI141" s="114">
        <v>6691.6451305891005</v>
      </c>
      <c r="BJ141" s="114">
        <v>3161.9187158904842</v>
      </c>
      <c r="BK141" s="114">
        <v>5036.5940845706536</v>
      </c>
      <c r="BL141" s="114">
        <v>6872.0458461825756</v>
      </c>
      <c r="BM141" s="114">
        <v>3509.8972107954814</v>
      </c>
      <c r="BN141" s="114">
        <v>5063.3088182134925</v>
      </c>
      <c r="BO141" s="114">
        <v>6139.4797516386488</v>
      </c>
      <c r="BP141" s="114">
        <v>6782.5346862266751</v>
      </c>
      <c r="BQ141" s="114">
        <v>8744.5697480450344</v>
      </c>
      <c r="BR141" s="114">
        <v>2776.0574220739295</v>
      </c>
      <c r="BS141" s="114">
        <v>5410.6517719961357</v>
      </c>
      <c r="BT141" s="114">
        <v>5445.0582828075731</v>
      </c>
      <c r="BU141" s="114">
        <v>5682.5103212795202</v>
      </c>
      <c r="BV141" s="114">
        <v>7454.7419038882981</v>
      </c>
      <c r="BW141" s="114">
        <v>4336.2934191399299</v>
      </c>
      <c r="BX141" s="114">
        <v>13111.838560432987</v>
      </c>
      <c r="BY141" s="114">
        <v>14999.005581806707</v>
      </c>
      <c r="BZ141" s="114">
        <v>8629.5538568234242</v>
      </c>
      <c r="CA141" s="114">
        <v>8730.2977940630481</v>
      </c>
      <c r="CB141" s="114">
        <v>13137.944454676901</v>
      </c>
      <c r="CC141" s="114">
        <v>13486.845872569231</v>
      </c>
      <c r="CD141" s="114">
        <v>14859.641066101038</v>
      </c>
      <c r="CE141" s="114">
        <v>4878.7978940665089</v>
      </c>
      <c r="CF141" s="114">
        <v>7467.942474966354</v>
      </c>
      <c r="CG141" s="114">
        <v>881.9555343558394</v>
      </c>
      <c r="CH141" s="114">
        <v>1069.9266142944332</v>
      </c>
      <c r="CI141" s="114">
        <v>5473.8463526392961</v>
      </c>
      <c r="CJ141" s="114">
        <v>1912.3183163345939</v>
      </c>
      <c r="CK141" s="114">
        <v>2392.2043602008698</v>
      </c>
      <c r="CL141" s="114">
        <v>6716.0397003151984</v>
      </c>
      <c r="CM141" s="114">
        <v>9634.4407133036275</v>
      </c>
      <c r="CN141" s="114">
        <v>5324.1083808158328</v>
      </c>
      <c r="CO141" s="114">
        <v>5597.0027128406327</v>
      </c>
      <c r="CP141" s="114">
        <v>13825.299168004196</v>
      </c>
      <c r="CQ141" s="114">
        <v>6926.3122938365186</v>
      </c>
      <c r="CR141" s="114">
        <v>3167.5377850568207</v>
      </c>
      <c r="CS141" s="114">
        <v>2934.8718803803599</v>
      </c>
      <c r="CT141" s="114">
        <v>4389.2630327447114</v>
      </c>
      <c r="CU141" s="114">
        <v>1948.4341045738895</v>
      </c>
      <c r="CV141" s="114">
        <v>2074.0599741994865</v>
      </c>
      <c r="CW141" s="114">
        <v>3728.5968012228695</v>
      </c>
      <c r="CX141" s="114">
        <v>4912.9786309024066</v>
      </c>
      <c r="CY141" s="114">
        <v>3214.4509434979241</v>
      </c>
      <c r="CZ141" s="114">
        <v>7363.2332514954123</v>
      </c>
      <c r="DA141" s="114">
        <v>8465.3568991226221</v>
      </c>
      <c r="DB141" s="114">
        <v>5280.294559096973</v>
      </c>
      <c r="DC141" s="114">
        <v>5601.306429940968</v>
      </c>
      <c r="DD141" s="114">
        <v>4741.9679064351831</v>
      </c>
      <c r="DE141" s="114">
        <v>5859.7841441971323</v>
      </c>
      <c r="DF141" s="114">
        <v>5285.0062856386166</v>
      </c>
      <c r="DG141" s="114">
        <v>5656.1310189920905</v>
      </c>
      <c r="DH141" s="114">
        <v>4401.2093445679166</v>
      </c>
      <c r="DI141" s="114">
        <v>2417.263652620672</v>
      </c>
      <c r="DJ141" s="114">
        <v>7899.8945404903197</v>
      </c>
      <c r="DK141" s="114">
        <v>5144.7200545502255</v>
      </c>
      <c r="DL141" s="114">
        <v>5115.0036903204955</v>
      </c>
      <c r="DM141" s="114">
        <v>5117.3272684205658</v>
      </c>
      <c r="DN141" s="114">
        <v>14887.826828067304</v>
      </c>
      <c r="DO141" s="114">
        <v>4163.6922055338209</v>
      </c>
      <c r="DP141" s="114">
        <v>5729.1351799543609</v>
      </c>
      <c r="DQ141" s="114">
        <v>4314.6920320358104</v>
      </c>
      <c r="DR141" s="114">
        <v>4759.9845275587468</v>
      </c>
      <c r="DS141" s="114">
        <v>7077.9923031311482</v>
      </c>
      <c r="DT141" s="114">
        <v>6743.0932142588126</v>
      </c>
      <c r="DU141" s="114">
        <v>3164.0120571231587</v>
      </c>
      <c r="DV141" s="114">
        <v>7533.7633200960354</v>
      </c>
      <c r="DW141" s="114">
        <v>1828.2770524948946</v>
      </c>
      <c r="DX141" s="114">
        <v>5994.6072250431689</v>
      </c>
      <c r="DY141" s="114">
        <v>13147.11081087407</v>
      </c>
      <c r="DZ141" s="114">
        <v>13200.932789853621</v>
      </c>
      <c r="EA141" s="114">
        <v>14986.01771956835</v>
      </c>
      <c r="EB141" s="114">
        <v>6894.3213882157743</v>
      </c>
      <c r="EC141" s="114">
        <v>6543.558702514114</v>
      </c>
      <c r="ED141" s="114">
        <v>5613.4109177315822</v>
      </c>
      <c r="EE141" s="114">
        <v>4590.1137476403865</v>
      </c>
      <c r="EF141" s="114">
        <v>5780.5533305109775</v>
      </c>
      <c r="EG141" s="114">
        <v>901.18226717497078</v>
      </c>
      <c r="EH141" s="114" t="s">
        <v>237</v>
      </c>
      <c r="EI141" s="114">
        <v>1110.1288499545979</v>
      </c>
      <c r="EJ141" s="114">
        <v>14768.878034947116</v>
      </c>
      <c r="EK141" s="114">
        <v>14452.661553348638</v>
      </c>
      <c r="EL141" s="114">
        <v>15980.000970153669</v>
      </c>
      <c r="EM141" s="114">
        <v>5729.7514715783045</v>
      </c>
      <c r="EN141" s="114">
        <v>4899.0024635787613</v>
      </c>
      <c r="EO141" s="114">
        <v>7165.6691840045605</v>
      </c>
      <c r="EP141" s="114">
        <v>1584.3966952397277</v>
      </c>
      <c r="EQ141" s="114">
        <v>4264.1255875833176</v>
      </c>
      <c r="ER141" s="114">
        <v>4178.7680915468318</v>
      </c>
      <c r="ES141" s="114">
        <v>4959.5245251846882</v>
      </c>
      <c r="ET141" s="114">
        <v>12818.491526545078</v>
      </c>
      <c r="EU141" s="114">
        <v>12879.340472123851</v>
      </c>
      <c r="EV141" s="114">
        <v>12985.835050710282</v>
      </c>
      <c r="EW141" s="114">
        <v>5336.3469611838773</v>
      </c>
      <c r="EX141" s="114">
        <v>7071.4221570288391</v>
      </c>
      <c r="EY141" s="114">
        <v>2086.7398444045698</v>
      </c>
      <c r="EZ141" s="114">
        <v>8786.5350503985501</v>
      </c>
      <c r="FA141" s="114">
        <v>4711.9637045618692</v>
      </c>
      <c r="FB141" s="114">
        <v>8641.6565011264865</v>
      </c>
      <c r="FC141" s="114">
        <v>4732.2655920733005</v>
      </c>
      <c r="FD141" s="114">
        <v>5043.3198530847703</v>
      </c>
      <c r="FE141" s="114">
        <v>5206.8485577622996</v>
      </c>
      <c r="FF141" s="114">
        <v>3458.1042409837796</v>
      </c>
      <c r="FG141" s="114">
        <v>6991.1391553306839</v>
      </c>
      <c r="FH141" s="114">
        <v>5728.4259271537139</v>
      </c>
      <c r="FI141" s="114">
        <v>4394.6808919839705</v>
      </c>
      <c r="FJ141" s="114">
        <v>6650.9800103537355</v>
      </c>
      <c r="FK141" s="114">
        <v>6166.7936137122224</v>
      </c>
      <c r="FL141" s="114">
        <v>2417.4555337842289</v>
      </c>
      <c r="FM141" s="114">
        <v>3768.0534237869833</v>
      </c>
      <c r="FN141" s="114">
        <v>12913.654820537644</v>
      </c>
      <c r="FO141" s="114">
        <v>5363.2855765871227</v>
      </c>
      <c r="FP141" s="114">
        <v>5751.377747016114</v>
      </c>
      <c r="FQ141" s="114">
        <v>3130.6852356455443</v>
      </c>
      <c r="FR141" s="114">
        <v>5452.325426278825</v>
      </c>
      <c r="FS141" s="114">
        <v>1498.5258829518732</v>
      </c>
      <c r="FT141" s="114">
        <v>4635.5418650022757</v>
      </c>
      <c r="FU141" s="114">
        <v>3701.3379589475421</v>
      </c>
      <c r="FV141" s="114">
        <v>7302.1294297861277</v>
      </c>
      <c r="FW141" s="114">
        <v>7293.6996037606923</v>
      </c>
      <c r="FX141" s="114">
        <v>13183.029673051627</v>
      </c>
      <c r="FY141" s="114">
        <v>5517.1932993554183</v>
      </c>
      <c r="FZ141" s="114">
        <v>3604.5834412020472</v>
      </c>
      <c r="GA141" s="114">
        <v>1714.0541399920523</v>
      </c>
      <c r="GB141" s="114">
        <v>4638.9872697766477</v>
      </c>
      <c r="GC141" s="114">
        <v>4226.3878522452478</v>
      </c>
      <c r="GD141" s="114">
        <v>1301.8289377857066</v>
      </c>
      <c r="GE141" s="114">
        <v>6304.7365789994083</v>
      </c>
      <c r="GF141" s="114">
        <v>13435.183792305203</v>
      </c>
      <c r="GG141" s="114">
        <v>11685.000810907179</v>
      </c>
      <c r="GH141" s="114">
        <v>11390.784490093676</v>
      </c>
      <c r="GI141" s="114">
        <v>11997.203811536894</v>
      </c>
      <c r="GJ141" s="114">
        <v>14496.60222654795</v>
      </c>
      <c r="GK141" s="114">
        <v>1821.4405368904768</v>
      </c>
      <c r="GL141" s="114">
        <v>13645.356882199716</v>
      </c>
      <c r="GM141" s="114">
        <v>3943.4946127348458</v>
      </c>
      <c r="GN141" s="114">
        <v>2609.1483351649654</v>
      </c>
      <c r="GO141" s="114">
        <v>6145.6397977802299</v>
      </c>
      <c r="GP141" s="114">
        <v>6117.1431051761901</v>
      </c>
      <c r="GQ141" s="114">
        <v>4447.9571033564125</v>
      </c>
      <c r="GR141" s="114">
        <v>10903.896141588353</v>
      </c>
      <c r="GS141" s="114">
        <v>5661.9022445128967</v>
      </c>
      <c r="GT141" s="115">
        <v>7061.6058379531596</v>
      </c>
    </row>
    <row r="142" spans="2:202" x14ac:dyDescent="0.6">
      <c r="B142" s="106" t="s">
        <v>128</v>
      </c>
      <c r="C142" s="63" t="s">
        <v>499</v>
      </c>
      <c r="D142" s="113">
        <v>381.24825542749187</v>
      </c>
      <c r="E142" s="114">
        <v>6248.6155589840328</v>
      </c>
      <c r="F142" s="114">
        <v>6193.0953993840085</v>
      </c>
      <c r="G142" s="114">
        <v>7850.7983410864808</v>
      </c>
      <c r="H142" s="114">
        <v>12639.964364881231</v>
      </c>
      <c r="I142" s="114">
        <v>15764.972245845684</v>
      </c>
      <c r="J142" s="114">
        <v>2657.8623564177624</v>
      </c>
      <c r="K142" s="114">
        <v>11040.769004325017</v>
      </c>
      <c r="L142" s="114">
        <v>4937.9453366359794</v>
      </c>
      <c r="M142" s="114">
        <v>2222.1917298284893</v>
      </c>
      <c r="N142" s="114">
        <v>12796.329074346972</v>
      </c>
      <c r="O142" s="114">
        <v>2339.8259728607331</v>
      </c>
      <c r="P142" s="114">
        <v>2006.8070257088229</v>
      </c>
      <c r="Q142" s="114">
        <v>12797.849458954219</v>
      </c>
      <c r="R142" s="114">
        <v>4218.6690600083339</v>
      </c>
      <c r="S142" s="114">
        <v>5779.0742448929232</v>
      </c>
      <c r="T142" s="114">
        <v>14054.417391669049</v>
      </c>
      <c r="U142" s="114">
        <v>7835.8335075180894</v>
      </c>
      <c r="V142" s="114">
        <v>1706.0820868127798</v>
      </c>
      <c r="W142" s="114">
        <v>15690.929847545951</v>
      </c>
      <c r="X142" s="114">
        <v>4815.6158751329931</v>
      </c>
      <c r="Y142" s="114">
        <v>8164.2967827944158</v>
      </c>
      <c r="Z142" s="114">
        <v>14104.270438630414</v>
      </c>
      <c r="AA142" s="114">
        <v>13753.445930413325</v>
      </c>
      <c r="AB142" s="114">
        <v>5391.1158629366782</v>
      </c>
      <c r="AC142" s="114">
        <v>4425.102066776536</v>
      </c>
      <c r="AD142" s="114">
        <v>7828.8853713203789</v>
      </c>
      <c r="AE142" s="114">
        <v>6142.8033194379959</v>
      </c>
      <c r="AF142" s="114">
        <v>9674.6929767908459</v>
      </c>
      <c r="AG142" s="114">
        <v>4026.4962284966155</v>
      </c>
      <c r="AH142" s="114">
        <v>7303.5386811908465</v>
      </c>
      <c r="AI142" s="114">
        <v>7189.6525065954957</v>
      </c>
      <c r="AJ142" s="114">
        <v>10999.348378612185</v>
      </c>
      <c r="AK142" s="114">
        <v>10709.692165374638</v>
      </c>
      <c r="AL142" s="114">
        <v>6515.2019055355477</v>
      </c>
      <c r="AM142" s="114">
        <v>6359.7662099188565</v>
      </c>
      <c r="AN142" s="114">
        <v>16641.378845283067</v>
      </c>
      <c r="AO142" s="114">
        <v>4509.9758758935495</v>
      </c>
      <c r="AP142" s="114">
        <v>3876.3409072876493</v>
      </c>
      <c r="AQ142" s="114">
        <v>14576.911658122508</v>
      </c>
      <c r="AR142" s="114">
        <v>5904.9536500372924</v>
      </c>
      <c r="AS142" s="114">
        <v>7370.2537207168416</v>
      </c>
      <c r="AT142" s="114">
        <v>7370.0537188813541</v>
      </c>
      <c r="AU142" s="114">
        <v>14660.97649855969</v>
      </c>
      <c r="AV142" s="114">
        <v>8486.3515464891116</v>
      </c>
      <c r="AW142" s="114">
        <v>5005.9892933186575</v>
      </c>
      <c r="AX142" s="114">
        <v>13212.271709828954</v>
      </c>
      <c r="AY142" s="114">
        <v>3643.1683844674417</v>
      </c>
      <c r="AZ142" s="114">
        <v>5075.8630999843981</v>
      </c>
      <c r="BA142" s="114">
        <v>5202.74524818593</v>
      </c>
      <c r="BB142" s="114">
        <v>4005.4581205641216</v>
      </c>
      <c r="BC142" s="114">
        <v>12760.215753513043</v>
      </c>
      <c r="BD142" s="114">
        <v>13035.514709025998</v>
      </c>
      <c r="BE142" s="114">
        <v>7375.2436852367682</v>
      </c>
      <c r="BF142" s="114">
        <v>15265.698789034399</v>
      </c>
      <c r="BG142" s="114">
        <v>3960.7327323672766</v>
      </c>
      <c r="BH142" s="114">
        <v>14479.354231664234</v>
      </c>
      <c r="BI142" s="114">
        <v>7451.15348791826</v>
      </c>
      <c r="BJ142" s="114">
        <v>4015.9626491368326</v>
      </c>
      <c r="BK142" s="114">
        <v>4552.6915099217322</v>
      </c>
      <c r="BL142" s="114">
        <v>7975.6580762472367</v>
      </c>
      <c r="BM142" s="114">
        <v>4464.6134213222294</v>
      </c>
      <c r="BN142" s="114">
        <v>4555.0495801338056</v>
      </c>
      <c r="BO142" s="114">
        <v>5961.0019844837743</v>
      </c>
      <c r="BP142" s="114">
        <v>7589.6837453335838</v>
      </c>
      <c r="BQ142" s="114">
        <v>9154.2015341877941</v>
      </c>
      <c r="BR142" s="114">
        <v>2664.3778973314293</v>
      </c>
      <c r="BS142" s="114">
        <v>5138.6814078243215</v>
      </c>
      <c r="BT142" s="114">
        <v>5281.2146715256822</v>
      </c>
      <c r="BU142" s="114">
        <v>5469.6105944164847</v>
      </c>
      <c r="BV142" s="114">
        <v>8118.8503291724783</v>
      </c>
      <c r="BW142" s="114">
        <v>4466.2690546835311</v>
      </c>
      <c r="BX142" s="114">
        <v>13058.560477078694</v>
      </c>
      <c r="BY142" s="114">
        <v>14413.11273921029</v>
      </c>
      <c r="BZ142" s="114">
        <v>9126.3609597581199</v>
      </c>
      <c r="CA142" s="114">
        <v>9177.0753237042099</v>
      </c>
      <c r="CB142" s="114">
        <v>13228.282574973249</v>
      </c>
      <c r="CC142" s="114">
        <v>13179.194377832227</v>
      </c>
      <c r="CD142" s="114">
        <v>14337.796629465432</v>
      </c>
      <c r="CE142" s="114">
        <v>4729.0138824539954</v>
      </c>
      <c r="CF142" s="114">
        <v>6922.7115681886462</v>
      </c>
      <c r="CG142" s="114">
        <v>1593.2581758351764</v>
      </c>
      <c r="CH142" s="114">
        <v>678.60967748845383</v>
      </c>
      <c r="CI142" s="114">
        <v>5620.6667681936324</v>
      </c>
      <c r="CJ142" s="114">
        <v>2008.3440056420138</v>
      </c>
      <c r="CK142" s="114">
        <v>2668.0532474053448</v>
      </c>
      <c r="CL142" s="114">
        <v>6417.8306539118948</v>
      </c>
      <c r="CM142" s="114">
        <v>9577.0659838719803</v>
      </c>
      <c r="CN142" s="114">
        <v>5331.574695991123</v>
      </c>
      <c r="CO142" s="114">
        <v>5500.4209298301994</v>
      </c>
      <c r="CP142" s="114">
        <v>13452.201216857819</v>
      </c>
      <c r="CQ142" s="114">
        <v>5988.9731542130303</v>
      </c>
      <c r="CR142" s="114">
        <v>3511.6688282020059</v>
      </c>
      <c r="CS142" s="114">
        <v>1973.5637812985349</v>
      </c>
      <c r="CT142" s="114">
        <v>5426.4201710594762</v>
      </c>
      <c r="CU142" s="114">
        <v>2420.5339347993067</v>
      </c>
      <c r="CV142" s="114">
        <v>1023.2479914638592</v>
      </c>
      <c r="CW142" s="114">
        <v>3399.4974546548051</v>
      </c>
      <c r="CX142" s="114">
        <v>4496.2112791690115</v>
      </c>
      <c r="CY142" s="114">
        <v>3485.5929571739416</v>
      </c>
      <c r="CZ142" s="114">
        <v>8464.9167903194393</v>
      </c>
      <c r="DA142" s="114">
        <v>9034.0218071966701</v>
      </c>
      <c r="DB142" s="114">
        <v>5520.7569058015042</v>
      </c>
      <c r="DC142" s="114">
        <v>5464.1416519772929</v>
      </c>
      <c r="DD142" s="114">
        <v>4374.417021165903</v>
      </c>
      <c r="DE142" s="114">
        <v>5664.5298816639042</v>
      </c>
      <c r="DF142" s="114">
        <v>6392.089613029706</v>
      </c>
      <c r="DG142" s="114">
        <v>6739.1705034059078</v>
      </c>
      <c r="DH142" s="114">
        <v>4471.2864846891589</v>
      </c>
      <c r="DI142" s="114">
        <v>3269.1841799771219</v>
      </c>
      <c r="DJ142" s="114">
        <v>8396.7666187417981</v>
      </c>
      <c r="DK142" s="114">
        <v>5312.815917197192</v>
      </c>
      <c r="DL142" s="114">
        <v>6180.6258586294407</v>
      </c>
      <c r="DM142" s="114">
        <v>6181.5592428458267</v>
      </c>
      <c r="DN142" s="114">
        <v>14107.936751298623</v>
      </c>
      <c r="DO142" s="114">
        <v>3986.7237072554026</v>
      </c>
      <c r="DP142" s="114">
        <v>5673.2583599259842</v>
      </c>
      <c r="DQ142" s="114">
        <v>3240.7248479145301</v>
      </c>
      <c r="DR142" s="114">
        <v>4746.8970507709628</v>
      </c>
      <c r="DS142" s="114">
        <v>7183.8510452738301</v>
      </c>
      <c r="DT142" s="114">
        <v>7847.9263900468022</v>
      </c>
      <c r="DU142" s="114">
        <v>2983.1767007466442</v>
      </c>
      <c r="DV142" s="114">
        <v>8582.7827422621158</v>
      </c>
      <c r="DW142" s="114">
        <v>1334.1635492767914</v>
      </c>
      <c r="DX142" s="114">
        <v>5730.3231426420562</v>
      </c>
      <c r="DY142" s="114">
        <v>13091.117768646594</v>
      </c>
      <c r="DZ142" s="114">
        <v>13238.146969626756</v>
      </c>
      <c r="EA142" s="114">
        <v>14504.69074584159</v>
      </c>
      <c r="EB142" s="114">
        <v>7452.6035834769891</v>
      </c>
      <c r="EC142" s="114">
        <v>7212.2244528809315</v>
      </c>
      <c r="ED142" s="114">
        <v>4659.6804984361615</v>
      </c>
      <c r="EE142" s="114">
        <v>4588.3084446255461</v>
      </c>
      <c r="EF142" s="114">
        <v>5339.061642555911</v>
      </c>
      <c r="EG142" s="114">
        <v>1819.4826865508646</v>
      </c>
      <c r="EH142" s="114">
        <v>1110.1288499545979</v>
      </c>
      <c r="EI142" s="114" t="s">
        <v>237</v>
      </c>
      <c r="EJ142" s="114">
        <v>14467.834356906604</v>
      </c>
      <c r="EK142" s="114">
        <v>15160.785601539501</v>
      </c>
      <c r="EL142" s="114">
        <v>16159.075207228838</v>
      </c>
      <c r="EM142" s="114">
        <v>5252.0656977693461</v>
      </c>
      <c r="EN142" s="114">
        <v>4610.6296533585974</v>
      </c>
      <c r="EO142" s="114">
        <v>7169.6817084964405</v>
      </c>
      <c r="EP142" s="114">
        <v>2294.3603249195376</v>
      </c>
      <c r="EQ142" s="114">
        <v>4184.4088787995879</v>
      </c>
      <c r="ER142" s="114">
        <v>3681.9830191499177</v>
      </c>
      <c r="ES142" s="114">
        <v>5951.7767358602678</v>
      </c>
      <c r="ET142" s="114">
        <v>12675.996851154925</v>
      </c>
      <c r="EU142" s="114">
        <v>12811.462175740284</v>
      </c>
      <c r="EV142" s="114">
        <v>12925.161775899416</v>
      </c>
      <c r="EW142" s="114">
        <v>5291.4651922630792</v>
      </c>
      <c r="EX142" s="114">
        <v>7857.8873252854928</v>
      </c>
      <c r="EY142" s="114">
        <v>2772.8457906770927</v>
      </c>
      <c r="EZ142" s="114">
        <v>9171.5968015372728</v>
      </c>
      <c r="FA142" s="114">
        <v>4638.8392749336981</v>
      </c>
      <c r="FB142" s="114">
        <v>9156.3495545134047</v>
      </c>
      <c r="FC142" s="114">
        <v>4789.4631516058644</v>
      </c>
      <c r="FD142" s="114">
        <v>4874.9522198835684</v>
      </c>
      <c r="FE142" s="114">
        <v>5096.7412659355514</v>
      </c>
      <c r="FF142" s="114">
        <v>4535.7754024966744</v>
      </c>
      <c r="FG142" s="114">
        <v>8087.6778344362074</v>
      </c>
      <c r="FH142" s="114">
        <v>4798.1027525846785</v>
      </c>
      <c r="FI142" s="114">
        <v>5334.9734216104325</v>
      </c>
      <c r="FJ142" s="114">
        <v>6643.0744523406456</v>
      </c>
      <c r="FK142" s="114">
        <v>6154.2087640399532</v>
      </c>
      <c r="FL142" s="114">
        <v>3024.9851561522601</v>
      </c>
      <c r="FM142" s="114">
        <v>4552.7075445322052</v>
      </c>
      <c r="FN142" s="114">
        <v>13061.025009640545</v>
      </c>
      <c r="FO142" s="114">
        <v>4908.4748010709263</v>
      </c>
      <c r="FP142" s="114">
        <v>5625.4609074648442</v>
      </c>
      <c r="FQ142" s="114">
        <v>3410.8692955871752</v>
      </c>
      <c r="FR142" s="114">
        <v>4751.9598303252442</v>
      </c>
      <c r="FS142" s="114">
        <v>688.13361270148562</v>
      </c>
      <c r="FT142" s="114">
        <v>5718.6103959711982</v>
      </c>
      <c r="FU142" s="114">
        <v>3532.2539608506659</v>
      </c>
      <c r="FV142" s="114">
        <v>7197.0637140737672</v>
      </c>
      <c r="FW142" s="114">
        <v>7957.1546407375436</v>
      </c>
      <c r="FX142" s="114">
        <v>13156.062665591749</v>
      </c>
      <c r="FY142" s="114">
        <v>5647.1750937109873</v>
      </c>
      <c r="FZ142" s="114">
        <v>3658.7675058232958</v>
      </c>
      <c r="GA142" s="114">
        <v>1496.3549370846279</v>
      </c>
      <c r="GB142" s="114">
        <v>5633.3620910551872</v>
      </c>
      <c r="GC142" s="114">
        <v>3941.0890700028499</v>
      </c>
      <c r="GD142" s="114">
        <v>2095.0841737219112</v>
      </c>
      <c r="GE142" s="114">
        <v>6057.1739586680633</v>
      </c>
      <c r="GF142" s="114">
        <v>12421.810441423435</v>
      </c>
      <c r="GG142" s="114">
        <v>11110.713540518887</v>
      </c>
      <c r="GH142" s="114">
        <v>10832.795533744522</v>
      </c>
      <c r="GI142" s="114">
        <v>11404.766033769123</v>
      </c>
      <c r="GJ142" s="114">
        <v>15379.210263715078</v>
      </c>
      <c r="GK142" s="114">
        <v>936.41730593337593</v>
      </c>
      <c r="GL142" s="114">
        <v>13548.075334282048</v>
      </c>
      <c r="GM142" s="114">
        <v>3466.7561917559947</v>
      </c>
      <c r="GN142" s="114">
        <v>3527.6771301661183</v>
      </c>
      <c r="GO142" s="114">
        <v>7211.0398979070396</v>
      </c>
      <c r="GP142" s="114">
        <v>7201.8362543847497</v>
      </c>
      <c r="GQ142" s="114">
        <v>4236.6608732541381</v>
      </c>
      <c r="GR142" s="114">
        <v>10983.803116064653</v>
      </c>
      <c r="GS142" s="114">
        <v>5516.9291327003793</v>
      </c>
      <c r="GT142" s="115">
        <v>8159.4728153856322</v>
      </c>
    </row>
    <row r="143" spans="2:202" x14ac:dyDescent="0.6">
      <c r="B143" s="106" t="s">
        <v>129</v>
      </c>
      <c r="C143" s="63" t="s">
        <v>129</v>
      </c>
      <c r="D143" s="113">
        <v>14160.851408799004</v>
      </c>
      <c r="E143" s="114">
        <v>8731.5046054859376</v>
      </c>
      <c r="F143" s="114">
        <v>8561.8554991913497</v>
      </c>
      <c r="G143" s="114">
        <v>10415.746783265207</v>
      </c>
      <c r="H143" s="114">
        <v>2088.8386999464801</v>
      </c>
      <c r="I143" s="114">
        <v>5424.6206968209217</v>
      </c>
      <c r="J143" s="114">
        <v>12061.843501693198</v>
      </c>
      <c r="K143" s="114">
        <v>14200.039432947293</v>
      </c>
      <c r="L143" s="114">
        <v>9665.767513033159</v>
      </c>
      <c r="M143" s="114">
        <v>12429.20753301172</v>
      </c>
      <c r="N143" s="114">
        <v>1797.827795735258</v>
      </c>
      <c r="O143" s="114">
        <v>13313.69981724169</v>
      </c>
      <c r="P143" s="114">
        <v>16232.901541237932</v>
      </c>
      <c r="Q143" s="114">
        <v>2222.5853613014815</v>
      </c>
      <c r="R143" s="114">
        <v>10271.93964527897</v>
      </c>
      <c r="S143" s="114">
        <v>8774.9399675088516</v>
      </c>
      <c r="T143" s="114">
        <v>1336.4314566491535</v>
      </c>
      <c r="U143" s="114">
        <v>8988.8052352009745</v>
      </c>
      <c r="V143" s="114">
        <v>15797.982238133669</v>
      </c>
      <c r="W143" s="114">
        <v>3059.0585605210008</v>
      </c>
      <c r="X143" s="114">
        <v>9917.617872642455</v>
      </c>
      <c r="Y143" s="114">
        <v>11913.552046687348</v>
      </c>
      <c r="Z143" s="114">
        <v>5066.2704682368694</v>
      </c>
      <c r="AA143" s="114">
        <v>5291.754613610552</v>
      </c>
      <c r="AB143" s="114">
        <v>17834.435221438845</v>
      </c>
      <c r="AC143" s="114">
        <v>10335.99593407873</v>
      </c>
      <c r="AD143" s="114">
        <v>8499.4929971943475</v>
      </c>
      <c r="AE143" s="114">
        <v>12085.470274959616</v>
      </c>
      <c r="AF143" s="114">
        <v>6102.9173195136191</v>
      </c>
      <c r="AG143" s="114">
        <v>17716.771854463066</v>
      </c>
      <c r="AH143" s="114">
        <v>9822.6032211868205</v>
      </c>
      <c r="AI143" s="114">
        <v>10012.471188206848</v>
      </c>
      <c r="AJ143" s="114">
        <v>3858.4908460704646</v>
      </c>
      <c r="AK143" s="114">
        <v>4049.7286395993465</v>
      </c>
      <c r="AL143" s="114">
        <v>10765.78388466568</v>
      </c>
      <c r="AM143" s="114">
        <v>10210.71618955363</v>
      </c>
      <c r="AN143" s="114">
        <v>4789.3466814114154</v>
      </c>
      <c r="AO143" s="114">
        <v>15028.215996252096</v>
      </c>
      <c r="AP143" s="114">
        <v>14386.272843499666</v>
      </c>
      <c r="AQ143" s="114">
        <v>777.49342111669705</v>
      </c>
      <c r="AR143" s="114">
        <v>13716.656128253031</v>
      </c>
      <c r="AS143" s="114">
        <v>10582.774516422925</v>
      </c>
      <c r="AT143" s="114">
        <v>10557.563408022652</v>
      </c>
      <c r="AU143" s="114">
        <v>527.01979908193186</v>
      </c>
      <c r="AV143" s="114">
        <v>8296.4910728863433</v>
      </c>
      <c r="AW143" s="114">
        <v>9667.889359692268</v>
      </c>
      <c r="AX143" s="114">
        <v>1597.2734290668232</v>
      </c>
      <c r="AY143" s="114">
        <v>11416.067271854739</v>
      </c>
      <c r="AZ143" s="114">
        <v>9487.4930781951989</v>
      </c>
      <c r="BA143" s="114">
        <v>9284.6414144114533</v>
      </c>
      <c r="BB143" s="114">
        <v>13165.747872807942</v>
      </c>
      <c r="BC143" s="114">
        <v>2074.5808337684061</v>
      </c>
      <c r="BD143" s="114">
        <v>1468.3166033854832</v>
      </c>
      <c r="BE143" s="114">
        <v>10562.700909502451</v>
      </c>
      <c r="BF143" s="114">
        <v>1022.3037772750598</v>
      </c>
      <c r="BG143" s="114">
        <v>11419.057105426298</v>
      </c>
      <c r="BH143" s="114">
        <v>1180.2497806816214</v>
      </c>
      <c r="BI143" s="114">
        <v>9700.8523186153197</v>
      </c>
      <c r="BJ143" s="114">
        <v>12654.096730778378</v>
      </c>
      <c r="BK143" s="114">
        <v>9915.5831396186531</v>
      </c>
      <c r="BL143" s="114">
        <v>12468.044192796049</v>
      </c>
      <c r="BM143" s="114">
        <v>12828.568602887668</v>
      </c>
      <c r="BN143" s="114">
        <v>9915.6619236627448</v>
      </c>
      <c r="BO143" s="114">
        <v>8630.5029493567872</v>
      </c>
      <c r="BP143" s="114">
        <v>9839.5546287887992</v>
      </c>
      <c r="BQ143" s="114">
        <v>6857.1254375037206</v>
      </c>
      <c r="BR143" s="114">
        <v>12001.605548124393</v>
      </c>
      <c r="BS143" s="114">
        <v>9385.8395476273017</v>
      </c>
      <c r="BT143" s="114">
        <v>9324.9967553798815</v>
      </c>
      <c r="BU143" s="114">
        <v>9094.0906094021502</v>
      </c>
      <c r="BV143" s="114">
        <v>8731.0471091864929</v>
      </c>
      <c r="BW143" s="114">
        <v>10497.398003032396</v>
      </c>
      <c r="BX143" s="114">
        <v>1942.7716064873198</v>
      </c>
      <c r="BY143" s="114">
        <v>1336.3813032846533</v>
      </c>
      <c r="BZ143" s="114">
        <v>7207.8209923894165</v>
      </c>
      <c r="CA143" s="114">
        <v>6973.3820662674871</v>
      </c>
      <c r="CB143" s="114">
        <v>2344.1901751628448</v>
      </c>
      <c r="CC143" s="114">
        <v>1292.6721318209713</v>
      </c>
      <c r="CD143" s="114">
        <v>1026.5061694128506</v>
      </c>
      <c r="CE143" s="114">
        <v>9891.3434045759022</v>
      </c>
      <c r="CF143" s="114">
        <v>7583.3997940964946</v>
      </c>
      <c r="CG143" s="114">
        <v>15647.716435546366</v>
      </c>
      <c r="CH143" s="114">
        <v>15146.264521085053</v>
      </c>
      <c r="CI143" s="114">
        <v>19313.300680790868</v>
      </c>
      <c r="CJ143" s="114">
        <v>12856.574676477612</v>
      </c>
      <c r="CK143" s="114">
        <v>12429.745671748029</v>
      </c>
      <c r="CL143" s="114">
        <v>8084.8261240320362</v>
      </c>
      <c r="CM143" s="114">
        <v>5198.9393987536832</v>
      </c>
      <c r="CN143" s="114">
        <v>9472.5765465999957</v>
      </c>
      <c r="CO143" s="114">
        <v>9174.6052332405252</v>
      </c>
      <c r="CP143" s="114">
        <v>1043.8890459922291</v>
      </c>
      <c r="CQ143" s="114">
        <v>13582.480756489571</v>
      </c>
      <c r="CR143" s="114">
        <v>11753.79116455236</v>
      </c>
      <c r="CS143" s="114">
        <v>12757.406780427382</v>
      </c>
      <c r="CT143" s="114">
        <v>12852.756269747026</v>
      </c>
      <c r="CU143" s="114">
        <v>12944.28457126773</v>
      </c>
      <c r="CV143" s="114">
        <v>13692.599236938542</v>
      </c>
      <c r="CW143" s="114">
        <v>17054.624002142689</v>
      </c>
      <c r="CX143" s="114">
        <v>9976.2894089299116</v>
      </c>
      <c r="CY143" s="114">
        <v>11655.596105913035</v>
      </c>
      <c r="CZ143" s="114">
        <v>12095.617827814811</v>
      </c>
      <c r="DA143" s="114">
        <v>7577.3931442154653</v>
      </c>
      <c r="DB143" s="114">
        <v>9686.9164397645236</v>
      </c>
      <c r="DC143" s="114">
        <v>9167.5798462109542</v>
      </c>
      <c r="DD143" s="114">
        <v>10111.262882552177</v>
      </c>
      <c r="DE143" s="114">
        <v>8912.8867546830552</v>
      </c>
      <c r="DF143" s="114">
        <v>14167.482655270293</v>
      </c>
      <c r="DG143" s="114">
        <v>12686.017216845792</v>
      </c>
      <c r="DH143" s="114">
        <v>18668.811011416947</v>
      </c>
      <c r="DI143" s="114">
        <v>16644.44593653013</v>
      </c>
      <c r="DJ143" s="114">
        <v>7821.7501920887544</v>
      </c>
      <c r="DK143" s="114">
        <v>9746.0894996202751</v>
      </c>
      <c r="DL143" s="114">
        <v>15194.335749830856</v>
      </c>
      <c r="DM143" s="114">
        <v>15213.870334136014</v>
      </c>
      <c r="DN143" s="114">
        <v>2419.0645078193629</v>
      </c>
      <c r="DO143" s="114">
        <v>10613.425913571356</v>
      </c>
      <c r="DP143" s="114">
        <v>9051.1879879782518</v>
      </c>
      <c r="DQ143" s="114">
        <v>13656.642197489698</v>
      </c>
      <c r="DR143" s="114">
        <v>10022.455953603925</v>
      </c>
      <c r="DS143" s="114">
        <v>7831.5904854588953</v>
      </c>
      <c r="DT143" s="114">
        <v>12595.047669436733</v>
      </c>
      <c r="DU143" s="114">
        <v>17141.234427866126</v>
      </c>
      <c r="DV143" s="114">
        <v>11028.523099820122</v>
      </c>
      <c r="DW143" s="114">
        <v>15629.590785268947</v>
      </c>
      <c r="DX143" s="114">
        <v>8795.5079386108719</v>
      </c>
      <c r="DY143" s="114">
        <v>12025.27574386388</v>
      </c>
      <c r="DZ143" s="114">
        <v>12030.7443102123</v>
      </c>
      <c r="EA143" s="114">
        <v>832.39441762395847</v>
      </c>
      <c r="EB143" s="114">
        <v>8847.0190896333024</v>
      </c>
      <c r="EC143" s="114">
        <v>9478.375357016037</v>
      </c>
      <c r="ED143" s="114">
        <v>14096.632264758971</v>
      </c>
      <c r="EE143" s="114">
        <v>10193.409232445321</v>
      </c>
      <c r="EF143" s="114">
        <v>9128.8845864509676</v>
      </c>
      <c r="EG143" s="114">
        <v>14167.893342782192</v>
      </c>
      <c r="EH143" s="114">
        <v>14768.878034947116</v>
      </c>
      <c r="EI143" s="114">
        <v>14467.834356906604</v>
      </c>
      <c r="EJ143" s="114" t="s">
        <v>237</v>
      </c>
      <c r="EK143" s="114">
        <v>4475.6772239028405</v>
      </c>
      <c r="EL143" s="114">
        <v>2348.2993003491069</v>
      </c>
      <c r="EM143" s="114">
        <v>16586.116635850154</v>
      </c>
      <c r="EN143" s="114">
        <v>9908.1482486107088</v>
      </c>
      <c r="EO143" s="114">
        <v>7661.4945297981967</v>
      </c>
      <c r="EP143" s="114">
        <v>13456.861228632108</v>
      </c>
      <c r="EQ143" s="114">
        <v>10505.113716348218</v>
      </c>
      <c r="ER143" s="114">
        <v>10785.855506350181</v>
      </c>
      <c r="ES143" s="114">
        <v>12153.491433590714</v>
      </c>
      <c r="ET143" s="114">
        <v>2033.776859762741</v>
      </c>
      <c r="EU143" s="114">
        <v>2108.3987608185003</v>
      </c>
      <c r="EV143" s="114">
        <v>2031.8003201048568</v>
      </c>
      <c r="EW143" s="114">
        <v>9443.495034087915</v>
      </c>
      <c r="EX143" s="114">
        <v>9526.969983949748</v>
      </c>
      <c r="EY143" s="114">
        <v>13051.459377797</v>
      </c>
      <c r="EZ143" s="114">
        <v>6755.3995112777484</v>
      </c>
      <c r="FA143" s="114">
        <v>10059.018625661936</v>
      </c>
      <c r="FB143" s="114">
        <v>7254.0885716301846</v>
      </c>
      <c r="FC143" s="114">
        <v>18814.790005591451</v>
      </c>
      <c r="FD143" s="114">
        <v>9728.2434026155006</v>
      </c>
      <c r="FE143" s="114">
        <v>9562.5212655554824</v>
      </c>
      <c r="FF143" s="114">
        <v>13745.066712560423</v>
      </c>
      <c r="FG143" s="114">
        <v>12173.588128808648</v>
      </c>
      <c r="FH143" s="114">
        <v>14209.422813125893</v>
      </c>
      <c r="FI143" s="114">
        <v>12195.823844906357</v>
      </c>
      <c r="FJ143" s="114">
        <v>8159.6520383915695</v>
      </c>
      <c r="FK143" s="114">
        <v>8633.9482622881696</v>
      </c>
      <c r="FL143" s="114">
        <v>17100.488527824284</v>
      </c>
      <c r="FM143" s="114">
        <v>12011.509100743895</v>
      </c>
      <c r="FN143" s="114">
        <v>2691.419199173567</v>
      </c>
      <c r="FO143" s="114">
        <v>9559.3910872192955</v>
      </c>
      <c r="FP143" s="114">
        <v>9017.9603163731554</v>
      </c>
      <c r="FQ143" s="114">
        <v>11740.053250687046</v>
      </c>
      <c r="FR143" s="114">
        <v>15609.684983999872</v>
      </c>
      <c r="FS143" s="114">
        <v>13779.785732243239</v>
      </c>
      <c r="FT143" s="114">
        <v>13248.857785221586</v>
      </c>
      <c r="FU143" s="114">
        <v>17518.266458335762</v>
      </c>
      <c r="FV143" s="114">
        <v>17315.604796762389</v>
      </c>
      <c r="FW143" s="114">
        <v>8857.4768969971119</v>
      </c>
      <c r="FX143" s="114">
        <v>1952.9264988977532</v>
      </c>
      <c r="FY143" s="114">
        <v>9357.0866161666017</v>
      </c>
      <c r="FZ143" s="114">
        <v>11179.836344767446</v>
      </c>
      <c r="GA143" s="114">
        <v>13129.052836196308</v>
      </c>
      <c r="GB143" s="114">
        <v>12369.099180075647</v>
      </c>
      <c r="GC143" s="114">
        <v>10585.233077321869</v>
      </c>
      <c r="GD143" s="114">
        <v>13756.578298198649</v>
      </c>
      <c r="GE143" s="114">
        <v>8478.1688915014511</v>
      </c>
      <c r="GF143" s="114">
        <v>4853.2736702374204</v>
      </c>
      <c r="GG143" s="114">
        <v>3564.0991377189544</v>
      </c>
      <c r="GH143" s="114">
        <v>3794.8681023768263</v>
      </c>
      <c r="GI143" s="114">
        <v>3332.958915191331</v>
      </c>
      <c r="GJ143" s="114">
        <v>5416.1605980824152</v>
      </c>
      <c r="GK143" s="114">
        <v>13563.234890280899</v>
      </c>
      <c r="GL143" s="114">
        <v>1399.5655893055625</v>
      </c>
      <c r="GM143" s="114">
        <v>16633.618410704865</v>
      </c>
      <c r="GN143" s="114">
        <v>13221.686981089815</v>
      </c>
      <c r="GO143" s="114">
        <v>12125.198090052756</v>
      </c>
      <c r="GP143" s="114">
        <v>12445.035037308591</v>
      </c>
      <c r="GQ143" s="114">
        <v>17716.928067581433</v>
      </c>
      <c r="GR143" s="114">
        <v>14318.757624053163</v>
      </c>
      <c r="GS143" s="114">
        <v>9106.9989375411042</v>
      </c>
      <c r="GT143" s="115">
        <v>12166.11902540612</v>
      </c>
    </row>
    <row r="144" spans="2:202" x14ac:dyDescent="0.6">
      <c r="B144" s="106" t="s">
        <v>130</v>
      </c>
      <c r="C144" s="63" t="s">
        <v>541</v>
      </c>
      <c r="D144" s="113">
        <v>14798.231392064641</v>
      </c>
      <c r="E144" s="114">
        <v>9316.1503764763147</v>
      </c>
      <c r="F144" s="114">
        <v>9604.8565537151553</v>
      </c>
      <c r="G144" s="114">
        <v>7644.8973058022375</v>
      </c>
      <c r="H144" s="114">
        <v>4720.3381980378717</v>
      </c>
      <c r="I144" s="114">
        <v>1271.6839615864842</v>
      </c>
      <c r="J144" s="114">
        <v>12717.449174349527</v>
      </c>
      <c r="K144" s="114">
        <v>12808.715880718584</v>
      </c>
      <c r="L144" s="114">
        <v>10930.36398976724</v>
      </c>
      <c r="M144" s="114">
        <v>13158.445195148533</v>
      </c>
      <c r="N144" s="114">
        <v>5972.9087265578664</v>
      </c>
      <c r="O144" s="114">
        <v>12857.179908800648</v>
      </c>
      <c r="P144" s="114">
        <v>16729.153408455193</v>
      </c>
      <c r="Q144" s="114">
        <v>4247.6259745988536</v>
      </c>
      <c r="R144" s="114">
        <v>11884.831228524507</v>
      </c>
      <c r="S144" s="114">
        <v>10343.239342525012</v>
      </c>
      <c r="T144" s="114">
        <v>5777.0343531420376</v>
      </c>
      <c r="U144" s="114">
        <v>7330.8834174386984</v>
      </c>
      <c r="V144" s="114">
        <v>16698.420839553535</v>
      </c>
      <c r="W144" s="114">
        <v>1496.0270166956593</v>
      </c>
      <c r="X144" s="114">
        <v>10827.578563006722</v>
      </c>
      <c r="Y144" s="114">
        <v>8213.4489269395435</v>
      </c>
      <c r="Z144" s="114">
        <v>1093.368409369644</v>
      </c>
      <c r="AA144" s="114">
        <v>1454.8567166463033</v>
      </c>
      <c r="AB144" s="114">
        <v>17583.440765583568</v>
      </c>
      <c r="AC144" s="114">
        <v>11134.897827600056</v>
      </c>
      <c r="AD144" s="114">
        <v>7345.6569268389103</v>
      </c>
      <c r="AE144" s="114">
        <v>9504.3588262831563</v>
      </c>
      <c r="AF144" s="114">
        <v>5783.3701122653765</v>
      </c>
      <c r="AG144" s="114">
        <v>17562.926094238654</v>
      </c>
      <c r="AH144" s="114">
        <v>7912.5279120553287</v>
      </c>
      <c r="AI144" s="114">
        <v>8045.1411065262209</v>
      </c>
      <c r="AJ144" s="114">
        <v>7975.7861602524999</v>
      </c>
      <c r="AK144" s="114">
        <v>8037.3480917641364</v>
      </c>
      <c r="AL144" s="114">
        <v>8773.1639357829499</v>
      </c>
      <c r="AM144" s="114">
        <v>8813.5517990132485</v>
      </c>
      <c r="AN144" s="114">
        <v>1558.8689198949573</v>
      </c>
      <c r="AO144" s="114">
        <v>19323.567629161396</v>
      </c>
      <c r="AP144" s="114">
        <v>18297.459596735313</v>
      </c>
      <c r="AQ144" s="114">
        <v>3737.7088505496367</v>
      </c>
      <c r="AR144" s="114">
        <v>10500.612491380951</v>
      </c>
      <c r="AS144" s="114">
        <v>8054.0878759930347</v>
      </c>
      <c r="AT144" s="114">
        <v>8045.8048540043346</v>
      </c>
      <c r="AU144" s="114">
        <v>4819.3248176568004</v>
      </c>
      <c r="AV144" s="114">
        <v>6674.4351609613541</v>
      </c>
      <c r="AW144" s="114">
        <v>10746.418502102186</v>
      </c>
      <c r="AX144" s="114">
        <v>5993.1422856880881</v>
      </c>
      <c r="AY144" s="114">
        <v>11624.13986359278</v>
      </c>
      <c r="AZ144" s="114">
        <v>10908.077507877741</v>
      </c>
      <c r="BA144" s="114">
        <v>11098.191357377402</v>
      </c>
      <c r="BB144" s="114">
        <v>11474.318444324263</v>
      </c>
      <c r="BC144" s="114">
        <v>4501.461903067966</v>
      </c>
      <c r="BD144" s="114">
        <v>5005.894852632583</v>
      </c>
      <c r="BE144" s="114">
        <v>8043.6420973876984</v>
      </c>
      <c r="BF144" s="114">
        <v>3579.8516739003071</v>
      </c>
      <c r="BG144" s="114">
        <v>11230.732106625121</v>
      </c>
      <c r="BH144" s="114">
        <v>5496.3674774059991</v>
      </c>
      <c r="BI144" s="114">
        <v>7763.3384317821892</v>
      </c>
      <c r="BJ144" s="114">
        <v>11291.850727029087</v>
      </c>
      <c r="BK144" s="114">
        <v>11936.649572086202</v>
      </c>
      <c r="BL144" s="114">
        <v>8656.9156568062062</v>
      </c>
      <c r="BM144" s="114">
        <v>11003.205229121764</v>
      </c>
      <c r="BN144" s="114">
        <v>12000.65903236028</v>
      </c>
      <c r="BO144" s="114">
        <v>10091.382978168507</v>
      </c>
      <c r="BP144" s="114">
        <v>7672.4324069387158</v>
      </c>
      <c r="BQ144" s="114">
        <v>6153.3296345548151</v>
      </c>
      <c r="BR144" s="114">
        <v>12765.794901910067</v>
      </c>
      <c r="BS144" s="114">
        <v>10974.783690584598</v>
      </c>
      <c r="BT144" s="114">
        <v>10633.973710747443</v>
      </c>
      <c r="BU144" s="114">
        <v>10575.997607373514</v>
      </c>
      <c r="BV144" s="114">
        <v>7045.6491810599628</v>
      </c>
      <c r="BW144" s="114">
        <v>10924.756631877623</v>
      </c>
      <c r="BX144" s="114">
        <v>4159.6630385552698</v>
      </c>
      <c r="BY144" s="114">
        <v>5658.9185650579639</v>
      </c>
      <c r="BZ144" s="114">
        <v>6093.3934928043136</v>
      </c>
      <c r="CA144" s="114">
        <v>6089.6859038353941</v>
      </c>
      <c r="CB144" s="114">
        <v>3514.8798720113837</v>
      </c>
      <c r="CC144" s="114">
        <v>5098.7930796056125</v>
      </c>
      <c r="CD144" s="114">
        <v>5423.4654295418122</v>
      </c>
      <c r="CE144" s="114">
        <v>11074.870008747112</v>
      </c>
      <c r="CF144" s="114">
        <v>10393.159625526605</v>
      </c>
      <c r="CG144" s="114">
        <v>14866.354096450812</v>
      </c>
      <c r="CH144" s="114">
        <v>15501.433894993521</v>
      </c>
      <c r="CI144" s="114">
        <v>16124.474814170433</v>
      </c>
      <c r="CJ144" s="114">
        <v>13206.633203362138</v>
      </c>
      <c r="CK144" s="114">
        <v>12522.943572845434</v>
      </c>
      <c r="CL144" s="114">
        <v>10004.479277821192</v>
      </c>
      <c r="CM144" s="114">
        <v>6742.7611137155982</v>
      </c>
      <c r="CN144" s="114">
        <v>10293.873717692513</v>
      </c>
      <c r="CO144" s="114">
        <v>10319.958657346235</v>
      </c>
      <c r="CP144" s="114">
        <v>5223.9117094248641</v>
      </c>
      <c r="CQ144" s="114">
        <v>18004.731672926086</v>
      </c>
      <c r="CR144" s="114">
        <v>11683.549062579657</v>
      </c>
      <c r="CS144" s="114">
        <v>14814.31914246935</v>
      </c>
      <c r="CT144" s="114">
        <v>10332.771394134261</v>
      </c>
      <c r="CU144" s="114">
        <v>12740.839807144223</v>
      </c>
      <c r="CV144" s="114">
        <v>15232.129827018829</v>
      </c>
      <c r="CW144" s="114">
        <v>17746.241389144081</v>
      </c>
      <c r="CX144" s="114">
        <v>11808.97946834767</v>
      </c>
      <c r="CY144" s="114">
        <v>11740.67551552035</v>
      </c>
      <c r="CZ144" s="114">
        <v>8191.3480060931606</v>
      </c>
      <c r="DA144" s="114">
        <v>6141.2284900957202</v>
      </c>
      <c r="DB144" s="114">
        <v>9824.3756652216143</v>
      </c>
      <c r="DC144" s="114">
        <v>10427.266524786144</v>
      </c>
      <c r="DD144" s="114">
        <v>11788.394111688156</v>
      </c>
      <c r="DE144" s="114">
        <v>10376.062255440012</v>
      </c>
      <c r="DF144" s="114">
        <v>10527.998481772076</v>
      </c>
      <c r="DG144" s="114">
        <v>9429.1436801207583</v>
      </c>
      <c r="DH144" s="114">
        <v>16670.644345256791</v>
      </c>
      <c r="DI144" s="114">
        <v>14245.69425162629</v>
      </c>
      <c r="DJ144" s="114">
        <v>6811.0799343709223</v>
      </c>
      <c r="DK144" s="114">
        <v>10097.406337957023</v>
      </c>
      <c r="DL144" s="114">
        <v>11343.962087017222</v>
      </c>
      <c r="DM144" s="114">
        <v>11357.713061815501</v>
      </c>
      <c r="DN144" s="114">
        <v>6686.2199310153774</v>
      </c>
      <c r="DO144" s="114">
        <v>11742.589531734557</v>
      </c>
      <c r="DP144" s="114">
        <v>10096.236666315699</v>
      </c>
      <c r="DQ144" s="114">
        <v>17124.753428646654</v>
      </c>
      <c r="DR144" s="114">
        <v>10844.396865070334</v>
      </c>
      <c r="DS144" s="114">
        <v>8460.1400645061767</v>
      </c>
      <c r="DT144" s="114">
        <v>8798.9002980626719</v>
      </c>
      <c r="DU144" s="114">
        <v>17103.47560291332</v>
      </c>
      <c r="DV144" s="114">
        <v>7473.2119085362419</v>
      </c>
      <c r="DW144" s="114">
        <v>16280.936536649462</v>
      </c>
      <c r="DX144" s="114">
        <v>10476.606176520889</v>
      </c>
      <c r="DY144" s="114">
        <v>11231.111282486356</v>
      </c>
      <c r="DZ144" s="114">
        <v>10921.726015423088</v>
      </c>
      <c r="EA144" s="114">
        <v>5185.3838323100945</v>
      </c>
      <c r="EB144" s="114">
        <v>7717.0587352860684</v>
      </c>
      <c r="EC144" s="114">
        <v>7955.2522524580472</v>
      </c>
      <c r="ED144" s="114">
        <v>18440.514961602592</v>
      </c>
      <c r="EE144" s="114">
        <v>10969.66909309543</v>
      </c>
      <c r="EF144" s="114">
        <v>11237.880857250311</v>
      </c>
      <c r="EG144" s="114">
        <v>13553.13082952743</v>
      </c>
      <c r="EH144" s="114">
        <v>14452.661553348638</v>
      </c>
      <c r="EI144" s="114">
        <v>15160.785601539501</v>
      </c>
      <c r="EJ144" s="114">
        <v>4475.6772239028405</v>
      </c>
      <c r="EK144" s="114" t="s">
        <v>237</v>
      </c>
      <c r="EL144" s="114">
        <v>2530.8247617787483</v>
      </c>
      <c r="EM144" s="114">
        <v>18812.126005783088</v>
      </c>
      <c r="EN144" s="114">
        <v>11434.672396964383</v>
      </c>
      <c r="EO144" s="114">
        <v>8664.2068725605404</v>
      </c>
      <c r="EP144" s="114">
        <v>12927.309570126719</v>
      </c>
      <c r="EQ144" s="114">
        <v>11431.034494518</v>
      </c>
      <c r="ER144" s="114">
        <v>12590.048586617002</v>
      </c>
      <c r="ES144" s="114">
        <v>9664.7407197585017</v>
      </c>
      <c r="ET144" s="114">
        <v>4732.9437504657053</v>
      </c>
      <c r="EU144" s="114">
        <v>4364.4582595465972</v>
      </c>
      <c r="EV144" s="114">
        <v>4267.5837881929465</v>
      </c>
      <c r="EW144" s="114">
        <v>10412.303896550739</v>
      </c>
      <c r="EX144" s="114">
        <v>7381.3746084485183</v>
      </c>
      <c r="EY144" s="114">
        <v>12428.297439667387</v>
      </c>
      <c r="EZ144" s="114">
        <v>6167.2687873861787</v>
      </c>
      <c r="FA144" s="114">
        <v>11027.425657810138</v>
      </c>
      <c r="FB144" s="114">
        <v>6050.4466609907458</v>
      </c>
      <c r="FC144" s="114">
        <v>16686.793861762362</v>
      </c>
      <c r="FD144" s="114">
        <v>10984.843748128704</v>
      </c>
      <c r="FE144" s="114">
        <v>10692.102659944867</v>
      </c>
      <c r="FF144" s="114">
        <v>11365.931449234607</v>
      </c>
      <c r="FG144" s="114">
        <v>8414.0269652060597</v>
      </c>
      <c r="FH144" s="114">
        <v>18610.493046512478</v>
      </c>
      <c r="FI144" s="114">
        <v>10123.959327447379</v>
      </c>
      <c r="FJ144" s="114">
        <v>9153.6295388196104</v>
      </c>
      <c r="FK144" s="114">
        <v>9595.2772339755284</v>
      </c>
      <c r="FL144" s="114">
        <v>15040.514151822421</v>
      </c>
      <c r="FM144" s="114">
        <v>10688.438217104567</v>
      </c>
      <c r="FN144" s="114">
        <v>3410.8711072823394</v>
      </c>
      <c r="FO144" s="114">
        <v>11597.243630136432</v>
      </c>
      <c r="FP144" s="114">
        <v>10267.745515147513</v>
      </c>
      <c r="FQ144" s="114">
        <v>11807.885030479441</v>
      </c>
      <c r="FR144" s="114">
        <v>19900.565129590948</v>
      </c>
      <c r="FS144" s="114">
        <v>14757.844407130458</v>
      </c>
      <c r="FT144" s="114">
        <v>10344.581683566425</v>
      </c>
      <c r="FU144" s="114">
        <v>17337.013707458373</v>
      </c>
      <c r="FV144" s="114">
        <v>16291.622577693226</v>
      </c>
      <c r="FW144" s="114">
        <v>7207.5062075325013</v>
      </c>
      <c r="FX144" s="114">
        <v>4001.7722130408238</v>
      </c>
      <c r="FY144" s="114">
        <v>9833.5545357024657</v>
      </c>
      <c r="FZ144" s="114">
        <v>11737.915264768219</v>
      </c>
      <c r="GA144" s="114">
        <v>13798.093264157351</v>
      </c>
      <c r="GB144" s="114">
        <v>9976.6997332019346</v>
      </c>
      <c r="GC144" s="114">
        <v>11961.795960344236</v>
      </c>
      <c r="GD144" s="114">
        <v>13177.132994451178</v>
      </c>
      <c r="GE144" s="114">
        <v>10169.615886478405</v>
      </c>
      <c r="GF144" s="114">
        <v>9197.1198315415586</v>
      </c>
      <c r="GG144" s="114">
        <v>7519.0018253903399</v>
      </c>
      <c r="GH144" s="114">
        <v>7633.1111316724882</v>
      </c>
      <c r="GI144" s="114">
        <v>7407.0902559163751</v>
      </c>
      <c r="GJ144" s="114">
        <v>1051.4924457532554</v>
      </c>
      <c r="GK144" s="114">
        <v>14804.19813549181</v>
      </c>
      <c r="GL144" s="114">
        <v>4061.9873417794015</v>
      </c>
      <c r="GM144" s="114">
        <v>18200.376258834458</v>
      </c>
      <c r="GN144" s="114">
        <v>11857.981728708661</v>
      </c>
      <c r="GO144" s="114">
        <v>8848.4005366503952</v>
      </c>
      <c r="GP144" s="114">
        <v>9032.8389062488077</v>
      </c>
      <c r="GQ144" s="114">
        <v>17693.787339348884</v>
      </c>
      <c r="GR144" s="114">
        <v>12755.756443002831</v>
      </c>
      <c r="GS144" s="114">
        <v>10397.492307530796</v>
      </c>
      <c r="GT144" s="115">
        <v>8375.4448072270043</v>
      </c>
    </row>
    <row r="145" spans="2:202" x14ac:dyDescent="0.6">
      <c r="B145" s="106" t="s">
        <v>131</v>
      </c>
      <c r="C145" s="63" t="s">
        <v>313</v>
      </c>
      <c r="D145" s="113">
        <v>15789.880636401658</v>
      </c>
      <c r="E145" s="114">
        <v>9930.0745564144909</v>
      </c>
      <c r="F145" s="114">
        <v>9966.2231784957221</v>
      </c>
      <c r="G145" s="114">
        <v>9827.8659746017984</v>
      </c>
      <c r="H145" s="114">
        <v>3641.2630269036254</v>
      </c>
      <c r="I145" s="114">
        <v>3193.7953757832897</v>
      </c>
      <c r="J145" s="114">
        <v>13511.985838525579</v>
      </c>
      <c r="K145" s="114">
        <v>12822.400846255769</v>
      </c>
      <c r="L145" s="114">
        <v>11235.027887148797</v>
      </c>
      <c r="M145" s="114">
        <v>13940.709508365782</v>
      </c>
      <c r="N145" s="114">
        <v>4119.8291178353475</v>
      </c>
      <c r="O145" s="114">
        <v>14298.781022308933</v>
      </c>
      <c r="P145" s="114">
        <v>18163.66985936759</v>
      </c>
      <c r="Q145" s="114">
        <v>3401.4578380147359</v>
      </c>
      <c r="R145" s="114">
        <v>12021.111570462004</v>
      </c>
      <c r="S145" s="114">
        <v>10424.477679932708</v>
      </c>
      <c r="T145" s="114">
        <v>3474.0459842177352</v>
      </c>
      <c r="U145" s="114">
        <v>9009.7671679742434</v>
      </c>
      <c r="V145" s="114">
        <v>17802.906320994894</v>
      </c>
      <c r="W145" s="114">
        <v>1067.1261130166154</v>
      </c>
      <c r="X145" s="114">
        <v>11343.72059517112</v>
      </c>
      <c r="Y145" s="114">
        <v>10695.237577247568</v>
      </c>
      <c r="Z145" s="114">
        <v>3451.9880826839194</v>
      </c>
      <c r="AA145" s="114">
        <v>3776.3320399685185</v>
      </c>
      <c r="AB145" s="114">
        <v>18455.364866391803</v>
      </c>
      <c r="AC145" s="114">
        <v>11737.019017481007</v>
      </c>
      <c r="AD145" s="114">
        <v>8773.8763813946989</v>
      </c>
      <c r="AE145" s="114">
        <v>11687.818285102812</v>
      </c>
      <c r="AF145" s="114">
        <v>6627.8940932376445</v>
      </c>
      <c r="AG145" s="114">
        <v>19835.553082200717</v>
      </c>
      <c r="AH145" s="114">
        <v>9743.6132765510702</v>
      </c>
      <c r="AI145" s="114">
        <v>9909.3018865654176</v>
      </c>
      <c r="AJ145" s="114">
        <v>6198.3346784172791</v>
      </c>
      <c r="AK145" s="114">
        <v>6370.1154100508029</v>
      </c>
      <c r="AL145" s="114">
        <v>10685.993392066786</v>
      </c>
      <c r="AM145" s="114">
        <v>10454.644812500061</v>
      </c>
      <c r="AN145" s="114">
        <v>2455.3629831487142</v>
      </c>
      <c r="AO145" s="114">
        <v>17159.452776682549</v>
      </c>
      <c r="AP145" s="114">
        <v>16687.592372692379</v>
      </c>
      <c r="AQ145" s="114">
        <v>1846.9534259331797</v>
      </c>
      <c r="AR145" s="114">
        <v>12914.751384218562</v>
      </c>
      <c r="AS145" s="114">
        <v>10158.457674045112</v>
      </c>
      <c r="AT145" s="114">
        <v>10143.020501265453</v>
      </c>
      <c r="AU145" s="114">
        <v>2518.6996832380305</v>
      </c>
      <c r="AV145" s="114">
        <v>8293.7476472555973</v>
      </c>
      <c r="AW145" s="114">
        <v>11155.132828418324</v>
      </c>
      <c r="AX145" s="114">
        <v>3941.8991767066104</v>
      </c>
      <c r="AY145" s="114">
        <v>12605.270221382852</v>
      </c>
      <c r="AZ145" s="114">
        <v>11113.74089221246</v>
      </c>
      <c r="BA145" s="114">
        <v>11062.062528689265</v>
      </c>
      <c r="BB145" s="114">
        <v>13404.326051451924</v>
      </c>
      <c r="BC145" s="114">
        <v>3486.8556796599087</v>
      </c>
      <c r="BD145" s="114">
        <v>3465.8908509242806</v>
      </c>
      <c r="BE145" s="114">
        <v>10143.70418847196</v>
      </c>
      <c r="BF145" s="114">
        <v>1326.056912793561</v>
      </c>
      <c r="BG145" s="114">
        <v>12406.424143441094</v>
      </c>
      <c r="BH145" s="114">
        <v>3123.6471415655901</v>
      </c>
      <c r="BI145" s="114">
        <v>9598.9211264761234</v>
      </c>
      <c r="BJ145" s="114">
        <v>13064.419338995214</v>
      </c>
      <c r="BK145" s="114">
        <v>11803.980825643039</v>
      </c>
      <c r="BL145" s="114">
        <v>11163.203209231371</v>
      </c>
      <c r="BM145" s="114">
        <v>12961.87443467099</v>
      </c>
      <c r="BN145" s="114">
        <v>11827.547240767273</v>
      </c>
      <c r="BO145" s="114">
        <v>10225.90302350212</v>
      </c>
      <c r="BP145" s="114">
        <v>9606.5697887488714</v>
      </c>
      <c r="BQ145" s="114">
        <v>7249.0353608105343</v>
      </c>
      <c r="BR145" s="114">
        <v>13497.248677324322</v>
      </c>
      <c r="BS145" s="114">
        <v>11077.249459366909</v>
      </c>
      <c r="BT145" s="114">
        <v>10893.942970832351</v>
      </c>
      <c r="BU145" s="114">
        <v>10724.513813953281</v>
      </c>
      <c r="BV145" s="114">
        <v>8720.2388764295119</v>
      </c>
      <c r="BW145" s="114">
        <v>11733.011447078698</v>
      </c>
      <c r="BX145" s="114">
        <v>3160.5333792919764</v>
      </c>
      <c r="BY145" s="114">
        <v>3277.0313924247457</v>
      </c>
      <c r="BZ145" s="114">
        <v>7406.5494546412074</v>
      </c>
      <c r="CA145" s="114">
        <v>7278.0773423761111</v>
      </c>
      <c r="CB145" s="114">
        <v>2930.8966470280761</v>
      </c>
      <c r="CC145" s="114">
        <v>3421.0859992823202</v>
      </c>
      <c r="CD145" s="114">
        <v>3104.7282438534085</v>
      </c>
      <c r="CE145" s="114">
        <v>11438.359777427484</v>
      </c>
      <c r="CF145" s="114">
        <v>9654.394889870804</v>
      </c>
      <c r="CG145" s="114">
        <v>16699.213018842343</v>
      </c>
      <c r="CH145" s="114">
        <v>16771.967984064435</v>
      </c>
      <c r="CI145" s="114">
        <v>17968.735600603242</v>
      </c>
      <c r="CJ145" s="114">
        <v>14223.336448973492</v>
      </c>
      <c r="CK145" s="114">
        <v>13634.687550146076</v>
      </c>
      <c r="CL145" s="114">
        <v>9844.0262514471178</v>
      </c>
      <c r="CM145" s="114">
        <v>6597.2830414448945</v>
      </c>
      <c r="CN145" s="114">
        <v>10830.432431245907</v>
      </c>
      <c r="CO145" s="114">
        <v>10662.467690855381</v>
      </c>
      <c r="CP145" s="114">
        <v>3336.2991183916961</v>
      </c>
      <c r="CQ145" s="114">
        <v>15486.175864812481</v>
      </c>
      <c r="CR145" s="114">
        <v>12825.587325785413</v>
      </c>
      <c r="CS145" s="114">
        <v>14809.953303101154</v>
      </c>
      <c r="CT145" s="114">
        <v>12528.144345261262</v>
      </c>
      <c r="CU145" s="114">
        <v>14036.041395309281</v>
      </c>
      <c r="CV145" s="114">
        <v>15643.689188399208</v>
      </c>
      <c r="CW145" s="114">
        <v>19390.076045732709</v>
      </c>
      <c r="CX145" s="114">
        <v>11796.39555979708</v>
      </c>
      <c r="CY145" s="114">
        <v>12799.790909965965</v>
      </c>
      <c r="CZ145" s="114">
        <v>10707.031325048923</v>
      </c>
      <c r="DA145" s="114">
        <v>7627.6788862839139</v>
      </c>
      <c r="DB145" s="114">
        <v>10727.008496847151</v>
      </c>
      <c r="DC145" s="114">
        <v>10705.839867714973</v>
      </c>
      <c r="DD145" s="114">
        <v>11877.410960900992</v>
      </c>
      <c r="DE145" s="114">
        <v>10525.182800955075</v>
      </c>
      <c r="DF145" s="114">
        <v>13028.225212173769</v>
      </c>
      <c r="DG145" s="114">
        <v>11827.348358391615</v>
      </c>
      <c r="DH145" s="114">
        <v>19008.796541919062</v>
      </c>
      <c r="DI145" s="114">
        <v>16627.22511422848</v>
      </c>
      <c r="DJ145" s="114">
        <v>8126.4462295423291</v>
      </c>
      <c r="DK145" s="114">
        <v>10896.307266174041</v>
      </c>
      <c r="DL145" s="114">
        <v>13872.324273074641</v>
      </c>
      <c r="DM145" s="114">
        <v>13886.390317603327</v>
      </c>
      <c r="DN145" s="114">
        <v>4230.7326398426749</v>
      </c>
      <c r="DO145" s="114">
        <v>12179.844167149227</v>
      </c>
      <c r="DP145" s="114">
        <v>10486.340615462341</v>
      </c>
      <c r="DQ145" s="114">
        <v>16004.219407162023</v>
      </c>
      <c r="DR145" s="114">
        <v>11414.589055241131</v>
      </c>
      <c r="DS145" s="114">
        <v>8991.2030361226243</v>
      </c>
      <c r="DT145" s="114">
        <v>11304.210653198159</v>
      </c>
      <c r="DU145" s="114">
        <v>19130.956190947465</v>
      </c>
      <c r="DV145" s="114">
        <v>9909.9054224798074</v>
      </c>
      <c r="DW145" s="114">
        <v>17487.208726212401</v>
      </c>
      <c r="DX145" s="114">
        <v>10493.541698184521</v>
      </c>
      <c r="DY145" s="114">
        <v>10774.642766608393</v>
      </c>
      <c r="DZ145" s="114">
        <v>10632.004514535216</v>
      </c>
      <c r="EA145" s="114">
        <v>2861.5698502567543</v>
      </c>
      <c r="EB145" s="114">
        <v>9157.9835892197534</v>
      </c>
      <c r="EC145" s="114">
        <v>9606.5380899752836</v>
      </c>
      <c r="ED145" s="114">
        <v>16285.742169927467</v>
      </c>
      <c r="EE145" s="114">
        <v>11575.04188502647</v>
      </c>
      <c r="EF145" s="114">
        <v>11013.106908733367</v>
      </c>
      <c r="EG145" s="114">
        <v>15141.081030253672</v>
      </c>
      <c r="EH145" s="114">
        <v>15980.000970153669</v>
      </c>
      <c r="EI145" s="114">
        <v>16159.075207228838</v>
      </c>
      <c r="EJ145" s="114">
        <v>2348.2993003491069</v>
      </c>
      <c r="EK145" s="114">
        <v>2530.8247617787483</v>
      </c>
      <c r="EL145" s="114" t="s">
        <v>527</v>
      </c>
      <c r="EM145" s="114">
        <v>18048.853743215484</v>
      </c>
      <c r="EN145" s="114">
        <v>11602.201736596233</v>
      </c>
      <c r="EO145" s="114">
        <v>8989.4568647794749</v>
      </c>
      <c r="EP145" s="114">
        <v>14413.390401935805</v>
      </c>
      <c r="EQ145" s="114">
        <v>11974.668542777623</v>
      </c>
      <c r="ER145" s="114">
        <v>12637.325548846959</v>
      </c>
      <c r="ES145" s="114">
        <v>11820.615564361786</v>
      </c>
      <c r="ET145" s="114">
        <v>3617.0160031759292</v>
      </c>
      <c r="EU145" s="114">
        <v>3412.6399000086608</v>
      </c>
      <c r="EV145" s="114">
        <v>3296.202020992278</v>
      </c>
      <c r="EW145" s="114">
        <v>10867.610036998731</v>
      </c>
      <c r="EX145" s="114">
        <v>9291.0034193179799</v>
      </c>
      <c r="EY145" s="114">
        <v>13922.147355709812</v>
      </c>
      <c r="EZ145" s="114">
        <v>7200.43302909874</v>
      </c>
      <c r="FA145" s="114">
        <v>11520.311775435724</v>
      </c>
      <c r="FB145" s="114">
        <v>7407.536105704904</v>
      </c>
      <c r="FC145" s="114">
        <v>18827.64797119403</v>
      </c>
      <c r="FD145" s="114">
        <v>11297.644477402911</v>
      </c>
      <c r="FE145" s="114">
        <v>11066.299341086722</v>
      </c>
      <c r="FF145" s="114">
        <v>13558.561699873006</v>
      </c>
      <c r="FG145" s="114">
        <v>10909.437921729903</v>
      </c>
      <c r="FH145" s="114">
        <v>16355.154207928294</v>
      </c>
      <c r="FI145" s="114">
        <v>12137.758085251126</v>
      </c>
      <c r="FJ145" s="114">
        <v>9516.0345925512793</v>
      </c>
      <c r="FK145" s="114">
        <v>10005.01049043786</v>
      </c>
      <c r="FL145" s="114">
        <v>17416.596866133117</v>
      </c>
      <c r="FM145" s="114">
        <v>12405.026023465307</v>
      </c>
      <c r="FN145" s="114">
        <v>3106.5634484900756</v>
      </c>
      <c r="FO145" s="114">
        <v>11437.06418728626</v>
      </c>
      <c r="FP145" s="114">
        <v>10543.133618467751</v>
      </c>
      <c r="FQ145" s="114">
        <v>12881.463395403236</v>
      </c>
      <c r="FR145" s="114">
        <v>17584.76724950139</v>
      </c>
      <c r="FS145" s="114">
        <v>15519.0246096221</v>
      </c>
      <c r="FT145" s="114">
        <v>12667.673955318902</v>
      </c>
      <c r="FU145" s="114">
        <v>19680.79293184495</v>
      </c>
      <c r="FV145" s="114">
        <v>16673.287465287303</v>
      </c>
      <c r="FW145" s="114">
        <v>8874.9328978243338</v>
      </c>
      <c r="FX145" s="114">
        <v>3045.726442919683</v>
      </c>
      <c r="FY145" s="114">
        <v>10543.510832370854</v>
      </c>
      <c r="FZ145" s="114">
        <v>12522.8667212566</v>
      </c>
      <c r="GA145" s="114">
        <v>14670.25039545558</v>
      </c>
      <c r="GB145" s="114">
        <v>12109.788940996201</v>
      </c>
      <c r="GC145" s="114">
        <v>12255.468287700052</v>
      </c>
      <c r="GD145" s="114">
        <v>14711.25834766614</v>
      </c>
      <c r="GE145" s="114">
        <v>10163.532405468495</v>
      </c>
      <c r="GF145" s="114">
        <v>6723.46171720447</v>
      </c>
      <c r="GG145" s="114">
        <v>5869.4961069115116</v>
      </c>
      <c r="GH145" s="114">
        <v>6074.9491421181401</v>
      </c>
      <c r="GI145" s="114">
        <v>5660.6227503387381</v>
      </c>
      <c r="GJ145" s="114">
        <v>3273.3202557115487</v>
      </c>
      <c r="GK145" s="114">
        <v>15389.547178532859</v>
      </c>
      <c r="GL145" s="114">
        <v>2735.225688054727</v>
      </c>
      <c r="GM145" s="114">
        <v>18974.171158168279</v>
      </c>
      <c r="GN145" s="114">
        <v>13668.812786303086</v>
      </c>
      <c r="GO145" s="114">
        <v>11238.195693866481</v>
      </c>
      <c r="GP145" s="114">
        <v>11462.665644543427</v>
      </c>
      <c r="GQ145" s="114">
        <v>19598.457894772193</v>
      </c>
      <c r="GR145" s="114">
        <v>12868.153573118087</v>
      </c>
      <c r="GS145" s="114">
        <v>10655.302971013343</v>
      </c>
      <c r="GT145" s="115">
        <v>10875.802989490641</v>
      </c>
    </row>
    <row r="146" spans="2:202" x14ac:dyDescent="0.6">
      <c r="B146" s="106" t="s">
        <v>132</v>
      </c>
      <c r="C146" s="63" t="s">
        <v>318</v>
      </c>
      <c r="D146" s="113">
        <v>5632.3432837535956</v>
      </c>
      <c r="E146" s="114">
        <v>11403.098636438635</v>
      </c>
      <c r="F146" s="114">
        <v>11207.704859380028</v>
      </c>
      <c r="G146" s="114">
        <v>12152.789817250487</v>
      </c>
      <c r="H146" s="114">
        <v>16496.392325472807</v>
      </c>
      <c r="I146" s="114">
        <v>17577.887940289955</v>
      </c>
      <c r="J146" s="114">
        <v>7859.8609780126772</v>
      </c>
      <c r="K146" s="114">
        <v>6236.8475045397527</v>
      </c>
      <c r="L146" s="114">
        <v>9878.7907383280217</v>
      </c>
      <c r="M146" s="114">
        <v>7413.6829252387142</v>
      </c>
      <c r="N146" s="114">
        <v>15205.069741291687</v>
      </c>
      <c r="O146" s="114">
        <v>7407.3403610449914</v>
      </c>
      <c r="P146" s="114">
        <v>3377.5099632753981</v>
      </c>
      <c r="Q146" s="114">
        <v>16962.607304492947</v>
      </c>
      <c r="R146" s="114">
        <v>8965.7016792048125</v>
      </c>
      <c r="S146" s="114">
        <v>10554.244629091592</v>
      </c>
      <c r="T146" s="114">
        <v>15254.041864059334</v>
      </c>
      <c r="U146" s="114">
        <v>12865.05976264397</v>
      </c>
      <c r="V146" s="114">
        <v>3564.7211119947774</v>
      </c>
      <c r="W146" s="114">
        <v>19018.883527730781</v>
      </c>
      <c r="X146" s="114">
        <v>9903.2969492182365</v>
      </c>
      <c r="Y146" s="114">
        <v>11201.887387336841</v>
      </c>
      <c r="Z146" s="114">
        <v>18365.787429666525</v>
      </c>
      <c r="AA146" s="114">
        <v>18100.29145019496</v>
      </c>
      <c r="AB146" s="114">
        <v>1280.176374763877</v>
      </c>
      <c r="AC146" s="114">
        <v>9555.7254316869476</v>
      </c>
      <c r="AD146" s="114">
        <v>13007.22189766579</v>
      </c>
      <c r="AE146" s="114">
        <v>10290.66176192099</v>
      </c>
      <c r="AF146" s="114">
        <v>14908.722213458241</v>
      </c>
      <c r="AG146" s="114">
        <v>1820.3972022193177</v>
      </c>
      <c r="AH146" s="114">
        <v>12172.670416068491</v>
      </c>
      <c r="AI146" s="114">
        <v>12015.096920775151</v>
      </c>
      <c r="AJ146" s="114">
        <v>13230.127587058007</v>
      </c>
      <c r="AK146" s="114">
        <v>13176.741959247314</v>
      </c>
      <c r="AL146" s="114">
        <v>11246.166755083164</v>
      </c>
      <c r="AM146" s="114">
        <v>11390.853717129679</v>
      </c>
      <c r="AN146" s="114">
        <v>17624.813981166521</v>
      </c>
      <c r="AO146" s="114">
        <v>1871.1035410075126</v>
      </c>
      <c r="AP146" s="114">
        <v>2835.5639077318856</v>
      </c>
      <c r="AQ146" s="114">
        <v>17354.749599958686</v>
      </c>
      <c r="AR146" s="114">
        <v>9042.8331897032713</v>
      </c>
      <c r="AS146" s="114">
        <v>11814.911373582259</v>
      </c>
      <c r="AT146" s="114">
        <v>11829.467259613773</v>
      </c>
      <c r="AU146" s="114">
        <v>16180.457944712292</v>
      </c>
      <c r="AV146" s="114">
        <v>13568.713284589074</v>
      </c>
      <c r="AW146" s="114">
        <v>10027.50623953081</v>
      </c>
      <c r="AX146" s="114">
        <v>15141.326016734747</v>
      </c>
      <c r="AY146" s="114">
        <v>8892.6110277941079</v>
      </c>
      <c r="AZ146" s="114">
        <v>9936.8700585690767</v>
      </c>
      <c r="BA146" s="114">
        <v>9824.0318531150988</v>
      </c>
      <c r="BB146" s="114">
        <v>8513.1398631722568</v>
      </c>
      <c r="BC146" s="114">
        <v>16714.516341760424</v>
      </c>
      <c r="BD146" s="114">
        <v>16198.268405877943</v>
      </c>
      <c r="BE146" s="114">
        <v>11829.154505163957</v>
      </c>
      <c r="BF146" s="114">
        <v>17361.682213211781</v>
      </c>
      <c r="BG146" s="114">
        <v>9199.8839335259399</v>
      </c>
      <c r="BH146" s="114">
        <v>15483.500473160211</v>
      </c>
      <c r="BI146" s="114">
        <v>12319.828710579824</v>
      </c>
      <c r="BJ146" s="114">
        <v>8802.7611146406998</v>
      </c>
      <c r="BK146" s="114">
        <v>9000.7138384967311</v>
      </c>
      <c r="BL146" s="114">
        <v>10702.146536112601</v>
      </c>
      <c r="BM146" s="114">
        <v>8967.4696084883362</v>
      </c>
      <c r="BN146" s="114">
        <v>8947.9134517669354</v>
      </c>
      <c r="BO146" s="114">
        <v>10792.73614782147</v>
      </c>
      <c r="BP146" s="114">
        <v>12337.875556114564</v>
      </c>
      <c r="BQ146" s="114">
        <v>14405.532910865142</v>
      </c>
      <c r="BR146" s="114">
        <v>7837.3322304770909</v>
      </c>
      <c r="BS146" s="114">
        <v>9904.3691012045547</v>
      </c>
      <c r="BT146" s="114">
        <v>10196.784921836417</v>
      </c>
      <c r="BU146" s="114">
        <v>10294.746087142086</v>
      </c>
      <c r="BV146" s="114">
        <v>13156.338826000401</v>
      </c>
      <c r="BW146" s="114">
        <v>9682.8363710729591</v>
      </c>
      <c r="BX146" s="114">
        <v>17057.725299022306</v>
      </c>
      <c r="BY146" s="114">
        <v>15319.265363378745</v>
      </c>
      <c r="BZ146" s="114">
        <v>14347.415103006246</v>
      </c>
      <c r="CA146" s="114">
        <v>14421.123608235779</v>
      </c>
      <c r="CB146" s="114">
        <v>17689.086569187228</v>
      </c>
      <c r="CC146" s="114">
        <v>16091.519152377465</v>
      </c>
      <c r="CD146" s="114">
        <v>15588.394496213205</v>
      </c>
      <c r="CE146" s="114">
        <v>9709.88538103676</v>
      </c>
      <c r="CF146" s="114">
        <v>10724.22747394265</v>
      </c>
      <c r="CG146" s="114">
        <v>5134.9454936893781</v>
      </c>
      <c r="CH146" s="114">
        <v>4770.0068329183896</v>
      </c>
      <c r="CI146" s="114">
        <v>2790.0214727372809</v>
      </c>
      <c r="CJ146" s="114">
        <v>7260.2423970268883</v>
      </c>
      <c r="CK146" s="114">
        <v>7914.6726867882262</v>
      </c>
      <c r="CL146" s="114">
        <v>10974.198903921681</v>
      </c>
      <c r="CM146" s="114">
        <v>14289.421832583781</v>
      </c>
      <c r="CN146" s="114">
        <v>10438.808442723133</v>
      </c>
      <c r="CO146" s="114">
        <v>10486.575330123502</v>
      </c>
      <c r="CP146" s="114">
        <v>15933.352357327831</v>
      </c>
      <c r="CQ146" s="114">
        <v>3016.2721162268581</v>
      </c>
      <c r="CR146" s="114">
        <v>8755.6713550852</v>
      </c>
      <c r="CS146" s="114">
        <v>6011.1718231385812</v>
      </c>
      <c r="CT146" s="114">
        <v>9450.0017377845088</v>
      </c>
      <c r="CU146" s="114">
        <v>7602.0461303555185</v>
      </c>
      <c r="CV146" s="114">
        <v>5423.4432955681823</v>
      </c>
      <c r="CW146" s="114">
        <v>2028.9442048961539</v>
      </c>
      <c r="CX146" s="114">
        <v>9092.7658904159307</v>
      </c>
      <c r="CY146" s="114">
        <v>8737.3780068218439</v>
      </c>
      <c r="CZ146" s="114">
        <v>11133.56193428911</v>
      </c>
      <c r="DA146" s="114">
        <v>14194.730538091871</v>
      </c>
      <c r="DB146" s="114">
        <v>10760.61885320458</v>
      </c>
      <c r="DC146" s="114">
        <v>10400.594033980093</v>
      </c>
      <c r="DD146" s="114">
        <v>9080.1284539726639</v>
      </c>
      <c r="DE146" s="114">
        <v>10498.051166900441</v>
      </c>
      <c r="DF146" s="114">
        <v>8862.4889771140734</v>
      </c>
      <c r="DG146" s="114">
        <v>10131.768232349557</v>
      </c>
      <c r="DH146" s="114">
        <v>2490.8694792557994</v>
      </c>
      <c r="DI146" s="114">
        <v>5352.3580224595134</v>
      </c>
      <c r="DJ146" s="114">
        <v>13615.526619509887</v>
      </c>
      <c r="DK146" s="114">
        <v>10529.235417447564</v>
      </c>
      <c r="DL146" s="114">
        <v>7948.7968290312501</v>
      </c>
      <c r="DM146" s="114">
        <v>7932.5616190427236</v>
      </c>
      <c r="DN146" s="114">
        <v>14251.013854952243</v>
      </c>
      <c r="DO146" s="114">
        <v>9001.2488030593686</v>
      </c>
      <c r="DP146" s="114">
        <v>10696.667888535971</v>
      </c>
      <c r="DQ146" s="114">
        <v>3946.7471873283748</v>
      </c>
      <c r="DR146" s="114">
        <v>9864.636138400163</v>
      </c>
      <c r="DS146" s="114">
        <v>12308.481572637425</v>
      </c>
      <c r="DT146" s="114">
        <v>10564.130354206656</v>
      </c>
      <c r="DU146" s="114">
        <v>2666.3954345206485</v>
      </c>
      <c r="DV146" s="114">
        <v>12020.192942339057</v>
      </c>
      <c r="DW146" s="114">
        <v>3973.0111592162893</v>
      </c>
      <c r="DX146" s="114">
        <v>10439.529206839488</v>
      </c>
      <c r="DY146" s="114">
        <v>8007.3390508267657</v>
      </c>
      <c r="DZ146" s="114">
        <v>8260.4341784965163</v>
      </c>
      <c r="EA146" s="114">
        <v>15815.50785331187</v>
      </c>
      <c r="EB146" s="114">
        <v>12623.008925075503</v>
      </c>
      <c r="EC146" s="114">
        <v>12251.993512099385</v>
      </c>
      <c r="ED146" s="114">
        <v>2777.5028690833674</v>
      </c>
      <c r="EE146" s="114">
        <v>9722.7676920514405</v>
      </c>
      <c r="EF146" s="114">
        <v>9739.3537958003908</v>
      </c>
      <c r="EG146" s="114">
        <v>6618.0811118535603</v>
      </c>
      <c r="EH146" s="114">
        <v>5729.7514715783045</v>
      </c>
      <c r="EI146" s="114">
        <v>5252.0656977693461</v>
      </c>
      <c r="EJ146" s="114">
        <v>16586.116635850154</v>
      </c>
      <c r="EK146" s="114">
        <v>18812.126005783088</v>
      </c>
      <c r="EL146" s="114">
        <v>18048.853743215484</v>
      </c>
      <c r="EM146" s="114" t="s">
        <v>237</v>
      </c>
      <c r="EN146" s="114">
        <v>9413.7452132772596</v>
      </c>
      <c r="EO146" s="114">
        <v>12178.906683942721</v>
      </c>
      <c r="EP146" s="114">
        <v>7311.9855749271092</v>
      </c>
      <c r="EQ146" s="114">
        <v>9277.398931415979</v>
      </c>
      <c r="ER146" s="114">
        <v>8276.4216195055287</v>
      </c>
      <c r="ES146" s="114">
        <v>10154.868067014804</v>
      </c>
      <c r="ET146" s="114">
        <v>16484.541276426116</v>
      </c>
      <c r="EU146" s="114">
        <v>16850.147539693236</v>
      </c>
      <c r="EV146" s="114">
        <v>16948.495981052914</v>
      </c>
      <c r="EW146" s="114">
        <v>10350.004277012415</v>
      </c>
      <c r="EX146" s="114">
        <v>12649.640454057042</v>
      </c>
      <c r="EY146" s="114">
        <v>7815.6683823772601</v>
      </c>
      <c r="EZ146" s="114">
        <v>14423.455182140759</v>
      </c>
      <c r="FA146" s="114">
        <v>9708.8116432305069</v>
      </c>
      <c r="FB146" s="114">
        <v>14365.566098166031</v>
      </c>
      <c r="FC146" s="114">
        <v>2380.9647878213573</v>
      </c>
      <c r="FD146" s="114">
        <v>9820.322677355136</v>
      </c>
      <c r="FE146" s="114">
        <v>10095.822191635774</v>
      </c>
      <c r="FF146" s="114">
        <v>8417.2016909777103</v>
      </c>
      <c r="FG146" s="114">
        <v>10971.811996233766</v>
      </c>
      <c r="FH146" s="114">
        <v>2604.9086026605123</v>
      </c>
      <c r="FI146" s="114">
        <v>9811.05158092483</v>
      </c>
      <c r="FJ146" s="114">
        <v>11666.780822860084</v>
      </c>
      <c r="FK146" s="114">
        <v>11199.351293887001</v>
      </c>
      <c r="FL146" s="114">
        <v>4564.6532391644369</v>
      </c>
      <c r="FM146" s="114">
        <v>9448.2531136870548</v>
      </c>
      <c r="FN146" s="114">
        <v>17760.890237003514</v>
      </c>
      <c r="FO146" s="114">
        <v>9354.6361627750066</v>
      </c>
      <c r="FP146" s="114">
        <v>10564.155455111724</v>
      </c>
      <c r="FQ146" s="114">
        <v>8662.0330420004957</v>
      </c>
      <c r="FR146" s="114">
        <v>1183.8101092116021</v>
      </c>
      <c r="FS146" s="114">
        <v>5774.8235664822259</v>
      </c>
      <c r="FT146" s="114">
        <v>9310.678176623831</v>
      </c>
      <c r="FU146" s="114">
        <v>2235.8446758979553</v>
      </c>
      <c r="FV146" s="114">
        <v>2567.2061278867432</v>
      </c>
      <c r="FW146" s="114">
        <v>12997.441714718467</v>
      </c>
      <c r="FX146" s="114">
        <v>17215.489692241477</v>
      </c>
      <c r="FY146" s="114">
        <v>10836.219880012919</v>
      </c>
      <c r="FZ146" s="114">
        <v>8864.2826390558985</v>
      </c>
      <c r="GA146" s="114">
        <v>6718.1579178426882</v>
      </c>
      <c r="GB146" s="114">
        <v>9862.0010118555965</v>
      </c>
      <c r="GC146" s="114">
        <v>8831.3664611932527</v>
      </c>
      <c r="GD146" s="114">
        <v>7031.2241327603106</v>
      </c>
      <c r="GE146" s="114">
        <v>10759.173833691744</v>
      </c>
      <c r="GF146" s="114">
        <v>11756.835919621293</v>
      </c>
      <c r="GG146" s="114">
        <v>13694.366921035935</v>
      </c>
      <c r="GH146" s="114">
        <v>13584.077130744183</v>
      </c>
      <c r="GI146" s="114">
        <v>13798.632777905956</v>
      </c>
      <c r="GJ146" s="114">
        <v>17761.323306700117</v>
      </c>
      <c r="GK146" s="114">
        <v>5799.6687184239945</v>
      </c>
      <c r="GL146" s="114">
        <v>17145.19906710344</v>
      </c>
      <c r="GM146" s="114">
        <v>1799.0212240314115</v>
      </c>
      <c r="GN146" s="114">
        <v>8205.8803473509743</v>
      </c>
      <c r="GO146" s="114">
        <v>10721.523582082329</v>
      </c>
      <c r="GP146" s="114">
        <v>10480.515377181713</v>
      </c>
      <c r="GQ146" s="114">
        <v>1608.879789723354</v>
      </c>
      <c r="GR146" s="114">
        <v>6261.9567113535149</v>
      </c>
      <c r="GS146" s="114">
        <v>10438.343772226657</v>
      </c>
      <c r="GT146" s="115">
        <v>10997.540740729797</v>
      </c>
    </row>
    <row r="147" spans="2:202" x14ac:dyDescent="0.6">
      <c r="B147" s="106" t="s">
        <v>133</v>
      </c>
      <c r="C147" s="63" t="s">
        <v>336</v>
      </c>
      <c r="D147" s="113">
        <v>4273.8373953182509</v>
      </c>
      <c r="E147" s="114">
        <v>2242.6787349764236</v>
      </c>
      <c r="F147" s="114">
        <v>1834.454740758644</v>
      </c>
      <c r="G147" s="114">
        <v>6783.2655848490822</v>
      </c>
      <c r="H147" s="114">
        <v>8029.556993565925</v>
      </c>
      <c r="I147" s="114">
        <v>12559.584294204202</v>
      </c>
      <c r="J147" s="114">
        <v>2223.5458166421167</v>
      </c>
      <c r="K147" s="114">
        <v>15582.311796717671</v>
      </c>
      <c r="L147" s="114">
        <v>560.93307634108839</v>
      </c>
      <c r="M147" s="114">
        <v>2537.1647671266714</v>
      </c>
      <c r="N147" s="114">
        <v>8365.3150690921648</v>
      </c>
      <c r="O147" s="114">
        <v>3791.9835698865954</v>
      </c>
      <c r="P147" s="114">
        <v>6573.0050278013878</v>
      </c>
      <c r="Q147" s="114">
        <v>8206.0707009698708</v>
      </c>
      <c r="R147" s="114">
        <v>450.44266825837275</v>
      </c>
      <c r="S147" s="114">
        <v>1177.8799619352358</v>
      </c>
      <c r="T147" s="114">
        <v>9756.9096612810699</v>
      </c>
      <c r="U147" s="114">
        <v>5380.2978272281853</v>
      </c>
      <c r="V147" s="114">
        <v>6201.2117928884554</v>
      </c>
      <c r="W147" s="114">
        <v>11361.859297714052</v>
      </c>
      <c r="X147" s="114">
        <v>978.80774583380105</v>
      </c>
      <c r="Y147" s="114">
        <v>8526.9416869165761</v>
      </c>
      <c r="Z147" s="114">
        <v>10654.717616694459</v>
      </c>
      <c r="AA147" s="114">
        <v>10395.877895344092</v>
      </c>
      <c r="AB147" s="114">
        <v>9883.1583542384124</v>
      </c>
      <c r="AC147" s="114">
        <v>1088.944253898183</v>
      </c>
      <c r="AD147" s="114">
        <v>4873.7857273834907</v>
      </c>
      <c r="AE147" s="114">
        <v>6196.1722860470745</v>
      </c>
      <c r="AF147" s="114">
        <v>5676.6492154889002</v>
      </c>
      <c r="AG147" s="114">
        <v>8573.2976290447441</v>
      </c>
      <c r="AH147" s="114">
        <v>5447.2903845274286</v>
      </c>
      <c r="AI147" s="114">
        <v>5480.6441552576825</v>
      </c>
      <c r="AJ147" s="114">
        <v>6924.2867524938119</v>
      </c>
      <c r="AK147" s="114">
        <v>6579.2645483294673</v>
      </c>
      <c r="AL147" s="114">
        <v>5331.8562200207753</v>
      </c>
      <c r="AM147" s="114">
        <v>4488.173638076476</v>
      </c>
      <c r="AN147" s="114">
        <v>12947.497251583889</v>
      </c>
      <c r="AO147" s="114">
        <v>7973.2674865913259</v>
      </c>
      <c r="AP147" s="114">
        <v>6963.9918721730064</v>
      </c>
      <c r="AQ147" s="114">
        <v>9966.8380296054092</v>
      </c>
      <c r="AR147" s="114">
        <v>7376.8721135241276</v>
      </c>
      <c r="AS147" s="114">
        <v>6300.7937470166034</v>
      </c>
      <c r="AT147" s="114">
        <v>6276.0403590413125</v>
      </c>
      <c r="AU147" s="114">
        <v>10172.666652255264</v>
      </c>
      <c r="AV147" s="114">
        <v>5686.9406007594998</v>
      </c>
      <c r="AW147" s="114">
        <v>836.69673113552187</v>
      </c>
      <c r="AX147" s="114">
        <v>8852.4732987958305</v>
      </c>
      <c r="AY147" s="114">
        <v>2128.35117111608</v>
      </c>
      <c r="AZ147" s="114">
        <v>526.70883526403736</v>
      </c>
      <c r="BA147" s="114">
        <v>675.23666043545552</v>
      </c>
      <c r="BB147" s="114">
        <v>4947.1179156856806</v>
      </c>
      <c r="BC147" s="114">
        <v>8153.2434911062137</v>
      </c>
      <c r="BD147" s="114">
        <v>8451.1820904741162</v>
      </c>
      <c r="BE147" s="114">
        <v>6287.9868476787842</v>
      </c>
      <c r="BF147" s="114">
        <v>10657.23021707959</v>
      </c>
      <c r="BG147" s="114">
        <v>2596.5066219695527</v>
      </c>
      <c r="BH147" s="114">
        <v>10149.47978801454</v>
      </c>
      <c r="BI147" s="114">
        <v>5535.1602963413443</v>
      </c>
      <c r="BJ147" s="114">
        <v>4391.5403781637078</v>
      </c>
      <c r="BK147" s="114">
        <v>817.72843824492509</v>
      </c>
      <c r="BL147" s="114">
        <v>8762.7304038798575</v>
      </c>
      <c r="BM147" s="114">
        <v>5047.5030719911674</v>
      </c>
      <c r="BN147" s="114">
        <v>925.64359693633992</v>
      </c>
      <c r="BO147" s="114">
        <v>1390.0380014074944</v>
      </c>
      <c r="BP147" s="114">
        <v>5872.132263660772</v>
      </c>
      <c r="BQ147" s="114">
        <v>5449.3659093509077</v>
      </c>
      <c r="BR147" s="114">
        <v>2133.7307820916003</v>
      </c>
      <c r="BS147" s="114">
        <v>528.08664165866696</v>
      </c>
      <c r="BT147" s="114">
        <v>803.98451760527132</v>
      </c>
      <c r="BU147" s="114">
        <v>887.35071097189746</v>
      </c>
      <c r="BV147" s="114">
        <v>5549.8534763401321</v>
      </c>
      <c r="BW147" s="114">
        <v>1629.2171411546308</v>
      </c>
      <c r="BX147" s="114">
        <v>8459.0760233366309</v>
      </c>
      <c r="BY147" s="114">
        <v>10127.919243473325</v>
      </c>
      <c r="BZ147" s="114">
        <v>5691.8436805351848</v>
      </c>
      <c r="CA147" s="114">
        <v>5577.3910044449512</v>
      </c>
      <c r="CB147" s="114">
        <v>8695.4931329652936</v>
      </c>
      <c r="CC147" s="114">
        <v>8616.1702738581771</v>
      </c>
      <c r="CD147" s="114">
        <v>9967.8035000782547</v>
      </c>
      <c r="CE147" s="114">
        <v>556.09346229884545</v>
      </c>
      <c r="CF147" s="114">
        <v>2760.5060336605134</v>
      </c>
      <c r="CG147" s="114">
        <v>5778.7546691223997</v>
      </c>
      <c r="CH147" s="114">
        <v>5277.1371520301773</v>
      </c>
      <c r="CI147" s="114">
        <v>10229.263446747791</v>
      </c>
      <c r="CJ147" s="114">
        <v>3022.612905545072</v>
      </c>
      <c r="CK147" s="114">
        <v>2814.099992516783</v>
      </c>
      <c r="CL147" s="114">
        <v>1823.5931994295358</v>
      </c>
      <c r="CM147" s="114">
        <v>5011.9341759018653</v>
      </c>
      <c r="CN147" s="114">
        <v>1348.9417879138398</v>
      </c>
      <c r="CO147" s="114">
        <v>1136.6803659935515</v>
      </c>
      <c r="CP147" s="114">
        <v>8933.8278550595442</v>
      </c>
      <c r="CQ147" s="114">
        <v>8590.746366309424</v>
      </c>
      <c r="CR147" s="114">
        <v>2572.2006710304722</v>
      </c>
      <c r="CS147" s="114">
        <v>3404.4992658716469</v>
      </c>
      <c r="CT147" s="114">
        <v>6101.8325756697941</v>
      </c>
      <c r="CU147" s="114">
        <v>3370.2652321143873</v>
      </c>
      <c r="CV147" s="114">
        <v>4067.6175571254507</v>
      </c>
      <c r="CW147" s="114">
        <v>7885.5404555718515</v>
      </c>
      <c r="CX147" s="114">
        <v>528.31368543158237</v>
      </c>
      <c r="CY147" s="114">
        <v>2364.9453098507402</v>
      </c>
      <c r="CZ147" s="114">
        <v>9062.1149736646512</v>
      </c>
      <c r="DA147" s="114">
        <v>5863.7362653775917</v>
      </c>
      <c r="DB147" s="114">
        <v>2275.8659512572585</v>
      </c>
      <c r="DC147" s="114">
        <v>1010.5151952429454</v>
      </c>
      <c r="DD147" s="114">
        <v>374.43195077782428</v>
      </c>
      <c r="DE147" s="114">
        <v>1090.7031927473233</v>
      </c>
      <c r="DF147" s="114">
        <v>8262.0766875988083</v>
      </c>
      <c r="DG147" s="114">
        <v>7451.0450546614511</v>
      </c>
      <c r="DH147" s="114">
        <v>9081.9074078303129</v>
      </c>
      <c r="DI147" s="114">
        <v>7177.654905291316</v>
      </c>
      <c r="DJ147" s="114">
        <v>5107.7457304502259</v>
      </c>
      <c r="DK147" s="114">
        <v>1919.1587670155172</v>
      </c>
      <c r="DL147" s="114">
        <v>8768.1139284574529</v>
      </c>
      <c r="DM147" s="114">
        <v>8782.2133142380753</v>
      </c>
      <c r="DN147" s="114">
        <v>10205.902885210446</v>
      </c>
      <c r="DO147" s="114">
        <v>802.64464754444339</v>
      </c>
      <c r="DP147" s="114">
        <v>1371.9704132356082</v>
      </c>
      <c r="DQ147" s="114">
        <v>5785.9016567582175</v>
      </c>
      <c r="DR147" s="114">
        <v>1085.2140147126979</v>
      </c>
      <c r="DS147" s="114">
        <v>2994.3594646875131</v>
      </c>
      <c r="DT147" s="114">
        <v>8711.1105745530058</v>
      </c>
      <c r="DU147" s="114">
        <v>7565.8692144267452</v>
      </c>
      <c r="DV147" s="114">
        <v>8290.7591898558803</v>
      </c>
      <c r="DW147" s="114">
        <v>5899.8982500073071</v>
      </c>
      <c r="DX147" s="114">
        <v>1119.9294217936283</v>
      </c>
      <c r="DY147" s="114">
        <v>17355.751785379111</v>
      </c>
      <c r="DZ147" s="114">
        <v>17668.462175773664</v>
      </c>
      <c r="EA147" s="114">
        <v>10087.726428025644</v>
      </c>
      <c r="EB147" s="114">
        <v>4639.7492008815516</v>
      </c>
      <c r="EC147" s="114">
        <v>4948.6051408273361</v>
      </c>
      <c r="ED147" s="114">
        <v>7523.6912581622237</v>
      </c>
      <c r="EE147" s="114">
        <v>1125.4629249912539</v>
      </c>
      <c r="EF147" s="114">
        <v>1053.2003318435659</v>
      </c>
      <c r="EG147" s="114">
        <v>4497.2504813031155</v>
      </c>
      <c r="EH147" s="114">
        <v>4899.0024635787613</v>
      </c>
      <c r="EI147" s="114">
        <v>4610.6296533585974</v>
      </c>
      <c r="EJ147" s="114">
        <v>9908.1482486107088</v>
      </c>
      <c r="EK147" s="114">
        <v>11434.672396964383</v>
      </c>
      <c r="EL147" s="114">
        <v>11602.201736596233</v>
      </c>
      <c r="EM147" s="114">
        <v>9413.7452132772596</v>
      </c>
      <c r="EN147" s="114" t="s">
        <v>237</v>
      </c>
      <c r="EO147" s="114">
        <v>2774.6831455998627</v>
      </c>
      <c r="EP147" s="114">
        <v>3937.5703036832997</v>
      </c>
      <c r="EQ147" s="114">
        <v>951.63939224474598</v>
      </c>
      <c r="ER147" s="114">
        <v>1156.4247827338475</v>
      </c>
      <c r="ES147" s="114">
        <v>6033.42279593276</v>
      </c>
      <c r="ET147" s="114">
        <v>8065.3724528105749</v>
      </c>
      <c r="EU147" s="114">
        <v>8209.7589647350724</v>
      </c>
      <c r="EV147" s="114">
        <v>8324.587075525571</v>
      </c>
      <c r="EW147" s="114">
        <v>1152.2634019289628</v>
      </c>
      <c r="EX147" s="114">
        <v>5944.3576344559324</v>
      </c>
      <c r="EY147" s="114">
        <v>3756.9263471270583</v>
      </c>
      <c r="EZ147" s="114">
        <v>5395.4803580340304</v>
      </c>
      <c r="FA147" s="114">
        <v>849.6863691885045</v>
      </c>
      <c r="FB147" s="114">
        <v>5775.0474052125373</v>
      </c>
      <c r="FC147" s="114">
        <v>9399.2475828846545</v>
      </c>
      <c r="FD147" s="114">
        <v>528.33982327530452</v>
      </c>
      <c r="FE147" s="114">
        <v>832.62129387478046</v>
      </c>
      <c r="FF147" s="114">
        <v>6009.2707952168212</v>
      </c>
      <c r="FG147" s="114">
        <v>8653.2651005352473</v>
      </c>
      <c r="FH147" s="114">
        <v>7743.0544924924297</v>
      </c>
      <c r="FI147" s="114">
        <v>5346.740325724496</v>
      </c>
      <c r="FJ147" s="114">
        <v>2281.4502815501678</v>
      </c>
      <c r="FK147" s="114">
        <v>1856.8802342855067</v>
      </c>
      <c r="FL147" s="114">
        <v>7313.7737173179657</v>
      </c>
      <c r="FM147" s="114">
        <v>4215.7511651515333</v>
      </c>
      <c r="FN147" s="114">
        <v>8578.3479889600967</v>
      </c>
      <c r="FO147" s="114">
        <v>807.70838323223484</v>
      </c>
      <c r="FP147" s="114">
        <v>1167.5921788618477</v>
      </c>
      <c r="FQ147" s="114">
        <v>2422.4671455118028</v>
      </c>
      <c r="FR147" s="114">
        <v>8515.5900789513726</v>
      </c>
      <c r="FS147" s="114">
        <v>3937.2911001360226</v>
      </c>
      <c r="FT147" s="114">
        <v>6780.4479426329181</v>
      </c>
      <c r="FU147" s="114">
        <v>8103.2944815055798</v>
      </c>
      <c r="FV147" s="114">
        <v>11708.744095188358</v>
      </c>
      <c r="FW147" s="114">
        <v>5431.5626694520406</v>
      </c>
      <c r="FX147" s="114">
        <v>8563.7770421662808</v>
      </c>
      <c r="FY147" s="114">
        <v>1937.0310556496149</v>
      </c>
      <c r="FZ147" s="114">
        <v>1653.6521519114378</v>
      </c>
      <c r="GA147" s="114">
        <v>3221.4608997993369</v>
      </c>
      <c r="GB147" s="114">
        <v>5870.0955207681172</v>
      </c>
      <c r="GC147" s="114">
        <v>677.0906719202593</v>
      </c>
      <c r="GD147" s="114">
        <v>4176.3878763779767</v>
      </c>
      <c r="GE147" s="114">
        <v>1446.6702546676429</v>
      </c>
      <c r="GF147" s="114">
        <v>9645.7470132378985</v>
      </c>
      <c r="GG147" s="114">
        <v>6859.1869537166649</v>
      </c>
      <c r="GH147" s="114">
        <v>6556.3574383286905</v>
      </c>
      <c r="GI147" s="114">
        <v>7181.6937119128615</v>
      </c>
      <c r="GJ147" s="114">
        <v>12178.950117743032</v>
      </c>
      <c r="GK147" s="114">
        <v>3787.4765756716351</v>
      </c>
      <c r="GL147" s="114">
        <v>8938.7968489289869</v>
      </c>
      <c r="GM147" s="114">
        <v>7807.8241131179711</v>
      </c>
      <c r="GN147" s="114">
        <v>4572.5234060568382</v>
      </c>
      <c r="GO147" s="114">
        <v>7527.4816410683788</v>
      </c>
      <c r="GP147" s="114">
        <v>7795.3514637070057</v>
      </c>
      <c r="GQ147" s="114">
        <v>8762.4823204095119</v>
      </c>
      <c r="GR147" s="114">
        <v>15554.686940295533</v>
      </c>
      <c r="GS147" s="114">
        <v>1037.3737094088822</v>
      </c>
      <c r="GT147" s="115">
        <v>8736.8554991926576</v>
      </c>
    </row>
    <row r="148" spans="2:202" x14ac:dyDescent="0.6">
      <c r="B148" s="106" t="s">
        <v>134</v>
      </c>
      <c r="C148" s="63" t="s">
        <v>314</v>
      </c>
      <c r="D148" s="113">
        <v>6801.2696984765544</v>
      </c>
      <c r="E148" s="114">
        <v>1097.49902396009</v>
      </c>
      <c r="F148" s="114">
        <v>982.14600924289402</v>
      </c>
      <c r="G148" s="114">
        <v>5703.6489718418243</v>
      </c>
      <c r="H148" s="114">
        <v>5613.8858648601772</v>
      </c>
      <c r="I148" s="114">
        <v>9814.2465020543023</v>
      </c>
      <c r="J148" s="114">
        <v>4531.7830931850576</v>
      </c>
      <c r="K148" s="114">
        <v>18162.088888909748</v>
      </c>
      <c r="L148" s="114">
        <v>2301.4841812962554</v>
      </c>
      <c r="M148" s="114">
        <v>4953.3728169795404</v>
      </c>
      <c r="N148" s="114">
        <v>6464.7997489461968</v>
      </c>
      <c r="O148" s="114">
        <v>5652.7177113173557</v>
      </c>
      <c r="P148" s="114">
        <v>9175.8140754032847</v>
      </c>
      <c r="Q148" s="114">
        <v>5674.5806310626167</v>
      </c>
      <c r="R148" s="114">
        <v>3225.0401040073325</v>
      </c>
      <c r="S148" s="114">
        <v>1704.2053961964507</v>
      </c>
      <c r="T148" s="114">
        <v>7906.6789979972646</v>
      </c>
      <c r="U148" s="114">
        <v>3762.8320363262828</v>
      </c>
      <c r="V148" s="114">
        <v>8844.0304122961024</v>
      </c>
      <c r="W148" s="114">
        <v>8632.6945568908177</v>
      </c>
      <c r="X148" s="114">
        <v>2354.4286975714699</v>
      </c>
      <c r="Y148" s="114">
        <v>7869.1801439117335</v>
      </c>
      <c r="Z148" s="114">
        <v>7924.7365456911857</v>
      </c>
      <c r="AA148" s="114">
        <v>7689.1663975115571</v>
      </c>
      <c r="AB148" s="114">
        <v>12552.420800016067</v>
      </c>
      <c r="AC148" s="114">
        <v>2753.141116311398</v>
      </c>
      <c r="AD148" s="114">
        <v>3021.4976981416248</v>
      </c>
      <c r="AE148" s="114">
        <v>6066.9310772427352</v>
      </c>
      <c r="AF148" s="114">
        <v>2952.8064608288496</v>
      </c>
      <c r="AG148" s="114">
        <v>11196.036348909849</v>
      </c>
      <c r="AH148" s="114">
        <v>4270.0378234995424</v>
      </c>
      <c r="AI148" s="114">
        <v>4401.7769679010917</v>
      </c>
      <c r="AJ148" s="114">
        <v>5744.6947351287481</v>
      </c>
      <c r="AK148" s="114">
        <v>5390.3283444458812</v>
      </c>
      <c r="AL148" s="114">
        <v>4707.5301159620885</v>
      </c>
      <c r="AM148" s="114">
        <v>3749.301588053544</v>
      </c>
      <c r="AN148" s="114">
        <v>10172.869322286286</v>
      </c>
      <c r="AO148" s="114">
        <v>10732.405242810761</v>
      </c>
      <c r="AP148" s="114">
        <v>9710.5562766822532</v>
      </c>
      <c r="AQ148" s="114">
        <v>7535.0072095258683</v>
      </c>
      <c r="AR148" s="114">
        <v>7748.0806529378442</v>
      </c>
      <c r="AS148" s="114">
        <v>5376.9715547257729</v>
      </c>
      <c r="AT148" s="114">
        <v>5343.8650607886775</v>
      </c>
      <c r="AU148" s="114">
        <v>8038.8844585801853</v>
      </c>
      <c r="AV148" s="114">
        <v>3713.2956147831778</v>
      </c>
      <c r="AW148" s="114">
        <v>2176.4696842640956</v>
      </c>
      <c r="AX148" s="114">
        <v>7013.1141412322049</v>
      </c>
      <c r="AY148" s="114">
        <v>3757.6580606834095</v>
      </c>
      <c r="AZ148" s="114">
        <v>2248.3706818680766</v>
      </c>
      <c r="BA148" s="114">
        <v>2473.466334676727</v>
      </c>
      <c r="BB148" s="114">
        <v>5906.5535851736304</v>
      </c>
      <c r="BC148" s="114">
        <v>5690.3120647203496</v>
      </c>
      <c r="BD148" s="114">
        <v>6208.9759247404791</v>
      </c>
      <c r="BE148" s="114">
        <v>5356.3336410782158</v>
      </c>
      <c r="BF148" s="114">
        <v>8226.3463357220044</v>
      </c>
      <c r="BG148" s="114">
        <v>3784.5830724365533</v>
      </c>
      <c r="BH148" s="114">
        <v>8223.6442055060743</v>
      </c>
      <c r="BI148" s="114">
        <v>4278.5831973679051</v>
      </c>
      <c r="BJ148" s="114">
        <v>5311.1624750550809</v>
      </c>
      <c r="BK148" s="114">
        <v>3311.6941139548335</v>
      </c>
      <c r="BL148" s="114">
        <v>8310.8617899596811</v>
      </c>
      <c r="BM148" s="114">
        <v>5747.0625705573548</v>
      </c>
      <c r="BN148" s="114">
        <v>3389.6187746972441</v>
      </c>
      <c r="BO148" s="114">
        <v>1441.8356165458054</v>
      </c>
      <c r="BP148" s="114">
        <v>4640.07605644048</v>
      </c>
      <c r="BQ148" s="114">
        <v>2886.7386603128684</v>
      </c>
      <c r="BR148" s="114">
        <v>4509.4802641818951</v>
      </c>
      <c r="BS148" s="114">
        <v>2313.1688791028664</v>
      </c>
      <c r="BT148" s="114">
        <v>1982.7461381118258</v>
      </c>
      <c r="BU148" s="114">
        <v>1913.1517915908837</v>
      </c>
      <c r="BV148" s="114">
        <v>3788.8488312053964</v>
      </c>
      <c r="BW148" s="114">
        <v>2839.6377259225064</v>
      </c>
      <c r="BX148" s="114">
        <v>5950.282242590888</v>
      </c>
      <c r="BY148" s="114">
        <v>8254.6153494225146</v>
      </c>
      <c r="BZ148" s="114">
        <v>3268.6743005731005</v>
      </c>
      <c r="CA148" s="114">
        <v>3064.4468634959871</v>
      </c>
      <c r="CB148" s="114">
        <v>6059.0152711338005</v>
      </c>
      <c r="CC148" s="114">
        <v>6429.8917061146458</v>
      </c>
      <c r="CD148" s="114">
        <v>8010.4129587293946</v>
      </c>
      <c r="CE148" s="114">
        <v>2480.1178471496869</v>
      </c>
      <c r="CF148" s="114">
        <v>2971.971225252491</v>
      </c>
      <c r="CG148" s="114">
        <v>8023.9784799831996</v>
      </c>
      <c r="CH148" s="114">
        <v>7793.2406059927571</v>
      </c>
      <c r="CI148" s="114">
        <v>12638.487126051848</v>
      </c>
      <c r="CJ148" s="114">
        <v>5281.4802555521192</v>
      </c>
      <c r="CK148" s="114">
        <v>4783.3434251188664</v>
      </c>
      <c r="CL148" s="114">
        <v>1660.0201097546833</v>
      </c>
      <c r="CM148" s="114">
        <v>2471.4929183611503</v>
      </c>
      <c r="CN148" s="114">
        <v>1850.250950985893</v>
      </c>
      <c r="CO148" s="114">
        <v>1698.0421356830159</v>
      </c>
      <c r="CP148" s="114">
        <v>6829.6318625889153</v>
      </c>
      <c r="CQ148" s="114">
        <v>11174.925795032346</v>
      </c>
      <c r="CR148" s="114">
        <v>4094.7636528309035</v>
      </c>
      <c r="CS148" s="114">
        <v>6177.0379650870473</v>
      </c>
      <c r="CT148" s="114">
        <v>6406.8246950987614</v>
      </c>
      <c r="CU148" s="114">
        <v>5284.8331840357041</v>
      </c>
      <c r="CV148" s="114">
        <v>6782.2755754604768</v>
      </c>
      <c r="CW148" s="114">
        <v>10548.6377049572</v>
      </c>
      <c r="CX148" s="114">
        <v>3153.0650385147255</v>
      </c>
      <c r="CY148" s="114">
        <v>3994.5059152662111</v>
      </c>
      <c r="CZ148" s="114">
        <v>8413.4485046479513</v>
      </c>
      <c r="DA148" s="114">
        <v>3587.582689139806</v>
      </c>
      <c r="DB148" s="114">
        <v>2107.3656083424512</v>
      </c>
      <c r="DC148" s="114">
        <v>1778.3787979143503</v>
      </c>
      <c r="DD148" s="114">
        <v>3124.3042874651042</v>
      </c>
      <c r="DE148" s="114">
        <v>1715.4353422834847</v>
      </c>
      <c r="DF148" s="114">
        <v>8638.4673263772474</v>
      </c>
      <c r="DG148" s="114">
        <v>7320.082764669829</v>
      </c>
      <c r="DH148" s="114">
        <v>11554.825849949824</v>
      </c>
      <c r="DI148" s="114">
        <v>9067.6907450411982</v>
      </c>
      <c r="DJ148" s="114">
        <v>2904.019505564082</v>
      </c>
      <c r="DK148" s="114">
        <v>2098.1569533616771</v>
      </c>
      <c r="DL148" s="114">
        <v>9490.909212380604</v>
      </c>
      <c r="DM148" s="114">
        <v>9510.6474895335286</v>
      </c>
      <c r="DN148" s="114">
        <v>8696.2978993772431</v>
      </c>
      <c r="DO148" s="114">
        <v>3209.9134391966641</v>
      </c>
      <c r="DP148" s="114">
        <v>1502.6241179571912</v>
      </c>
      <c r="DQ148" s="114">
        <v>8522.9893744167184</v>
      </c>
      <c r="DR148" s="114">
        <v>2430.1855692341437</v>
      </c>
      <c r="DS148" s="114">
        <v>529.40023857850736</v>
      </c>
      <c r="DT148" s="114">
        <v>8321.1657975772087</v>
      </c>
      <c r="DU148" s="114">
        <v>10149.646468063263</v>
      </c>
      <c r="DV148" s="114">
        <v>7286.7022110987682</v>
      </c>
      <c r="DW148" s="114">
        <v>8500.6215601030417</v>
      </c>
      <c r="DX148" s="114">
        <v>1862.7981315962691</v>
      </c>
      <c r="DY148" s="114">
        <v>19633.378239985599</v>
      </c>
      <c r="DZ148" s="114">
        <v>19585.908020584106</v>
      </c>
      <c r="EA148" s="114">
        <v>8060.4147062534394</v>
      </c>
      <c r="EB148" s="114">
        <v>3005.4584442327382</v>
      </c>
      <c r="EC148" s="114">
        <v>3654.8534914774496</v>
      </c>
      <c r="ED148" s="114">
        <v>10221.868363056914</v>
      </c>
      <c r="EE148" s="114">
        <v>2594.7073145596914</v>
      </c>
      <c r="EF148" s="114">
        <v>2725.6066988056455</v>
      </c>
      <c r="EG148" s="114">
        <v>6507.2231844689722</v>
      </c>
      <c r="EH148" s="114">
        <v>7165.6691840045605</v>
      </c>
      <c r="EI148" s="114">
        <v>7169.6817084964405</v>
      </c>
      <c r="EJ148" s="114">
        <v>7661.4945297981967</v>
      </c>
      <c r="EK148" s="114">
        <v>8664.2068725605404</v>
      </c>
      <c r="EL148" s="114">
        <v>8989.4568647794749</v>
      </c>
      <c r="EM148" s="114">
        <v>12178.906683942721</v>
      </c>
      <c r="EN148" s="114">
        <v>2774.6831455998627</v>
      </c>
      <c r="EO148" s="114" t="s">
        <v>237</v>
      </c>
      <c r="EP148" s="114">
        <v>5796.6583774210731</v>
      </c>
      <c r="EQ148" s="114">
        <v>2985.3625176027995</v>
      </c>
      <c r="ER148" s="114">
        <v>3927.1181374584262</v>
      </c>
      <c r="ES148" s="114">
        <v>5985.5489876783377</v>
      </c>
      <c r="ET148" s="114">
        <v>5661.3300836523322</v>
      </c>
      <c r="EU148" s="114">
        <v>5714.8419925461621</v>
      </c>
      <c r="EV148" s="114">
        <v>5822.5581071608649</v>
      </c>
      <c r="EW148" s="114">
        <v>1878.5075441960175</v>
      </c>
      <c r="EX148" s="114">
        <v>4545.4549349356776</v>
      </c>
      <c r="EY148" s="114">
        <v>5409.2355955194816</v>
      </c>
      <c r="EZ148" s="114">
        <v>2796.0013506349724</v>
      </c>
      <c r="FA148" s="114">
        <v>2531.8117310749694</v>
      </c>
      <c r="FB148" s="114">
        <v>3373.9312114670161</v>
      </c>
      <c r="FC148" s="114">
        <v>11884.530054809124</v>
      </c>
      <c r="FD148" s="114">
        <v>2360.8237475415526</v>
      </c>
      <c r="FE148" s="114">
        <v>2096.8341397670356</v>
      </c>
      <c r="FF148" s="114">
        <v>6830.5323870314814</v>
      </c>
      <c r="FG148" s="114">
        <v>8089.9744807979532</v>
      </c>
      <c r="FH148" s="114">
        <v>10444.712024646637</v>
      </c>
      <c r="FI148" s="114">
        <v>5544.9074761161255</v>
      </c>
      <c r="FJ148" s="114">
        <v>526.67879486896993</v>
      </c>
      <c r="FK148" s="114">
        <v>1015.6708607764975</v>
      </c>
      <c r="FL148" s="114">
        <v>9439.467913400531</v>
      </c>
      <c r="FM148" s="114">
        <v>4789.5137493192678</v>
      </c>
      <c r="FN148" s="114">
        <v>5897.4103322775572</v>
      </c>
      <c r="FO148" s="114">
        <v>3005.0181522525086</v>
      </c>
      <c r="FP148" s="114">
        <v>1615.0816226271577</v>
      </c>
      <c r="FQ148" s="114">
        <v>4079.0507757175269</v>
      </c>
      <c r="FR148" s="114">
        <v>11288.042719659597</v>
      </c>
      <c r="FS148" s="114">
        <v>6541.553740253059</v>
      </c>
      <c r="FT148" s="114">
        <v>7084.1487046079619</v>
      </c>
      <c r="FU148" s="114">
        <v>10700.560102177114</v>
      </c>
      <c r="FV148" s="114">
        <v>14366.478204933946</v>
      </c>
      <c r="FW148" s="114">
        <v>3741.8301114214655</v>
      </c>
      <c r="FX148" s="114">
        <v>6029.0341298034327</v>
      </c>
      <c r="FY148" s="114">
        <v>1705.7897226974185</v>
      </c>
      <c r="FZ148" s="114">
        <v>3568.377869082276</v>
      </c>
      <c r="GA148" s="114">
        <v>5683.5633738365077</v>
      </c>
      <c r="GB148" s="114">
        <v>5988.1717905639043</v>
      </c>
      <c r="GC148" s="114">
        <v>3349.473225848124</v>
      </c>
      <c r="GD148" s="114">
        <v>6095.3241046204275</v>
      </c>
      <c r="GE148" s="114">
        <v>1602.9524646350173</v>
      </c>
      <c r="GF148" s="114">
        <v>9144.2572761668453</v>
      </c>
      <c r="GG148" s="114">
        <v>5438.9596634111349</v>
      </c>
      <c r="GH148" s="114">
        <v>5148.4865925487375</v>
      </c>
      <c r="GI148" s="114">
        <v>5751.3092885951555</v>
      </c>
      <c r="GJ148" s="114">
        <v>9444.2772726909079</v>
      </c>
      <c r="GK148" s="114">
        <v>6449.6459703371083</v>
      </c>
      <c r="GL148" s="114">
        <v>6479.7814525841213</v>
      </c>
      <c r="GM148" s="114">
        <v>10525.29802627555</v>
      </c>
      <c r="GN148" s="114">
        <v>5777.153431619191</v>
      </c>
      <c r="GO148" s="114">
        <v>7120.8373598086546</v>
      </c>
      <c r="GP148" s="114">
        <v>7486.4189846512072</v>
      </c>
      <c r="GQ148" s="114">
        <v>11403.625136826713</v>
      </c>
      <c r="GR148" s="114">
        <v>18049.115401100746</v>
      </c>
      <c r="GS148" s="114">
        <v>1741.9366217825668</v>
      </c>
      <c r="GT148" s="115">
        <v>8159.1476352307718</v>
      </c>
    </row>
    <row r="149" spans="2:202" x14ac:dyDescent="0.6">
      <c r="B149" s="106" t="s">
        <v>135</v>
      </c>
      <c r="C149" s="63" t="s">
        <v>305</v>
      </c>
      <c r="D149" s="113">
        <v>1988.5108948355512</v>
      </c>
      <c r="E149" s="114">
        <v>4726.9351466168355</v>
      </c>
      <c r="F149" s="114">
        <v>4922.2579405356355</v>
      </c>
      <c r="G149" s="114">
        <v>5576.8794415531274</v>
      </c>
      <c r="H149" s="114">
        <v>11391.677039147624</v>
      </c>
      <c r="I149" s="114">
        <v>13470.616868178013</v>
      </c>
      <c r="J149" s="114">
        <v>1786.7428993450578</v>
      </c>
      <c r="K149" s="114">
        <v>12373.115812035148</v>
      </c>
      <c r="L149" s="114">
        <v>3985.416022240202</v>
      </c>
      <c r="M149" s="114">
        <v>1691.6905102475228</v>
      </c>
      <c r="N149" s="114">
        <v>12157.634251882146</v>
      </c>
      <c r="O149" s="114">
        <v>149.13187789907178</v>
      </c>
      <c r="P149" s="114">
        <v>3934.673562681975</v>
      </c>
      <c r="Q149" s="114">
        <v>11388.204888415015</v>
      </c>
      <c r="R149" s="114">
        <v>3733.1890739652022</v>
      </c>
      <c r="S149" s="114">
        <v>4890.6907601785751</v>
      </c>
      <c r="T149" s="114">
        <v>13593.044802237633</v>
      </c>
      <c r="U149" s="114">
        <v>5605.2049136357527</v>
      </c>
      <c r="V149" s="114">
        <v>3793.3321399046149</v>
      </c>
      <c r="W149" s="114">
        <v>13686.940855635474</v>
      </c>
      <c r="X149" s="114">
        <v>3623.39947223434</v>
      </c>
      <c r="Y149" s="114">
        <v>6173.643356033811</v>
      </c>
      <c r="Z149" s="114">
        <v>11849.98155184705</v>
      </c>
      <c r="AA149" s="114">
        <v>11493.787532591332</v>
      </c>
      <c r="AB149" s="114">
        <v>7147.2965290746652</v>
      </c>
      <c r="AC149" s="114">
        <v>3209.6791619331698</v>
      </c>
      <c r="AD149" s="114">
        <v>5695.5432339422032</v>
      </c>
      <c r="AE149" s="114">
        <v>3953.3625817041293</v>
      </c>
      <c r="AF149" s="114">
        <v>7790.6764311091292</v>
      </c>
      <c r="AG149" s="114">
        <v>5781.1676777756702</v>
      </c>
      <c r="AH149" s="114">
        <v>5025.0521752675277</v>
      </c>
      <c r="AI149" s="114">
        <v>4904.1775673886359</v>
      </c>
      <c r="AJ149" s="114">
        <v>10860.973018062637</v>
      </c>
      <c r="AK149" s="114">
        <v>10514.024346585835</v>
      </c>
      <c r="AL149" s="114">
        <v>4220.9366719498084</v>
      </c>
      <c r="AM149" s="114">
        <v>4119.1045431588973</v>
      </c>
      <c r="AN149" s="114">
        <v>14360.792558303072</v>
      </c>
      <c r="AO149" s="114">
        <v>6791.1175568671342</v>
      </c>
      <c r="AP149" s="114">
        <v>6164.8490166324618</v>
      </c>
      <c r="AQ149" s="114">
        <v>13270.48706314578</v>
      </c>
      <c r="AR149" s="114">
        <v>4160.0225212718742</v>
      </c>
      <c r="AS149" s="114">
        <v>5086.8472143530998</v>
      </c>
      <c r="AT149" s="114">
        <v>5085.2346140815307</v>
      </c>
      <c r="AU149" s="114">
        <v>13831.011072012316</v>
      </c>
      <c r="AV149" s="114">
        <v>6284.3357489167602</v>
      </c>
      <c r="AW149" s="114">
        <v>3905.6273705959725</v>
      </c>
      <c r="AX149" s="114">
        <v>12680.559214776442</v>
      </c>
      <c r="AY149" s="114">
        <v>2057.3507157053155</v>
      </c>
      <c r="AZ149" s="114">
        <v>4213.0120815736745</v>
      </c>
      <c r="BA149" s="114">
        <v>4612.522716670419</v>
      </c>
      <c r="BB149" s="114">
        <v>1837.4928477062347</v>
      </c>
      <c r="BC149" s="114">
        <v>11447.680456545973</v>
      </c>
      <c r="BD149" s="114">
        <v>12005.039686918772</v>
      </c>
      <c r="BE149" s="114">
        <v>5090.889201165789</v>
      </c>
      <c r="BF149" s="114">
        <v>13944.164170778688</v>
      </c>
      <c r="BG149" s="114">
        <v>2060.6811149494042</v>
      </c>
      <c r="BH149" s="114">
        <v>13953.206543170918</v>
      </c>
      <c r="BI149" s="114">
        <v>5173.6238349306668</v>
      </c>
      <c r="BJ149" s="114">
        <v>1733.2821135954537</v>
      </c>
      <c r="BK149" s="114">
        <v>4324.4903909675395</v>
      </c>
      <c r="BL149" s="114">
        <v>6109.0950842305647</v>
      </c>
      <c r="BM149" s="114">
        <v>2255.8487834795574</v>
      </c>
      <c r="BN149" s="114">
        <v>4383.977942580208</v>
      </c>
      <c r="BO149" s="114">
        <v>4972.0590669240355</v>
      </c>
      <c r="BP149" s="114">
        <v>5299.0294693057549</v>
      </c>
      <c r="BQ149" s="114">
        <v>7167.131996834235</v>
      </c>
      <c r="BR149" s="114">
        <v>1917.2815552367063</v>
      </c>
      <c r="BS149" s="114">
        <v>4389.7196413324273</v>
      </c>
      <c r="BT149" s="114">
        <v>4299.0627196984087</v>
      </c>
      <c r="BU149" s="114">
        <v>4576.2220352160484</v>
      </c>
      <c r="BV149" s="114">
        <v>5893.6308614205454</v>
      </c>
      <c r="BW149" s="114">
        <v>2970.8377138942992</v>
      </c>
      <c r="BX149" s="114">
        <v>11673.485299033875</v>
      </c>
      <c r="BY149" s="114">
        <v>13958.345600025932</v>
      </c>
      <c r="BZ149" s="114">
        <v>7045.1775448493672</v>
      </c>
      <c r="CA149" s="114">
        <v>7148.3812946674252</v>
      </c>
      <c r="CB149" s="114">
        <v>11628.326888902344</v>
      </c>
      <c r="CC149" s="114">
        <v>12221.460783727056</v>
      </c>
      <c r="CD149" s="114">
        <v>13751.381185808283</v>
      </c>
      <c r="CE149" s="114">
        <v>3755.2452481899836</v>
      </c>
      <c r="CF149" s="114">
        <v>6683.2250052523505</v>
      </c>
      <c r="CG149" s="114">
        <v>2315.5851021193566</v>
      </c>
      <c r="CH149" s="114">
        <v>2579.5190504823436</v>
      </c>
      <c r="CI149" s="114">
        <v>6886.378634405206</v>
      </c>
      <c r="CJ149" s="114">
        <v>1144.2058105803776</v>
      </c>
      <c r="CK149" s="114">
        <v>1126.1020530552692</v>
      </c>
      <c r="CL149" s="114">
        <v>5652.0532731501198</v>
      </c>
      <c r="CM149" s="114">
        <v>8258.7056741317792</v>
      </c>
      <c r="CN149" s="114">
        <v>4014.8369289957545</v>
      </c>
      <c r="CO149" s="114">
        <v>4372.9151165477906</v>
      </c>
      <c r="CP149" s="114">
        <v>12607.873336405999</v>
      </c>
      <c r="CQ149" s="114">
        <v>8276.9825894581991</v>
      </c>
      <c r="CR149" s="114">
        <v>1703.143840199841</v>
      </c>
      <c r="CS149" s="114">
        <v>3348.0634298719297</v>
      </c>
      <c r="CT149" s="114">
        <v>3335.8724260786444</v>
      </c>
      <c r="CU149" s="114">
        <v>567.95156761918827</v>
      </c>
      <c r="CV149" s="114">
        <v>2862.1967653460115</v>
      </c>
      <c r="CW149" s="114">
        <v>5312.6963247309195</v>
      </c>
      <c r="CX149" s="114">
        <v>4118.3101451585762</v>
      </c>
      <c r="CY149" s="114">
        <v>1809.2552753846508</v>
      </c>
      <c r="CZ149" s="114">
        <v>6564.4380562579418</v>
      </c>
      <c r="DA149" s="114">
        <v>6884.925578206241</v>
      </c>
      <c r="DB149" s="114">
        <v>3796.4891475873565</v>
      </c>
      <c r="DC149" s="114">
        <v>4418.1988428925933</v>
      </c>
      <c r="DD149" s="114">
        <v>3897.238243239954</v>
      </c>
      <c r="DE149" s="114">
        <v>4724.2644110249867</v>
      </c>
      <c r="DF149" s="114">
        <v>4878.8512331085158</v>
      </c>
      <c r="DG149" s="114">
        <v>4764.8412906395324</v>
      </c>
      <c r="DH149" s="114">
        <v>5881.4073221251474</v>
      </c>
      <c r="DI149" s="114">
        <v>3319.5813380243494</v>
      </c>
      <c r="DJ149" s="114">
        <v>6315.6810058413057</v>
      </c>
      <c r="DK149" s="114">
        <v>3712.4440753411054</v>
      </c>
      <c r="DL149" s="114">
        <v>5072.5227616439752</v>
      </c>
      <c r="DM149" s="114">
        <v>5082.1139057629443</v>
      </c>
      <c r="DN149" s="114">
        <v>14138.318329124688</v>
      </c>
      <c r="DO149" s="114">
        <v>3137.538949174088</v>
      </c>
      <c r="DP149" s="114">
        <v>4459.4278825261881</v>
      </c>
      <c r="DQ149" s="114">
        <v>5428.4907573714627</v>
      </c>
      <c r="DR149" s="114">
        <v>3501.0881975043658</v>
      </c>
      <c r="DS149" s="114">
        <v>5638.8555162735202</v>
      </c>
      <c r="DT149" s="114">
        <v>6000.0486514202148</v>
      </c>
      <c r="DU149" s="114">
        <v>4739.4659799047531</v>
      </c>
      <c r="DV149" s="114">
        <v>6449.3177568351584</v>
      </c>
      <c r="DW149" s="114">
        <v>3373.7372579156481</v>
      </c>
      <c r="DX149" s="114">
        <v>4928.5561616561254</v>
      </c>
      <c r="DY149" s="114">
        <v>14547.50588766522</v>
      </c>
      <c r="DZ149" s="114">
        <v>14527.147953901607</v>
      </c>
      <c r="EA149" s="114">
        <v>13828.107373851048</v>
      </c>
      <c r="EB149" s="114">
        <v>5311.1123444692312</v>
      </c>
      <c r="EC149" s="114">
        <v>4981.5991407170059</v>
      </c>
      <c r="ED149" s="114">
        <v>6946.3083249305801</v>
      </c>
      <c r="EE149" s="114">
        <v>3331.3565058238228</v>
      </c>
      <c r="EF149" s="114">
        <v>4949.4214728476736</v>
      </c>
      <c r="EG149" s="114">
        <v>737.57308359881938</v>
      </c>
      <c r="EH149" s="114">
        <v>1584.3966952397277</v>
      </c>
      <c r="EI149" s="114">
        <v>2294.3603249195376</v>
      </c>
      <c r="EJ149" s="114">
        <v>13456.861228632108</v>
      </c>
      <c r="EK149" s="114">
        <v>12927.309570126719</v>
      </c>
      <c r="EL149" s="114">
        <v>14413.390401935805</v>
      </c>
      <c r="EM149" s="114">
        <v>7311.9855749271092</v>
      </c>
      <c r="EN149" s="114">
        <v>3937.5703036832997</v>
      </c>
      <c r="EO149" s="114">
        <v>5796.6583774210731</v>
      </c>
      <c r="EP149" s="114" t="s">
        <v>237</v>
      </c>
      <c r="EQ149" s="114">
        <v>3114.0376554749546</v>
      </c>
      <c r="ER149" s="114">
        <v>3581.238783891964</v>
      </c>
      <c r="ES149" s="114">
        <v>3756.0233430221429</v>
      </c>
      <c r="ET149" s="114">
        <v>11442.102568376898</v>
      </c>
      <c r="EU149" s="114">
        <v>11453.651047895068</v>
      </c>
      <c r="EV149" s="114">
        <v>11553.98070261043</v>
      </c>
      <c r="EW149" s="114">
        <v>4075.1635912897223</v>
      </c>
      <c r="EX149" s="114">
        <v>5572.4462517066195</v>
      </c>
      <c r="EY149" s="114">
        <v>504.43936351304075</v>
      </c>
      <c r="EZ149" s="114">
        <v>7213.1377270910871</v>
      </c>
      <c r="FA149" s="114">
        <v>3517.6029343521686</v>
      </c>
      <c r="FB149" s="114">
        <v>7057.4179021389427</v>
      </c>
      <c r="FC149" s="114">
        <v>6210.6867672866483</v>
      </c>
      <c r="FD149" s="114">
        <v>3928.492080906522</v>
      </c>
      <c r="FE149" s="114">
        <v>4018.2691626379656</v>
      </c>
      <c r="FF149" s="114">
        <v>2653.7838563544769</v>
      </c>
      <c r="FG149" s="114">
        <v>6154.3765683130823</v>
      </c>
      <c r="FH149" s="114">
        <v>7089.8945833215066</v>
      </c>
      <c r="FI149" s="114">
        <v>3088.9522393555885</v>
      </c>
      <c r="FJ149" s="114">
        <v>5305.4874289602976</v>
      </c>
      <c r="FK149" s="114">
        <v>4840.892515221437</v>
      </c>
      <c r="FL149" s="114">
        <v>3643.6297325606251</v>
      </c>
      <c r="FM149" s="114">
        <v>2260.3111140460619</v>
      </c>
      <c r="FN149" s="114">
        <v>11384.298091023111</v>
      </c>
      <c r="FO149" s="114">
        <v>4581.7903031084825</v>
      </c>
      <c r="FP149" s="114">
        <v>4548.9125959868261</v>
      </c>
      <c r="FQ149" s="114">
        <v>1725.7582370511477</v>
      </c>
      <c r="FR149" s="114">
        <v>6980.5575482151635</v>
      </c>
      <c r="FS149" s="114">
        <v>2177.5016369970631</v>
      </c>
      <c r="FT149" s="114">
        <v>3785.8695170604142</v>
      </c>
      <c r="FU149" s="114">
        <v>5269.5093867337846</v>
      </c>
      <c r="FV149" s="114">
        <v>8813.1696535927713</v>
      </c>
      <c r="FW149" s="114">
        <v>5731.9735767792963</v>
      </c>
      <c r="FX149" s="114">
        <v>11728.798758416055</v>
      </c>
      <c r="FY149" s="114">
        <v>4100.2414847939053</v>
      </c>
      <c r="FZ149" s="114">
        <v>2376.5189485962724</v>
      </c>
      <c r="GA149" s="114">
        <v>1542.0525342072156</v>
      </c>
      <c r="GB149" s="114">
        <v>3447.8435636816789</v>
      </c>
      <c r="GC149" s="114">
        <v>3329.2830818090265</v>
      </c>
      <c r="GD149" s="114">
        <v>305.60264915686872</v>
      </c>
      <c r="GE149" s="114">
        <v>5203.5709483117816</v>
      </c>
      <c r="GF149" s="114">
        <v>13340.992414817234</v>
      </c>
      <c r="GG149" s="114">
        <v>10772.791166687743</v>
      </c>
      <c r="GH149" s="114">
        <v>10467.516131156928</v>
      </c>
      <c r="GI149" s="114">
        <v>11097.992138816746</v>
      </c>
      <c r="GJ149" s="114">
        <v>13085.511110030169</v>
      </c>
      <c r="GK149" s="114">
        <v>2422.1191427628546</v>
      </c>
      <c r="GL149" s="114">
        <v>12222.862370183026</v>
      </c>
      <c r="GM149" s="114">
        <v>5521.1707369252917</v>
      </c>
      <c r="GN149" s="114">
        <v>1318.5133674706187</v>
      </c>
      <c r="GO149" s="114">
        <v>5150.3910974163364</v>
      </c>
      <c r="GP149" s="114">
        <v>5221.4847871429902</v>
      </c>
      <c r="GQ149" s="114">
        <v>6016.8829570174712</v>
      </c>
      <c r="GR149" s="114">
        <v>12252.474732540424</v>
      </c>
      <c r="GS149" s="114">
        <v>4483.6471652175105</v>
      </c>
      <c r="GT149" s="115">
        <v>6234.2817066204198</v>
      </c>
    </row>
    <row r="150" spans="2:202" x14ac:dyDescent="0.6">
      <c r="B150" s="106" t="s">
        <v>136</v>
      </c>
      <c r="C150" s="63" t="s">
        <v>302</v>
      </c>
      <c r="D150" s="113">
        <v>3817.1739437966721</v>
      </c>
      <c r="E150" s="114">
        <v>2127.7877557629567</v>
      </c>
      <c r="F150" s="114">
        <v>2009.7207845815701</v>
      </c>
      <c r="G150" s="114">
        <v>6010.6769239060932</v>
      </c>
      <c r="H150" s="114">
        <v>8528.4274070618139</v>
      </c>
      <c r="I150" s="114">
        <v>12449.651110314391</v>
      </c>
      <c r="J150" s="114">
        <v>1566.5643739736452</v>
      </c>
      <c r="K150" s="114">
        <v>15213.43487955387</v>
      </c>
      <c r="L150" s="114">
        <v>871.72120668706873</v>
      </c>
      <c r="M150" s="114">
        <v>1972.8106127028593</v>
      </c>
      <c r="N150" s="114">
        <v>9071.9655706815211</v>
      </c>
      <c r="O150" s="114">
        <v>2965.3041125538239</v>
      </c>
      <c r="P150" s="114">
        <v>6190.4589460158031</v>
      </c>
      <c r="Q150" s="114">
        <v>8636.376643629812</v>
      </c>
      <c r="R150" s="114">
        <v>1032.2471550788377</v>
      </c>
      <c r="S150" s="114">
        <v>1779.5378660809993</v>
      </c>
      <c r="T150" s="114">
        <v>10494.922377452322</v>
      </c>
      <c r="U150" s="114">
        <v>4815.9109553606868</v>
      </c>
      <c r="V150" s="114">
        <v>5862.7242644479065</v>
      </c>
      <c r="W150" s="114">
        <v>11585.19835855814</v>
      </c>
      <c r="X150" s="114">
        <v>633.46713253632049</v>
      </c>
      <c r="Y150" s="114">
        <v>7641.5060328918989</v>
      </c>
      <c r="Z150" s="114">
        <v>10544.669094959405</v>
      </c>
      <c r="AA150" s="114">
        <v>10251.360562700949</v>
      </c>
      <c r="AB150" s="114">
        <v>9569.419570930344</v>
      </c>
      <c r="AC150" s="114">
        <v>309.67677247660777</v>
      </c>
      <c r="AD150" s="114">
        <v>4424.3482674328807</v>
      </c>
      <c r="AE150" s="114">
        <v>5282.9041756296738</v>
      </c>
      <c r="AF150" s="114">
        <v>5660.3892993104346</v>
      </c>
      <c r="AG150" s="114">
        <v>8210.6754634503959</v>
      </c>
      <c r="AH150" s="114">
        <v>4751.8666584322646</v>
      </c>
      <c r="AI150" s="114">
        <v>4758.6346051041837</v>
      </c>
      <c r="AJ150" s="114">
        <v>7770.6916400107648</v>
      </c>
      <c r="AK150" s="114">
        <v>7418.6252385128764</v>
      </c>
      <c r="AL150" s="114">
        <v>4516.4573091934371</v>
      </c>
      <c r="AM150" s="114">
        <v>3742.2383948368224</v>
      </c>
      <c r="AN150" s="114">
        <v>12984.346041459834</v>
      </c>
      <c r="AO150" s="114">
        <v>8035.2476535350734</v>
      </c>
      <c r="AP150" s="114">
        <v>7079.9656473139712</v>
      </c>
      <c r="AQ150" s="114">
        <v>10469.134936896411</v>
      </c>
      <c r="AR150" s="114">
        <v>6425.5917212036093</v>
      </c>
      <c r="AS150" s="114">
        <v>5510.1785886103935</v>
      </c>
      <c r="AT150" s="114">
        <v>5488.0021673186639</v>
      </c>
      <c r="AU150" s="114">
        <v>10819.434608183119</v>
      </c>
      <c r="AV150" s="114">
        <v>5228.9299787273203</v>
      </c>
      <c r="AW150" s="114">
        <v>839.38496055058374</v>
      </c>
      <c r="AX150" s="114">
        <v>9583.021832726834</v>
      </c>
      <c r="AY150" s="114">
        <v>1188.0222173723382</v>
      </c>
      <c r="AZ150" s="114">
        <v>1102.3771285918549</v>
      </c>
      <c r="BA150" s="114">
        <v>1577.7684393896589</v>
      </c>
      <c r="BB150" s="114">
        <v>3999.9601887501653</v>
      </c>
      <c r="BC150" s="114">
        <v>8626.4275956454767</v>
      </c>
      <c r="BD150" s="114">
        <v>9036.8297707432139</v>
      </c>
      <c r="BE150" s="114">
        <v>5499.438464990465</v>
      </c>
      <c r="BF150" s="114">
        <v>11163.901645383641</v>
      </c>
      <c r="BG150" s="114">
        <v>1646.5042255909107</v>
      </c>
      <c r="BH150" s="114">
        <v>10869.061664280231</v>
      </c>
      <c r="BI150" s="114">
        <v>4856.0608493136951</v>
      </c>
      <c r="BJ150" s="114">
        <v>3440.5495320849873</v>
      </c>
      <c r="BK150" s="114">
        <v>1665.9773655235861</v>
      </c>
      <c r="BL150" s="114">
        <v>7849.943927908862</v>
      </c>
      <c r="BM150" s="114">
        <v>4095.9694834077441</v>
      </c>
      <c r="BN150" s="114">
        <v>1767.2218862305087</v>
      </c>
      <c r="BO150" s="114">
        <v>1884.0515546855568</v>
      </c>
      <c r="BP150" s="114">
        <v>5170.2425548575875</v>
      </c>
      <c r="BQ150" s="114">
        <v>5294.0805289842583</v>
      </c>
      <c r="BR150" s="114">
        <v>1529.3988147239093</v>
      </c>
      <c r="BS150" s="114">
        <v>1300.8045853328326</v>
      </c>
      <c r="BT150" s="114">
        <v>1194.8025100032671</v>
      </c>
      <c r="BU150" s="114">
        <v>1462.9341742897582</v>
      </c>
      <c r="BV150" s="114">
        <v>5022.7706179749794</v>
      </c>
      <c r="BW150" s="114">
        <v>776.13655999313119</v>
      </c>
      <c r="BX150" s="114">
        <v>8905.6596229472361</v>
      </c>
      <c r="BY150" s="114">
        <v>10863.310956030837</v>
      </c>
      <c r="BZ150" s="114">
        <v>5438.404243628308</v>
      </c>
      <c r="CA150" s="114">
        <v>5383.0231969259885</v>
      </c>
      <c r="CB150" s="114">
        <v>9043.9527591327205</v>
      </c>
      <c r="CC150" s="114">
        <v>9226.7168991034705</v>
      </c>
      <c r="CD150" s="114">
        <v>10675.363321273027</v>
      </c>
      <c r="CE150" s="114">
        <v>641.24007560997643</v>
      </c>
      <c r="CF150" s="114">
        <v>3670.8347058317886</v>
      </c>
      <c r="CG150" s="114">
        <v>5142.7481515749478</v>
      </c>
      <c r="CH150" s="114">
        <v>4813.2306157495168</v>
      </c>
      <c r="CI150" s="114">
        <v>9714.9360564930412</v>
      </c>
      <c r="CJ150" s="114">
        <v>2352.0156752227276</v>
      </c>
      <c r="CK150" s="114">
        <v>1994.0428151018054</v>
      </c>
      <c r="CL150" s="114">
        <v>2538.0207137316547</v>
      </c>
      <c r="CM150" s="114">
        <v>5412.056355107361</v>
      </c>
      <c r="CN150" s="114">
        <v>1163.454875870329</v>
      </c>
      <c r="CO150" s="114">
        <v>1336.7571524159546</v>
      </c>
      <c r="CP150" s="114">
        <v>9579.4200019677028</v>
      </c>
      <c r="CQ150" s="114">
        <v>8894.8772726823736</v>
      </c>
      <c r="CR150" s="114">
        <v>1633.5637926891966</v>
      </c>
      <c r="CS150" s="114">
        <v>3410.7198275514033</v>
      </c>
      <c r="CT150" s="114">
        <v>5156.6288793153644</v>
      </c>
      <c r="CU150" s="114">
        <v>2549.424152110942</v>
      </c>
      <c r="CV150" s="114">
        <v>3854.3838289865398</v>
      </c>
      <c r="CW150" s="114">
        <v>7567.7524268552461</v>
      </c>
      <c r="CX150" s="114">
        <v>1370.5930023037799</v>
      </c>
      <c r="CY150" s="114">
        <v>1433.6534102432174</v>
      </c>
      <c r="CZ150" s="114">
        <v>8168.1786461109432</v>
      </c>
      <c r="DA150" s="114">
        <v>5525.5404690420555</v>
      </c>
      <c r="DB150" s="114">
        <v>1729.3061982331683</v>
      </c>
      <c r="DC150" s="114">
        <v>1338.5378391204576</v>
      </c>
      <c r="DD150" s="114">
        <v>1126.0881174760314</v>
      </c>
      <c r="DE150" s="114">
        <v>1618.7858828657577</v>
      </c>
      <c r="DF150" s="114">
        <v>7310.4843679423875</v>
      </c>
      <c r="DG150" s="114">
        <v>6522.3515009397315</v>
      </c>
      <c r="DH150" s="114">
        <v>8600.4440916876629</v>
      </c>
      <c r="DI150" s="114">
        <v>6417.0184376275247</v>
      </c>
      <c r="DJ150" s="114">
        <v>4780.1761404666486</v>
      </c>
      <c r="DK150" s="114">
        <v>1395.0454383171043</v>
      </c>
      <c r="DL150" s="114">
        <v>7829.1605234954686</v>
      </c>
      <c r="DM150" s="114">
        <v>7843.680770402555</v>
      </c>
      <c r="DN150" s="114">
        <v>11032.838198908294</v>
      </c>
      <c r="DO150" s="114">
        <v>372.80940683191676</v>
      </c>
      <c r="DP150" s="114">
        <v>1491.6269076968081</v>
      </c>
      <c r="DQ150" s="114">
        <v>5950.1366119844433</v>
      </c>
      <c r="DR150" s="114">
        <v>588.73043906420151</v>
      </c>
      <c r="DS150" s="114">
        <v>3035.5165255138841</v>
      </c>
      <c r="DT150" s="114">
        <v>7792.7491328924261</v>
      </c>
      <c r="DU150" s="114">
        <v>7165.6199471739656</v>
      </c>
      <c r="DV150" s="114">
        <v>7465.0444359752582</v>
      </c>
      <c r="DW150" s="114">
        <v>5515.4072008934027</v>
      </c>
      <c r="DX150" s="114">
        <v>1815.3438395425496</v>
      </c>
      <c r="DY150" s="114">
        <v>17262.561890489425</v>
      </c>
      <c r="DZ150" s="114">
        <v>17419.704773246031</v>
      </c>
      <c r="EA150" s="114">
        <v>10773.077004896473</v>
      </c>
      <c r="EB150" s="114">
        <v>4134.4931404337522</v>
      </c>
      <c r="EC150" s="114">
        <v>4314.7850967520526</v>
      </c>
      <c r="ED150" s="114">
        <v>7720.7162900327394</v>
      </c>
      <c r="EE150" s="114">
        <v>466.10424199774377</v>
      </c>
      <c r="EF150" s="114">
        <v>1998.6249037839368</v>
      </c>
      <c r="EG150" s="114">
        <v>3738.2599198691041</v>
      </c>
      <c r="EH150" s="114">
        <v>4264.1255875833176</v>
      </c>
      <c r="EI150" s="114">
        <v>4184.4088787995879</v>
      </c>
      <c r="EJ150" s="114">
        <v>10505.113716348218</v>
      </c>
      <c r="EK150" s="114">
        <v>11431.034494518</v>
      </c>
      <c r="EL150" s="114">
        <v>11974.668542777623</v>
      </c>
      <c r="EM150" s="114">
        <v>9277.398931415979</v>
      </c>
      <c r="EN150" s="114">
        <v>951.63939224474598</v>
      </c>
      <c r="EO150" s="114">
        <v>2985.3625176027995</v>
      </c>
      <c r="EP150" s="114">
        <v>3114.0376554749546</v>
      </c>
      <c r="EQ150" s="114" t="s">
        <v>237</v>
      </c>
      <c r="ER150" s="114">
        <v>1514.9676182771011</v>
      </c>
      <c r="ES150" s="114">
        <v>5114.400759956915</v>
      </c>
      <c r="ET150" s="114">
        <v>8570.7258527955837</v>
      </c>
      <c r="EU150" s="114">
        <v>8663.8925076340256</v>
      </c>
      <c r="EV150" s="114">
        <v>8774.8456726784534</v>
      </c>
      <c r="EW150" s="114">
        <v>1107.0752122496624</v>
      </c>
      <c r="EX150" s="114">
        <v>5284.0679398124012</v>
      </c>
      <c r="EY150" s="114">
        <v>2874.2671942210054</v>
      </c>
      <c r="EZ150" s="114">
        <v>5269.3019506347609</v>
      </c>
      <c r="FA150" s="114">
        <v>455.96450452013221</v>
      </c>
      <c r="FB150" s="114">
        <v>5505.2870836770198</v>
      </c>
      <c r="FC150" s="114">
        <v>8927.4022537773544</v>
      </c>
      <c r="FD150" s="114">
        <v>814.45445595769149</v>
      </c>
      <c r="FE150" s="114">
        <v>942.73717919128603</v>
      </c>
      <c r="FF150" s="114">
        <v>5061.9682434609649</v>
      </c>
      <c r="FG150" s="114">
        <v>7754.1274999199386</v>
      </c>
      <c r="FH150" s="114">
        <v>7930.368472742879</v>
      </c>
      <c r="FI150" s="114">
        <v>4415.7557821266528</v>
      </c>
      <c r="FJ150" s="114">
        <v>2458.7130509074923</v>
      </c>
      <c r="FK150" s="114">
        <v>1970.1751822226829</v>
      </c>
      <c r="FL150" s="114">
        <v>6639.2970363018685</v>
      </c>
      <c r="FM150" s="114">
        <v>3273.8106137429795</v>
      </c>
      <c r="FN150" s="114">
        <v>8880.7215076527973</v>
      </c>
      <c r="FO150" s="114">
        <v>1747.6730979014999</v>
      </c>
      <c r="FP150" s="114">
        <v>1487.2521624546789</v>
      </c>
      <c r="FQ150" s="114">
        <v>1497.8805810928418</v>
      </c>
      <c r="FR150" s="114">
        <v>8505.5641724089</v>
      </c>
      <c r="FS150" s="114">
        <v>3560.6196284712018</v>
      </c>
      <c r="FT150" s="114">
        <v>5831.9590412619009</v>
      </c>
      <c r="FU150" s="114">
        <v>7715.9650693948461</v>
      </c>
      <c r="FV150" s="114">
        <v>11381.13322711022</v>
      </c>
      <c r="FW150" s="114">
        <v>4887.5612053609993</v>
      </c>
      <c r="FX150" s="114">
        <v>8993.4118588399033</v>
      </c>
      <c r="FY150" s="114">
        <v>1602.0983760003442</v>
      </c>
      <c r="FZ150" s="114">
        <v>745.89451977538158</v>
      </c>
      <c r="GA150" s="114">
        <v>2702.3567241695077</v>
      </c>
      <c r="GB150" s="114">
        <v>4938.6055121697736</v>
      </c>
      <c r="GC150" s="114">
        <v>740.64116736065193</v>
      </c>
      <c r="GD150" s="114">
        <v>3377.8945639414492</v>
      </c>
      <c r="GE150" s="114">
        <v>2091.6894381044767</v>
      </c>
      <c r="GF150" s="114">
        <v>10589.296110881363</v>
      </c>
      <c r="GG150" s="114">
        <v>7660.8267616468293</v>
      </c>
      <c r="GH150" s="114">
        <v>7355.204660989014</v>
      </c>
      <c r="GI150" s="114">
        <v>7986.512136021106</v>
      </c>
      <c r="GJ150" s="114">
        <v>12051.775504807552</v>
      </c>
      <c r="GK150" s="114">
        <v>3488.1602785500527</v>
      </c>
      <c r="GL150" s="114">
        <v>9419.0591006617342</v>
      </c>
      <c r="GM150" s="114">
        <v>7567.8006083742939</v>
      </c>
      <c r="GN150" s="114">
        <v>3638.2439189840552</v>
      </c>
      <c r="GO150" s="114">
        <v>6624.9564725363025</v>
      </c>
      <c r="GP150" s="114">
        <v>6878.9272939074481</v>
      </c>
      <c r="GQ150" s="114">
        <v>8418.7294245901085</v>
      </c>
      <c r="GR150" s="114">
        <v>15140.69434758569</v>
      </c>
      <c r="GS150" s="114">
        <v>1400.404485653437</v>
      </c>
      <c r="GT150" s="115">
        <v>7838.3803348905749</v>
      </c>
    </row>
    <row r="151" spans="2:202" x14ac:dyDescent="0.6">
      <c r="B151" s="106" t="s">
        <v>137</v>
      </c>
      <c r="C151" s="63" t="s">
        <v>321</v>
      </c>
      <c r="D151" s="113">
        <v>3385.7215904239101</v>
      </c>
      <c r="E151" s="114">
        <v>3364.2341491741358</v>
      </c>
      <c r="F151" s="114">
        <v>2990.5325185058427</v>
      </c>
      <c r="G151" s="114">
        <v>7493.9844811563171</v>
      </c>
      <c r="H151" s="114">
        <v>9016.182306607303</v>
      </c>
      <c r="I151" s="114">
        <v>13713.983685820038</v>
      </c>
      <c r="J151" s="114">
        <v>1808.8030548868453</v>
      </c>
      <c r="K151" s="114">
        <v>14483.014874553048</v>
      </c>
      <c r="L151" s="114">
        <v>1684.7287090677928</v>
      </c>
      <c r="M151" s="114">
        <v>1929.2718542872165</v>
      </c>
      <c r="N151" s="114">
        <v>9138.1554927751386</v>
      </c>
      <c r="O151" s="114">
        <v>3453.0209379659896</v>
      </c>
      <c r="P151" s="114">
        <v>5566.3395877145895</v>
      </c>
      <c r="Q151" s="114">
        <v>9237.0951072571243</v>
      </c>
      <c r="R151" s="114">
        <v>708.13569111786524</v>
      </c>
      <c r="S151" s="114">
        <v>2279.2563421066598</v>
      </c>
      <c r="T151" s="114">
        <v>10461.560242409205</v>
      </c>
      <c r="U151" s="114">
        <v>6321.4376960151021</v>
      </c>
      <c r="V151" s="114">
        <v>5171.4959603704719</v>
      </c>
      <c r="W151" s="114">
        <v>12470.359134505738</v>
      </c>
      <c r="X151" s="114">
        <v>1935.2957995987945</v>
      </c>
      <c r="Y151" s="114">
        <v>8991.3494576636222</v>
      </c>
      <c r="Z151" s="114">
        <v>11807.283278761712</v>
      </c>
      <c r="AA151" s="114">
        <v>11543.764612734523</v>
      </c>
      <c r="AB151" s="114">
        <v>8804.6816347676358</v>
      </c>
      <c r="AC151" s="114">
        <v>1806.2380069303956</v>
      </c>
      <c r="AD151" s="114">
        <v>5891.8100977297563</v>
      </c>
      <c r="AE151" s="114">
        <v>6596.2802274477208</v>
      </c>
      <c r="AF151" s="114">
        <v>6831.8296343159318</v>
      </c>
      <c r="AG151" s="114">
        <v>7530.8320940509902</v>
      </c>
      <c r="AH151" s="114">
        <v>6263.8927334885148</v>
      </c>
      <c r="AI151" s="114">
        <v>6265.6783948982556</v>
      </c>
      <c r="AJ151" s="114">
        <v>7480.5709344400193</v>
      </c>
      <c r="AK151" s="114">
        <v>7159.445798560243</v>
      </c>
      <c r="AL151" s="114">
        <v>5981.3078563319696</v>
      </c>
      <c r="AM151" s="114">
        <v>5246.5218662638717</v>
      </c>
      <c r="AN151" s="114">
        <v>14096.927098486305</v>
      </c>
      <c r="AO151" s="114">
        <v>6816.9399702574483</v>
      </c>
      <c r="AP151" s="114">
        <v>5809.5925734542143</v>
      </c>
      <c r="AQ151" s="114">
        <v>10929.189316871598</v>
      </c>
      <c r="AR151" s="114">
        <v>7485.2037433113828</v>
      </c>
      <c r="AS151" s="114">
        <v>6985.4664850305808</v>
      </c>
      <c r="AT151" s="114">
        <v>6965.0087158104643</v>
      </c>
      <c r="AU151" s="114">
        <v>10992.157440384564</v>
      </c>
      <c r="AV151" s="114">
        <v>6703.2125887015454</v>
      </c>
      <c r="AW151" s="114">
        <v>1914.0998972401856</v>
      </c>
      <c r="AX151" s="114">
        <v>9583.6049272270866</v>
      </c>
      <c r="AY151" s="114">
        <v>2320.8437508575576</v>
      </c>
      <c r="AZ151" s="114">
        <v>1682.4248889930825</v>
      </c>
      <c r="BA151" s="114">
        <v>1580.2916292911661</v>
      </c>
      <c r="BB151" s="114">
        <v>4983.6995392367417</v>
      </c>
      <c r="BC151" s="114">
        <v>9156.8820449721043</v>
      </c>
      <c r="BD151" s="114">
        <v>9359.7056352141681</v>
      </c>
      <c r="BE151" s="114">
        <v>6976.0702647857697</v>
      </c>
      <c r="BF151" s="114">
        <v>11607.865576955688</v>
      </c>
      <c r="BG151" s="114">
        <v>2908.0903805886455</v>
      </c>
      <c r="BH151" s="114">
        <v>10874.762775040901</v>
      </c>
      <c r="BI151" s="114">
        <v>6369.7899734952007</v>
      </c>
      <c r="BJ151" s="114">
        <v>4511.4160099456158</v>
      </c>
      <c r="BK151" s="114">
        <v>872.55061067175302</v>
      </c>
      <c r="BL151" s="114">
        <v>9132.0976638628235</v>
      </c>
      <c r="BM151" s="114">
        <v>5197.26100200166</v>
      </c>
      <c r="BN151" s="114">
        <v>886.77845359213438</v>
      </c>
      <c r="BO151" s="114">
        <v>2516.5946104846248</v>
      </c>
      <c r="BP151" s="114">
        <v>6680.5312263433598</v>
      </c>
      <c r="BQ151" s="114">
        <v>6585.5071602929165</v>
      </c>
      <c r="BR151" s="114">
        <v>1669.4461765446781</v>
      </c>
      <c r="BS151" s="114">
        <v>1628.038709998531</v>
      </c>
      <c r="BT151" s="114">
        <v>1959.8111184020499</v>
      </c>
      <c r="BU151" s="114">
        <v>2021.1023904257734</v>
      </c>
      <c r="BV151" s="114">
        <v>6519.747380697534</v>
      </c>
      <c r="BW151" s="114">
        <v>2281.5505426682694</v>
      </c>
      <c r="BX151" s="114">
        <v>9477.4399658347702</v>
      </c>
      <c r="BY151" s="114">
        <v>10830.169406078045</v>
      </c>
      <c r="BZ151" s="114">
        <v>6802.428353065904</v>
      </c>
      <c r="CA151" s="114">
        <v>6704.7759044094946</v>
      </c>
      <c r="CB151" s="114">
        <v>9767.3837543153313</v>
      </c>
      <c r="CC151" s="114">
        <v>9497.9027847793786</v>
      </c>
      <c r="CD151" s="114">
        <v>10713.153552356034</v>
      </c>
      <c r="CE151" s="114">
        <v>1584.3644518596338</v>
      </c>
      <c r="CF151" s="114">
        <v>3291.0179113092568</v>
      </c>
      <c r="CG151" s="114">
        <v>5028.5136112457967</v>
      </c>
      <c r="CH151" s="114">
        <v>4360.4740430596185</v>
      </c>
      <c r="CI151" s="114">
        <v>9274.513847324195</v>
      </c>
      <c r="CJ151" s="114">
        <v>2486.812586416781</v>
      </c>
      <c r="CK151" s="114">
        <v>2560.7031387574957</v>
      </c>
      <c r="CL151" s="114">
        <v>2793.8565791868446</v>
      </c>
      <c r="CM151" s="114">
        <v>6091.2167625186848</v>
      </c>
      <c r="CN151" s="114">
        <v>2417.0698468272458</v>
      </c>
      <c r="CO151" s="114">
        <v>2285.8401134331198</v>
      </c>
      <c r="CP151" s="114">
        <v>9773.2275809924104</v>
      </c>
      <c r="CQ151" s="114">
        <v>7482.4914410134597</v>
      </c>
      <c r="CR151" s="114">
        <v>2694.328218970506</v>
      </c>
      <c r="CS151" s="114">
        <v>2266.6315439144146</v>
      </c>
      <c r="CT151" s="114">
        <v>6330.702765130527</v>
      </c>
      <c r="CU151" s="114">
        <v>3054.6551782286328</v>
      </c>
      <c r="CV151" s="114">
        <v>3006.4114456474922</v>
      </c>
      <c r="CW151" s="114">
        <v>6824.5785195784929</v>
      </c>
      <c r="CX151" s="114">
        <v>841.64482739067796</v>
      </c>
      <c r="CY151" s="114">
        <v>2477.7936982130504</v>
      </c>
      <c r="CZ151" s="114">
        <v>9495.2218906037688</v>
      </c>
      <c r="DA151" s="114">
        <v>6942.8306803814121</v>
      </c>
      <c r="DB151" s="114">
        <v>3209.3316990353046</v>
      </c>
      <c r="DC151" s="114">
        <v>2166.5450140469784</v>
      </c>
      <c r="DD151" s="114">
        <v>804.75119697700313</v>
      </c>
      <c r="DE151" s="114">
        <v>2223.6220347072272</v>
      </c>
      <c r="DF151" s="114">
        <v>8312.7701441449553</v>
      </c>
      <c r="DG151" s="114">
        <v>7766.1503765514972</v>
      </c>
      <c r="DH151" s="114">
        <v>8114.4045137988724</v>
      </c>
      <c r="DI151" s="114">
        <v>6570.1399349425355</v>
      </c>
      <c r="DJ151" s="114">
        <v>6188.056615519944</v>
      </c>
      <c r="DK151" s="114">
        <v>2858.3717051262624</v>
      </c>
      <c r="DL151" s="114">
        <v>8636.8675203925959</v>
      </c>
      <c r="DM151" s="114">
        <v>8647.6658509777881</v>
      </c>
      <c r="DN151" s="114">
        <v>10741.877681553173</v>
      </c>
      <c r="DO151" s="114">
        <v>1144.6056420567452</v>
      </c>
      <c r="DP151" s="114">
        <v>2517.6649891047318</v>
      </c>
      <c r="DQ151" s="114">
        <v>4634.8245764990188</v>
      </c>
      <c r="DR151" s="114">
        <v>1982.072690964716</v>
      </c>
      <c r="DS151" s="114">
        <v>4148.3331594534147</v>
      </c>
      <c r="DT151" s="114">
        <v>9058.0963810169033</v>
      </c>
      <c r="DU151" s="114">
        <v>6557.7355645155003</v>
      </c>
      <c r="DV151" s="114">
        <v>8900.4345383571781</v>
      </c>
      <c r="DW151" s="114">
        <v>4905.7837483015628</v>
      </c>
      <c r="DX151" s="114">
        <v>2175.771959748181</v>
      </c>
      <c r="DY151" s="114">
        <v>16200.009290697439</v>
      </c>
      <c r="DZ151" s="114">
        <v>16516.833510203571</v>
      </c>
      <c r="EA151" s="114">
        <v>10860.954802799099</v>
      </c>
      <c r="EB151" s="114">
        <v>5621.6160896587935</v>
      </c>
      <c r="EC151" s="114">
        <v>5829.0308272337452</v>
      </c>
      <c r="ED151" s="114">
        <v>6381.6582067951731</v>
      </c>
      <c r="EE151" s="114">
        <v>1930.6226332488004</v>
      </c>
      <c r="EF151" s="114">
        <v>1657.5407196323404</v>
      </c>
      <c r="EG151" s="114">
        <v>3981.7167704432013</v>
      </c>
      <c r="EH151" s="114">
        <v>4178.7680915468318</v>
      </c>
      <c r="EI151" s="114">
        <v>3681.9830191499177</v>
      </c>
      <c r="EJ151" s="114">
        <v>10785.855506350181</v>
      </c>
      <c r="EK151" s="114">
        <v>12590.048586617002</v>
      </c>
      <c r="EL151" s="114">
        <v>12637.325548846959</v>
      </c>
      <c r="EM151" s="114">
        <v>8276.4216195055287</v>
      </c>
      <c r="EN151" s="114">
        <v>1156.4247827338475</v>
      </c>
      <c r="EO151" s="114">
        <v>3927.1181374584262</v>
      </c>
      <c r="EP151" s="114">
        <v>3581.238783891964</v>
      </c>
      <c r="EQ151" s="114">
        <v>1514.9676182771011</v>
      </c>
      <c r="ER151" s="114" t="s">
        <v>237</v>
      </c>
      <c r="ES151" s="114">
        <v>6413.6612463740539</v>
      </c>
      <c r="ET151" s="114">
        <v>9046.7594123385807</v>
      </c>
      <c r="EU151" s="114">
        <v>9225.6448426707575</v>
      </c>
      <c r="EV151" s="114">
        <v>9341.8732052893502</v>
      </c>
      <c r="EW151" s="114">
        <v>2251.1260750996939</v>
      </c>
      <c r="EX151" s="114">
        <v>6798.7221861870012</v>
      </c>
      <c r="EY151" s="114">
        <v>3558.7249609046048</v>
      </c>
      <c r="EZ151" s="114">
        <v>6537.1998595527439</v>
      </c>
      <c r="FA151" s="114">
        <v>1745.1448028662962</v>
      </c>
      <c r="FB151" s="114">
        <v>6880.4636203517503</v>
      </c>
      <c r="FC151" s="114">
        <v>8420.7121521105491</v>
      </c>
      <c r="FD151" s="114">
        <v>1636.8002305679147</v>
      </c>
      <c r="FE151" s="114">
        <v>1943.4078997584656</v>
      </c>
      <c r="FF151" s="114">
        <v>6014.4305356594859</v>
      </c>
      <c r="FG151" s="114">
        <v>9073.4407900658898</v>
      </c>
      <c r="FH151" s="114">
        <v>6599.5074528045552</v>
      </c>
      <c r="FI151" s="114">
        <v>5685.7486803675902</v>
      </c>
      <c r="FJ151" s="114">
        <v>3437.6817418940577</v>
      </c>
      <c r="FK151" s="114">
        <v>3009.7886296633233</v>
      </c>
      <c r="FL151" s="114">
        <v>6573.8954280435273</v>
      </c>
      <c r="FM151" s="114">
        <v>4519.8295360233069</v>
      </c>
      <c r="FN151" s="114">
        <v>9671.7900072715202</v>
      </c>
      <c r="FO151" s="114">
        <v>1226.7250632096645</v>
      </c>
      <c r="FP151" s="114">
        <v>2324.0017839603811</v>
      </c>
      <c r="FQ151" s="114">
        <v>2499.438041995415</v>
      </c>
      <c r="FR151" s="114">
        <v>7361.1285621855841</v>
      </c>
      <c r="FS151" s="114">
        <v>2993.9379999973835</v>
      </c>
      <c r="FT151" s="114">
        <v>6958.7064814885089</v>
      </c>
      <c r="FU151" s="114">
        <v>7080.5283831235765</v>
      </c>
      <c r="FV151" s="114">
        <v>10624.415423482676</v>
      </c>
      <c r="FW151" s="114">
        <v>6388.6139512553227</v>
      </c>
      <c r="FX151" s="114">
        <v>9591.8985890109507</v>
      </c>
      <c r="FY151" s="114">
        <v>2975.3172230251498</v>
      </c>
      <c r="FZ151" s="114">
        <v>1838.2788346835625</v>
      </c>
      <c r="GA151" s="114">
        <v>2467.4843767040143</v>
      </c>
      <c r="GB151" s="114">
        <v>6196.2115646407392</v>
      </c>
      <c r="GC151" s="114">
        <v>779.39095718297312</v>
      </c>
      <c r="GD151" s="114">
        <v>3752.760477997891</v>
      </c>
      <c r="GE151" s="114">
        <v>2502.8490905394442</v>
      </c>
      <c r="GF151" s="114">
        <v>9769.0976887678517</v>
      </c>
      <c r="GG151" s="114">
        <v>7510.2646075796347</v>
      </c>
      <c r="GH151" s="114">
        <v>7219.1173168009436</v>
      </c>
      <c r="GI151" s="114">
        <v>7820.0819858931973</v>
      </c>
      <c r="GJ151" s="114">
        <v>13331.372871278612</v>
      </c>
      <c r="GK151" s="114">
        <v>2790.8546894495503</v>
      </c>
      <c r="GL151" s="114">
        <v>9929.1944377713644</v>
      </c>
      <c r="GM151" s="114">
        <v>6711.0173152950629</v>
      </c>
      <c r="GN151" s="114">
        <v>4525.7268652931689</v>
      </c>
      <c r="GO151" s="114">
        <v>7948.4573137824073</v>
      </c>
      <c r="GP151" s="114">
        <v>8161.5378457648258</v>
      </c>
      <c r="GQ151" s="114">
        <v>7707.7290602829416</v>
      </c>
      <c r="GR151" s="114">
        <v>14474.884380313402</v>
      </c>
      <c r="GS151" s="114">
        <v>2193.6664489599384</v>
      </c>
      <c r="GT151" s="115">
        <v>9158.3840145870054</v>
      </c>
    </row>
    <row r="152" spans="2:202" x14ac:dyDescent="0.6">
      <c r="B152" s="106" t="s">
        <v>138</v>
      </c>
      <c r="C152" s="63" t="s">
        <v>500</v>
      </c>
      <c r="D152" s="113">
        <v>5701.0492821789376</v>
      </c>
      <c r="E152" s="114">
        <v>5063.1466978368917</v>
      </c>
      <c r="F152" s="114">
        <v>5668.5662863855141</v>
      </c>
      <c r="G152" s="114">
        <v>2021.3219943719903</v>
      </c>
      <c r="H152" s="114">
        <v>10259.3184653071</v>
      </c>
      <c r="I152" s="114">
        <v>9906.4679261041711</v>
      </c>
      <c r="J152" s="114">
        <v>4857.4243372309375</v>
      </c>
      <c r="K152" s="114">
        <v>12709.646576737454</v>
      </c>
      <c r="L152" s="114">
        <v>5687.171896038577</v>
      </c>
      <c r="M152" s="114">
        <v>5061.0543158609526</v>
      </c>
      <c r="N152" s="114">
        <v>11816.541295226019</v>
      </c>
      <c r="O152" s="114">
        <v>3770.3794463337877</v>
      </c>
      <c r="P152" s="114">
        <v>7072.8858368041947</v>
      </c>
      <c r="Q152" s="114">
        <v>9975.9956302784449</v>
      </c>
      <c r="R152" s="114">
        <v>6133.2282717646403</v>
      </c>
      <c r="S152" s="114">
        <v>6291.402037546306</v>
      </c>
      <c r="T152" s="114">
        <v>13063.930445527531</v>
      </c>
      <c r="U152" s="114">
        <v>3187.1438098874955</v>
      </c>
      <c r="V152" s="114">
        <v>7110.1441731861805</v>
      </c>
      <c r="W152" s="114">
        <v>10826.409824193766</v>
      </c>
      <c r="X152" s="114">
        <v>5151.8566363320033</v>
      </c>
      <c r="Y152" s="114">
        <v>2586.9318513918847</v>
      </c>
      <c r="Z152" s="114">
        <v>8579.9589131311786</v>
      </c>
      <c r="AA152" s="114">
        <v>8221.1307917047707</v>
      </c>
      <c r="AB152" s="114">
        <v>9463.0677461433406</v>
      </c>
      <c r="AC152" s="114">
        <v>4944.9507127918787</v>
      </c>
      <c r="AD152" s="114">
        <v>3783.3032270554977</v>
      </c>
      <c r="AE152" s="114">
        <v>199.0104489496976</v>
      </c>
      <c r="AF152" s="114">
        <v>6153.4681028659606</v>
      </c>
      <c r="AG152" s="114">
        <v>8350.7070283971916</v>
      </c>
      <c r="AH152" s="114">
        <v>2345.1442378230154</v>
      </c>
      <c r="AI152" s="114">
        <v>2152.9818591923713</v>
      </c>
      <c r="AJ152" s="114">
        <v>11681.138763246443</v>
      </c>
      <c r="AK152" s="114">
        <v>11337.509299638161</v>
      </c>
      <c r="AL152" s="114">
        <v>1451.2450191400296</v>
      </c>
      <c r="AM152" s="114">
        <v>2286.7981510894483</v>
      </c>
      <c r="AN152" s="114">
        <v>10878.553447111617</v>
      </c>
      <c r="AO152" s="114">
        <v>10233.996521609613</v>
      </c>
      <c r="AP152" s="114">
        <v>9791.2003630533582</v>
      </c>
      <c r="AQ152" s="114">
        <v>11577.331087606923</v>
      </c>
      <c r="AR152" s="114">
        <v>1812.6018332943249</v>
      </c>
      <c r="AS152" s="114">
        <v>1663.242196956488</v>
      </c>
      <c r="AT152" s="114">
        <v>1680.0051621282319</v>
      </c>
      <c r="AU152" s="114">
        <v>12674.513041320692</v>
      </c>
      <c r="AV152" s="114">
        <v>3861.1536777453771</v>
      </c>
      <c r="AW152" s="114">
        <v>5426.6126804752384</v>
      </c>
      <c r="AX152" s="114">
        <v>12348.539427334235</v>
      </c>
      <c r="AY152" s="114">
        <v>4093.4047616497132</v>
      </c>
      <c r="AZ152" s="114">
        <v>5937.3060090459285</v>
      </c>
      <c r="BA152" s="114">
        <v>6540.1363106901499</v>
      </c>
      <c r="BB152" s="114">
        <v>1947.5532963192798</v>
      </c>
      <c r="BC152" s="114">
        <v>10191.203931923872</v>
      </c>
      <c r="BD152" s="114">
        <v>11079.584123114104</v>
      </c>
      <c r="BE152" s="114">
        <v>1678.7004661737803</v>
      </c>
      <c r="BF152" s="114">
        <v>12051.107648796928</v>
      </c>
      <c r="BG152" s="114">
        <v>3515.6987675319347</v>
      </c>
      <c r="BH152" s="114">
        <v>13196.75399659399</v>
      </c>
      <c r="BI152" s="114">
        <v>2458.7645632004819</v>
      </c>
      <c r="BJ152" s="114">
        <v>2087.4996571776069</v>
      </c>
      <c r="BK152" s="114">
        <v>6779.3133808646526</v>
      </c>
      <c r="BL152" s="114">
        <v>2736.4587672034049</v>
      </c>
      <c r="BM152" s="114">
        <v>1501.3316644976196</v>
      </c>
      <c r="BN152" s="114">
        <v>6878.9160097344729</v>
      </c>
      <c r="BO152" s="114">
        <v>6182.8147755458958</v>
      </c>
      <c r="BP152" s="114">
        <v>2319.4128852124113</v>
      </c>
      <c r="BQ152" s="114">
        <v>5380.7434449353086</v>
      </c>
      <c r="BR152" s="114">
        <v>5001.3650107537214</v>
      </c>
      <c r="BS152" s="114">
        <v>6195.4704788832278</v>
      </c>
      <c r="BT152" s="114">
        <v>5810.5872939505825</v>
      </c>
      <c r="BU152" s="114">
        <v>6098.868153856296</v>
      </c>
      <c r="BV152" s="114">
        <v>3430.9715423671032</v>
      </c>
      <c r="BW152" s="114">
        <v>4407.8775366829286</v>
      </c>
      <c r="BX152" s="114">
        <v>10238.897534920887</v>
      </c>
      <c r="BY152" s="114">
        <v>13305.243265514513</v>
      </c>
      <c r="BZ152" s="114">
        <v>4970.8636512216808</v>
      </c>
      <c r="CA152" s="114">
        <v>5232.1617201317804</v>
      </c>
      <c r="CB152" s="114">
        <v>9824.3596312092141</v>
      </c>
      <c r="CC152" s="114">
        <v>11354.50595924365</v>
      </c>
      <c r="CD152" s="114">
        <v>12979.078416417879</v>
      </c>
      <c r="CE152" s="114">
        <v>5539.626809124612</v>
      </c>
      <c r="CF152" s="114">
        <v>8422.7475648692762</v>
      </c>
      <c r="CG152" s="114">
        <v>5211.8478389480379</v>
      </c>
      <c r="CH152" s="114">
        <v>6021.2310127132187</v>
      </c>
      <c r="CI152" s="114">
        <v>8480.860895241065</v>
      </c>
      <c r="CJ152" s="114">
        <v>4672.5619954125978</v>
      </c>
      <c r="CK152" s="114">
        <v>4147.5411895580019</v>
      </c>
      <c r="CL152" s="114">
        <v>6955.5599304167044</v>
      </c>
      <c r="CM152" s="114">
        <v>7777.526887393833</v>
      </c>
      <c r="CN152" s="114">
        <v>5119.1425303722444</v>
      </c>
      <c r="CO152" s="114">
        <v>5620.9746909397409</v>
      </c>
      <c r="CP152" s="114">
        <v>11810.428472268806</v>
      </c>
      <c r="CQ152" s="114">
        <v>11883.04867177232</v>
      </c>
      <c r="CR152" s="114">
        <v>3732.3181403641006</v>
      </c>
      <c r="CS152" s="114">
        <v>7031.78690607509</v>
      </c>
      <c r="CT152" s="114">
        <v>717.40752001472038</v>
      </c>
      <c r="CU152" s="114">
        <v>3930.2593613599165</v>
      </c>
      <c r="CV152" s="114">
        <v>6617.9727923642931</v>
      </c>
      <c r="CW152" s="114">
        <v>8186.3802841388188</v>
      </c>
      <c r="CX152" s="114">
        <v>6484.9823850153571</v>
      </c>
      <c r="CY152" s="114">
        <v>3944.005291299417</v>
      </c>
      <c r="CZ152" s="114">
        <v>3081.5654190449322</v>
      </c>
      <c r="DA152" s="114">
        <v>4579.477583371412</v>
      </c>
      <c r="DB152" s="114">
        <v>4188.7209301085732</v>
      </c>
      <c r="DC152" s="114">
        <v>5776.7723754233566</v>
      </c>
      <c r="DD152" s="114">
        <v>6239.5913591721846</v>
      </c>
      <c r="DE152" s="114">
        <v>6113.8378863994458</v>
      </c>
      <c r="DF152" s="114">
        <v>2664.9436461632254</v>
      </c>
      <c r="DG152" s="114">
        <v>1430.8153384570599</v>
      </c>
      <c r="DH152" s="114">
        <v>7948.8721175266001</v>
      </c>
      <c r="DI152" s="114">
        <v>4845.0607436828941</v>
      </c>
      <c r="DJ152" s="114">
        <v>4429.7605306006171</v>
      </c>
      <c r="DK152" s="114">
        <v>4440.2413686556001</v>
      </c>
      <c r="DL152" s="114">
        <v>3606.4940717013956</v>
      </c>
      <c r="DM152" s="114">
        <v>3627.8117574693292</v>
      </c>
      <c r="DN152" s="114">
        <v>14147.221215117239</v>
      </c>
      <c r="DO152" s="114">
        <v>5405.3487087344574</v>
      </c>
      <c r="DP152" s="114">
        <v>5520.3848462136866</v>
      </c>
      <c r="DQ152" s="114">
        <v>9167.4427716013997</v>
      </c>
      <c r="DR152" s="114">
        <v>5014.1476685330645</v>
      </c>
      <c r="DS152" s="114">
        <v>5523.0808300114913</v>
      </c>
      <c r="DT152" s="114">
        <v>2678.7292423776157</v>
      </c>
      <c r="DU152" s="114">
        <v>7526.679227946478</v>
      </c>
      <c r="DV152" s="114">
        <v>2702.429291826244</v>
      </c>
      <c r="DW152" s="114">
        <v>6715.8826737039299</v>
      </c>
      <c r="DX152" s="114">
        <v>6443.5810596356514</v>
      </c>
      <c r="DY152" s="114">
        <v>14401.197002710511</v>
      </c>
      <c r="DZ152" s="114">
        <v>14052.261996833831</v>
      </c>
      <c r="EA152" s="114">
        <v>12896.015692054609</v>
      </c>
      <c r="EB152" s="114">
        <v>3500.3053129570199</v>
      </c>
      <c r="EC152" s="114">
        <v>2781.4149769334558</v>
      </c>
      <c r="ED152" s="114">
        <v>10572.900866545226</v>
      </c>
      <c r="EE152" s="114">
        <v>4927.9830738277496</v>
      </c>
      <c r="EF152" s="114">
        <v>7009.8768593357418</v>
      </c>
      <c r="EG152" s="114">
        <v>4133.8611613392677</v>
      </c>
      <c r="EH152" s="114">
        <v>4959.5245251846882</v>
      </c>
      <c r="EI152" s="114">
        <v>5951.7767358602678</v>
      </c>
      <c r="EJ152" s="114">
        <v>12153.491433590714</v>
      </c>
      <c r="EK152" s="114">
        <v>9664.7407197585017</v>
      </c>
      <c r="EL152" s="114">
        <v>11820.615564361786</v>
      </c>
      <c r="EM152" s="114">
        <v>10154.868067014804</v>
      </c>
      <c r="EN152" s="114">
        <v>6033.42279593276</v>
      </c>
      <c r="EO152" s="114">
        <v>5985.5489876783377</v>
      </c>
      <c r="EP152" s="114">
        <v>3756.0233430221429</v>
      </c>
      <c r="EQ152" s="114">
        <v>5114.400759956915</v>
      </c>
      <c r="ER152" s="114">
        <v>6413.6612463740539</v>
      </c>
      <c r="ES152" s="114" t="s">
        <v>237</v>
      </c>
      <c r="ET152" s="114">
        <v>10322.08600907359</v>
      </c>
      <c r="EU152" s="114">
        <v>10117.235106548249</v>
      </c>
      <c r="EV152" s="114">
        <v>10171.035807466784</v>
      </c>
      <c r="EW152" s="114">
        <v>5321.9438655291387</v>
      </c>
      <c r="EX152" s="114">
        <v>2636.145367332168</v>
      </c>
      <c r="EY152" s="114">
        <v>3388.6871078111822</v>
      </c>
      <c r="EZ152" s="114">
        <v>5503.443256197922</v>
      </c>
      <c r="FA152" s="114">
        <v>5213.9641539597578</v>
      </c>
      <c r="FB152" s="114">
        <v>4914.6215694964967</v>
      </c>
      <c r="FC152" s="114">
        <v>8209.5124172043506</v>
      </c>
      <c r="FD152" s="114">
        <v>5666.2578939815621</v>
      </c>
      <c r="FE152" s="114">
        <v>5516.3125183645825</v>
      </c>
      <c r="FF152" s="114">
        <v>1737.9745456417972</v>
      </c>
      <c r="FG152" s="114">
        <v>2659.9728314433751</v>
      </c>
      <c r="FH152" s="114">
        <v>10685.87248014852</v>
      </c>
      <c r="FI152" s="114">
        <v>736.48344118359921</v>
      </c>
      <c r="FJ152" s="114">
        <v>5760.3782499832541</v>
      </c>
      <c r="FK152" s="114">
        <v>5543.9965118863174</v>
      </c>
      <c r="FL152" s="114">
        <v>5608.7834977041866</v>
      </c>
      <c r="FM152" s="114">
        <v>1896.289539962477</v>
      </c>
      <c r="FN152" s="114">
        <v>9486.8395034386413</v>
      </c>
      <c r="FO152" s="114">
        <v>6841.0278941305096</v>
      </c>
      <c r="FP152" s="114">
        <v>5799.2490251780746</v>
      </c>
      <c r="FQ152" s="114">
        <v>3932.6566252892248</v>
      </c>
      <c r="FR152" s="114">
        <v>10236.000252092052</v>
      </c>
      <c r="FS152" s="114">
        <v>5931.7803731335107</v>
      </c>
      <c r="FT152" s="114">
        <v>1178.2083613743725</v>
      </c>
      <c r="FU152" s="114">
        <v>7919.4817402885001</v>
      </c>
      <c r="FV152" s="114">
        <v>10560.487618601559</v>
      </c>
      <c r="FW152" s="114">
        <v>3313.8389713201673</v>
      </c>
      <c r="FX152" s="114">
        <v>10208.671893338565</v>
      </c>
      <c r="FY152" s="114">
        <v>4710.2912294251064</v>
      </c>
      <c r="FZ152" s="114">
        <v>4583.8778763374594</v>
      </c>
      <c r="GA152" s="114">
        <v>5227.2287566807727</v>
      </c>
      <c r="GB152" s="114">
        <v>320.55267686235362</v>
      </c>
      <c r="GC152" s="114">
        <v>5769.9501011093334</v>
      </c>
      <c r="GD152" s="114">
        <v>3884.1643098679583</v>
      </c>
      <c r="GE152" s="114">
        <v>6535.5133425761378</v>
      </c>
      <c r="GF152" s="114">
        <v>15129.140424426745</v>
      </c>
      <c r="GG152" s="114">
        <v>11303.351568726624</v>
      </c>
      <c r="GH152" s="114">
        <v>11037.024056895634</v>
      </c>
      <c r="GI152" s="114">
        <v>11588.640651246402</v>
      </c>
      <c r="GJ152" s="114">
        <v>9554.6266391446206</v>
      </c>
      <c r="GK152" s="114">
        <v>6176.4804771155295</v>
      </c>
      <c r="GL152" s="114">
        <v>10760.000095525011</v>
      </c>
      <c r="GM152" s="114">
        <v>8566.6209818042717</v>
      </c>
      <c r="GN152" s="114">
        <v>2444.9424102381231</v>
      </c>
      <c r="GO152" s="114">
        <v>1536.1686094277532</v>
      </c>
      <c r="GP152" s="114">
        <v>1764.5808795833154</v>
      </c>
      <c r="GQ152" s="114">
        <v>8577.9590045630721</v>
      </c>
      <c r="GR152" s="114">
        <v>12498.837628914944</v>
      </c>
      <c r="GS152" s="114">
        <v>5832.6050724298984</v>
      </c>
      <c r="GT152" s="115">
        <v>2744.9041410428772</v>
      </c>
    </row>
    <row r="153" spans="2:202" x14ac:dyDescent="0.6">
      <c r="B153" s="106" t="s">
        <v>139</v>
      </c>
      <c r="C153" s="63" t="s">
        <v>501</v>
      </c>
      <c r="D153" s="113">
        <v>12335.069645237514</v>
      </c>
      <c r="E153" s="114">
        <v>6715.9753471995618</v>
      </c>
      <c r="F153" s="114">
        <v>6588.8538678429468</v>
      </c>
      <c r="G153" s="114">
        <v>8778.7352218346932</v>
      </c>
      <c r="H153" s="114">
        <v>62.935665869966407</v>
      </c>
      <c r="I153" s="114">
        <v>5951.0808982251074</v>
      </c>
      <c r="J153" s="114">
        <v>10137.204373315953</v>
      </c>
      <c r="K153" s="114">
        <v>16206.612463768894</v>
      </c>
      <c r="L153" s="114">
        <v>7761.2596686773113</v>
      </c>
      <c r="M153" s="114">
        <v>10530.502377794523</v>
      </c>
      <c r="N153" s="114">
        <v>1762.9866062772289</v>
      </c>
      <c r="O153" s="114">
        <v>11301.127590630978</v>
      </c>
      <c r="P153" s="114">
        <v>14613.095148061026</v>
      </c>
      <c r="Q153" s="114">
        <v>568.08144145516371</v>
      </c>
      <c r="R153" s="114">
        <v>8463.1486381448522</v>
      </c>
      <c r="S153" s="114">
        <v>6899.3580862521585</v>
      </c>
      <c r="T153" s="114">
        <v>2746.2632578428538</v>
      </c>
      <c r="U153" s="114">
        <v>7135.4881716338541</v>
      </c>
      <c r="V153" s="114">
        <v>14213.787699227289</v>
      </c>
      <c r="W153" s="114">
        <v>3762.2508353836606</v>
      </c>
      <c r="X153" s="114">
        <v>7963.4731266285908</v>
      </c>
      <c r="Y153" s="114">
        <v>10593.432425757524</v>
      </c>
      <c r="Z153" s="114">
        <v>4842.4023540613007</v>
      </c>
      <c r="AA153" s="114">
        <v>4923.6822364212667</v>
      </c>
      <c r="AB153" s="114">
        <v>17586.808012602396</v>
      </c>
      <c r="AC153" s="114">
        <v>8378.1870165441833</v>
      </c>
      <c r="AD153" s="114">
        <v>6574.8545402664267</v>
      </c>
      <c r="AE153" s="114">
        <v>10282.067437396307</v>
      </c>
      <c r="AF153" s="114">
        <v>4176.2744410883597</v>
      </c>
      <c r="AG153" s="114">
        <v>16535.785366037886</v>
      </c>
      <c r="AH153" s="114">
        <v>7977.8317492288943</v>
      </c>
      <c r="AI153" s="114">
        <v>8170.2590785634648</v>
      </c>
      <c r="AJ153" s="114">
        <v>3353.6017495103101</v>
      </c>
      <c r="AK153" s="114">
        <v>3349.9106409918149</v>
      </c>
      <c r="AL153" s="114">
        <v>8890.4542971716928</v>
      </c>
      <c r="AM153" s="114">
        <v>8254.4124038026966</v>
      </c>
      <c r="AN153" s="114">
        <v>5668.8883965206751</v>
      </c>
      <c r="AO153" s="114">
        <v>14618.136957041183</v>
      </c>
      <c r="AP153" s="114">
        <v>13706.505816352754</v>
      </c>
      <c r="AQ153" s="114">
        <v>1903.9914580257387</v>
      </c>
      <c r="AR153" s="114">
        <v>12016.029634619919</v>
      </c>
      <c r="AS153" s="114">
        <v>8854.6628046064161</v>
      </c>
      <c r="AT153" s="114">
        <v>8825.971132967994</v>
      </c>
      <c r="AU153" s="114">
        <v>2482.0619498172882</v>
      </c>
      <c r="AV153" s="114">
        <v>6479.6201869368342</v>
      </c>
      <c r="AW153" s="114">
        <v>7731.6654062115276</v>
      </c>
      <c r="AX153" s="114">
        <v>2165.7810499952116</v>
      </c>
      <c r="AY153" s="114">
        <v>9418.1463460603372</v>
      </c>
      <c r="AZ153" s="114">
        <v>7606.8284844038271</v>
      </c>
      <c r="BA153" s="114">
        <v>7486.1474601876107</v>
      </c>
      <c r="BB153" s="114">
        <v>11161.180408335116</v>
      </c>
      <c r="BC153" s="114">
        <v>253.24165736912559</v>
      </c>
      <c r="BD153" s="114">
        <v>768.59713002723277</v>
      </c>
      <c r="BE153" s="114">
        <v>8832.9781149083174</v>
      </c>
      <c r="BF153" s="114">
        <v>2597.8290677542218</v>
      </c>
      <c r="BG153" s="114">
        <v>9394.1429885080288</v>
      </c>
      <c r="BH153" s="114">
        <v>2888.7778391382062</v>
      </c>
      <c r="BI153" s="114">
        <v>7869.2643719722855</v>
      </c>
      <c r="BJ153" s="114">
        <v>10634.629529077525</v>
      </c>
      <c r="BK153" s="114">
        <v>8199.6217930558469</v>
      </c>
      <c r="BL153" s="114">
        <v>11176.403596150558</v>
      </c>
      <c r="BM153" s="114">
        <v>10846.752563587908</v>
      </c>
      <c r="BN153" s="114">
        <v>8218.6100961245993</v>
      </c>
      <c r="BO153" s="114">
        <v>6727.8148895765762</v>
      </c>
      <c r="BP153" s="114">
        <v>8056.7115177988926</v>
      </c>
      <c r="BQ153" s="114">
        <v>4946.6916959329601</v>
      </c>
      <c r="BR153" s="114">
        <v>10092.044507365725</v>
      </c>
      <c r="BS153" s="114">
        <v>7537.3155693196095</v>
      </c>
      <c r="BT153" s="114">
        <v>7417.19361351922</v>
      </c>
      <c r="BU153" s="114">
        <v>7211.914387149719</v>
      </c>
      <c r="BV153" s="114">
        <v>6899.7494260082567</v>
      </c>
      <c r="BW153" s="114">
        <v>8500.7694265403916</v>
      </c>
      <c r="BX153" s="114">
        <v>573.31134631270879</v>
      </c>
      <c r="BY153" s="114">
        <v>2986.9344880156227</v>
      </c>
      <c r="BZ153" s="114">
        <v>5355.6005981918834</v>
      </c>
      <c r="CA153" s="114">
        <v>5089.9526871323387</v>
      </c>
      <c r="CB153" s="114">
        <v>1275.5226818331596</v>
      </c>
      <c r="CC153" s="114">
        <v>1043.3162070070941</v>
      </c>
      <c r="CD153" s="114">
        <v>2667.0265128707765</v>
      </c>
      <c r="CE153" s="114">
        <v>7979.8010645766335</v>
      </c>
      <c r="CF153" s="114">
        <v>6056.3019080133399</v>
      </c>
      <c r="CG153" s="114">
        <v>13683.633996148683</v>
      </c>
      <c r="CH153" s="114">
        <v>13340.15389260327</v>
      </c>
      <c r="CI153" s="114">
        <v>18285.198755307578</v>
      </c>
      <c r="CJ153" s="114">
        <v>10915.798479003384</v>
      </c>
      <c r="CK153" s="114">
        <v>10444.252548938424</v>
      </c>
      <c r="CL153" s="114">
        <v>6266.2986105803921</v>
      </c>
      <c r="CM153" s="114">
        <v>3189.9856265105541</v>
      </c>
      <c r="CN153" s="114">
        <v>7494.9959613411411</v>
      </c>
      <c r="CO153" s="114">
        <v>7233.9728658851664</v>
      </c>
      <c r="CP153" s="114">
        <v>1493.895304552773</v>
      </c>
      <c r="CQ153" s="114">
        <v>13690.284549647462</v>
      </c>
      <c r="CR153" s="114">
        <v>9740.1027858406469</v>
      </c>
      <c r="CS153" s="114">
        <v>11192.987261681481</v>
      </c>
      <c r="CT153" s="114">
        <v>10992.450073802351</v>
      </c>
      <c r="CU153" s="114">
        <v>10943.434694245374</v>
      </c>
      <c r="CV153" s="114">
        <v>12044.714336292718</v>
      </c>
      <c r="CW153" s="114">
        <v>15805.022992930124</v>
      </c>
      <c r="CX153" s="114">
        <v>8210.5652295681284</v>
      </c>
      <c r="CY153" s="114">
        <v>9651.8488001363166</v>
      </c>
      <c r="CZ153" s="114">
        <v>10902.417003586557</v>
      </c>
      <c r="DA153" s="114">
        <v>5770.4395605413774</v>
      </c>
      <c r="DB153" s="114">
        <v>7658.9098363981175</v>
      </c>
      <c r="DC153" s="114">
        <v>7245.7609581839451</v>
      </c>
      <c r="DD153" s="114">
        <v>8311.4895280450037</v>
      </c>
      <c r="DE153" s="114">
        <v>7020.5104549986127</v>
      </c>
      <c r="DF153" s="114">
        <v>12628.27123025107</v>
      </c>
      <c r="DG153" s="114">
        <v>11075.683614834597</v>
      </c>
      <c r="DH153" s="114">
        <v>17147.279793365531</v>
      </c>
      <c r="DI153" s="114">
        <v>14613.92255434174</v>
      </c>
      <c r="DJ153" s="114">
        <v>5907.458395310483</v>
      </c>
      <c r="DK153" s="114">
        <v>7730.0111339152809</v>
      </c>
      <c r="DL153" s="114">
        <v>13690.402127968517</v>
      </c>
      <c r="DM153" s="114">
        <v>13711.909980576525</v>
      </c>
      <c r="DN153" s="114">
        <v>3873.4898533079459</v>
      </c>
      <c r="DO153" s="114">
        <v>8716.7031482287457</v>
      </c>
      <c r="DP153" s="114">
        <v>7091.862063013883</v>
      </c>
      <c r="DQ153" s="114">
        <v>12699.996841863602</v>
      </c>
      <c r="DR153" s="114">
        <v>8059.1564259002143</v>
      </c>
      <c r="DS153" s="114">
        <v>5806.091312696748</v>
      </c>
      <c r="DT153" s="114">
        <v>11282.755350945548</v>
      </c>
      <c r="DU153" s="114">
        <v>15603.922288663516</v>
      </c>
      <c r="DV153" s="114">
        <v>9693.7576749717227</v>
      </c>
      <c r="DW153" s="114">
        <v>13949.697820921434</v>
      </c>
      <c r="DX153" s="114">
        <v>6945.7860132249116</v>
      </c>
      <c r="DY153" s="114">
        <v>14037.650103667018</v>
      </c>
      <c r="DZ153" s="114">
        <v>14010.597964678489</v>
      </c>
      <c r="EA153" s="114">
        <v>2617.7794271915013</v>
      </c>
      <c r="EB153" s="114">
        <v>6902.8938354977772</v>
      </c>
      <c r="EC153" s="114">
        <v>7572.2208847648399</v>
      </c>
      <c r="ED153" s="114">
        <v>13707.770668130162</v>
      </c>
      <c r="EE153" s="114">
        <v>8228.6992863566466</v>
      </c>
      <c r="EF153" s="114">
        <v>7406.4262320963835</v>
      </c>
      <c r="EG153" s="114">
        <v>12162.67263657952</v>
      </c>
      <c r="EH153" s="114">
        <v>12818.491526545078</v>
      </c>
      <c r="EI153" s="114">
        <v>12675.996851154925</v>
      </c>
      <c r="EJ153" s="114">
        <v>2033.776859762741</v>
      </c>
      <c r="EK153" s="114">
        <v>4732.9437504657053</v>
      </c>
      <c r="EL153" s="114">
        <v>3617.0160031759292</v>
      </c>
      <c r="EM153" s="114">
        <v>16484.541276426116</v>
      </c>
      <c r="EN153" s="114">
        <v>8065.3724528105749</v>
      </c>
      <c r="EO153" s="114">
        <v>5661.3300836523322</v>
      </c>
      <c r="EP153" s="114">
        <v>11442.102568376898</v>
      </c>
      <c r="EQ153" s="114">
        <v>8570.7258527955837</v>
      </c>
      <c r="ER153" s="114">
        <v>9046.7594123385807</v>
      </c>
      <c r="ES153" s="114">
        <v>10322.08600907359</v>
      </c>
      <c r="ET153" s="114" t="s">
        <v>237</v>
      </c>
      <c r="EU153" s="114">
        <v>402.40643659138573</v>
      </c>
      <c r="EV153" s="114">
        <v>474.5348640569066</v>
      </c>
      <c r="EW153" s="114">
        <v>7484.3613586243655</v>
      </c>
      <c r="EX153" s="114">
        <v>7758.5977667892139</v>
      </c>
      <c r="EY153" s="114">
        <v>11025.497500055273</v>
      </c>
      <c r="EZ153" s="114">
        <v>4830.6468086695859</v>
      </c>
      <c r="FA153" s="114">
        <v>8117.5483232112638</v>
      </c>
      <c r="FB153" s="114">
        <v>5418.3790155796141</v>
      </c>
      <c r="FC153" s="114">
        <v>17462.866068341427</v>
      </c>
      <c r="FD153" s="114">
        <v>7824.3763656895189</v>
      </c>
      <c r="FE153" s="114">
        <v>7631.2658439991374</v>
      </c>
      <c r="FF153" s="114">
        <v>11812.805867046445</v>
      </c>
      <c r="FG153" s="114">
        <v>10870.861916538144</v>
      </c>
      <c r="FH153" s="114">
        <v>13885.372754882854</v>
      </c>
      <c r="FI153" s="114">
        <v>10272.908270202865</v>
      </c>
      <c r="FJ153" s="114">
        <v>6170.3321039923267</v>
      </c>
      <c r="FK153" s="114">
        <v>6652.4890767491252</v>
      </c>
      <c r="FL153" s="114">
        <v>15080.556661484148</v>
      </c>
      <c r="FM153" s="114">
        <v>10000.176452233232</v>
      </c>
      <c r="FN153" s="114">
        <v>1523.1641871197658</v>
      </c>
      <c r="FO153" s="114">
        <v>7833.5188804738846</v>
      </c>
      <c r="FP153" s="114">
        <v>7089.6308276572536</v>
      </c>
      <c r="FQ153" s="114">
        <v>9736.5324495683235</v>
      </c>
      <c r="FR153" s="114">
        <v>15302.407960861288</v>
      </c>
      <c r="FS153" s="114">
        <v>12000.475444178281</v>
      </c>
      <c r="FT153" s="114">
        <v>11471.02965939605</v>
      </c>
      <c r="FU153" s="114">
        <v>16117.927555307895</v>
      </c>
      <c r="FV153" s="114">
        <v>18720.3923520223</v>
      </c>
      <c r="FW153" s="114">
        <v>7010.2538338485765</v>
      </c>
      <c r="FX153" s="114">
        <v>731.33017579306807</v>
      </c>
      <c r="FY153" s="114">
        <v>7343.7476420480334</v>
      </c>
      <c r="FZ153" s="114">
        <v>9213.9082015786043</v>
      </c>
      <c r="GA153" s="114">
        <v>11250.760341256318</v>
      </c>
      <c r="GB153" s="114">
        <v>10503.417087140955</v>
      </c>
      <c r="GC153" s="114">
        <v>8735.8916558872279</v>
      </c>
      <c r="GD153" s="114">
        <v>11744.3971050871</v>
      </c>
      <c r="GE153" s="114">
        <v>6618.8394038475044</v>
      </c>
      <c r="GF153" s="114">
        <v>5827.0476632173677</v>
      </c>
      <c r="GG153" s="114">
        <v>2843.6603105716235</v>
      </c>
      <c r="GH153" s="114">
        <v>2918.3394221538233</v>
      </c>
      <c r="GI153" s="114">
        <v>2800.7614380683049</v>
      </c>
      <c r="GJ153" s="114">
        <v>5784.2133975875831</v>
      </c>
      <c r="GK153" s="114">
        <v>11830.049633309805</v>
      </c>
      <c r="GL153" s="114">
        <v>883.9217514689534</v>
      </c>
      <c r="GM153" s="114">
        <v>15566.141737810372</v>
      </c>
      <c r="GN153" s="114">
        <v>11194.794916068269</v>
      </c>
      <c r="GO153" s="114">
        <v>10564.367337104959</v>
      </c>
      <c r="GP153" s="114">
        <v>10923.547163118947</v>
      </c>
      <c r="GQ153" s="114">
        <v>16678.241359367785</v>
      </c>
      <c r="GR153" s="114">
        <v>16307.711144676214</v>
      </c>
      <c r="GS153" s="114">
        <v>7188.6333156864293</v>
      </c>
      <c r="GT153" s="115">
        <v>10884.914437310694</v>
      </c>
    </row>
    <row r="154" spans="2:202" x14ac:dyDescent="0.6">
      <c r="B154" s="106" t="s">
        <v>140</v>
      </c>
      <c r="C154" s="63" t="s">
        <v>502</v>
      </c>
      <c r="D154" s="113">
        <v>12460.177060787855</v>
      </c>
      <c r="E154" s="114">
        <v>6743.3285953571976</v>
      </c>
      <c r="F154" s="114">
        <v>6664.1940676277391</v>
      </c>
      <c r="G154" s="114">
        <v>8509.1706546662354</v>
      </c>
      <c r="H154" s="114">
        <v>370.176761817608</v>
      </c>
      <c r="I154" s="114">
        <v>5595.660343625882</v>
      </c>
      <c r="J154" s="114">
        <v>10228.383491785456</v>
      </c>
      <c r="K154" s="114">
        <v>16147.150836566674</v>
      </c>
      <c r="L154" s="114">
        <v>7876.6012713113632</v>
      </c>
      <c r="M154" s="114">
        <v>10633.891804851297</v>
      </c>
      <c r="N154" s="114">
        <v>2126.5846618601754</v>
      </c>
      <c r="O154" s="114">
        <v>11316.1115508166</v>
      </c>
      <c r="P154" s="114">
        <v>14780.762372919826</v>
      </c>
      <c r="Q154" s="114">
        <v>175.44539334476957</v>
      </c>
      <c r="R154" s="114">
        <v>8619.6168980567018</v>
      </c>
      <c r="S154" s="114">
        <v>7035.4637085926634</v>
      </c>
      <c r="T154" s="114">
        <v>2986.9112961750334</v>
      </c>
      <c r="U154" s="114">
        <v>6932.3831401091084</v>
      </c>
      <c r="V154" s="114">
        <v>14396.197689223463</v>
      </c>
      <c r="W154" s="114">
        <v>3460.3958509529598</v>
      </c>
      <c r="X154" s="114">
        <v>8046.3609641136009</v>
      </c>
      <c r="Y154" s="114">
        <v>10268.629440120318</v>
      </c>
      <c r="Z154" s="114">
        <v>4444.7617397571103</v>
      </c>
      <c r="AA154" s="114">
        <v>4522.3022516621049</v>
      </c>
      <c r="AB154" s="114">
        <v>17896.653242013355</v>
      </c>
      <c r="AC154" s="114">
        <v>8456.3637685920185</v>
      </c>
      <c r="AD154" s="114">
        <v>6407.198250917023</v>
      </c>
      <c r="AE154" s="114">
        <v>10066.77327638822</v>
      </c>
      <c r="AF154" s="114">
        <v>4005.5049916139483</v>
      </c>
      <c r="AG154" s="114">
        <v>16751.455790084558</v>
      </c>
      <c r="AH154" s="114">
        <v>7772.9955227706951</v>
      </c>
      <c r="AI154" s="114">
        <v>7964.7916786689148</v>
      </c>
      <c r="AJ154" s="114">
        <v>3754.6704242301321</v>
      </c>
      <c r="AK154" s="114">
        <v>3745.1700888454343</v>
      </c>
      <c r="AL154" s="114">
        <v>8700.9478370231263</v>
      </c>
      <c r="AM154" s="114">
        <v>8109.0934182484807</v>
      </c>
      <c r="AN154" s="114">
        <v>5357.4514894850399</v>
      </c>
      <c r="AO154" s="114">
        <v>14979.698963175513</v>
      </c>
      <c r="AP154" s="114">
        <v>14049.027329697188</v>
      </c>
      <c r="AQ154" s="114">
        <v>1822.8628284503325</v>
      </c>
      <c r="AR154" s="114">
        <v>11774.350807687204</v>
      </c>
      <c r="AS154" s="114">
        <v>8610.6322100181933</v>
      </c>
      <c r="AT154" s="114">
        <v>8582.9183020754645</v>
      </c>
      <c r="AU154" s="114">
        <v>2597.9696111147728</v>
      </c>
      <c r="AV154" s="114">
        <v>6259.4405597985606</v>
      </c>
      <c r="AW154" s="114">
        <v>7828.0429107696636</v>
      </c>
      <c r="AX154" s="114">
        <v>2489.5943764905915</v>
      </c>
      <c r="AY154" s="114">
        <v>9457.1715345153461</v>
      </c>
      <c r="AZ154" s="114">
        <v>7735.8520376808628</v>
      </c>
      <c r="BA154" s="114">
        <v>7653.0580215745276</v>
      </c>
      <c r="BB154" s="114">
        <v>11057.519725614931</v>
      </c>
      <c r="BC154" s="114">
        <v>149.1947412053841</v>
      </c>
      <c r="BD154" s="114">
        <v>1073.2153182186034</v>
      </c>
      <c r="BE154" s="114">
        <v>8589.373589434028</v>
      </c>
      <c r="BF154" s="114">
        <v>2511.7754724753413</v>
      </c>
      <c r="BG154" s="114">
        <v>9395.304793039073</v>
      </c>
      <c r="BH154" s="114">
        <v>3079.8472382972059</v>
      </c>
      <c r="BI154" s="114">
        <v>7658.7246019854128</v>
      </c>
      <c r="BJ154" s="114">
        <v>10550.323516723181</v>
      </c>
      <c r="BK154" s="114">
        <v>8391.8596390483635</v>
      </c>
      <c r="BL154" s="114">
        <v>10849.704273639201</v>
      </c>
      <c r="BM154" s="114">
        <v>10722.058127820155</v>
      </c>
      <c r="BN154" s="114">
        <v>8416.8963654365252</v>
      </c>
      <c r="BO154" s="114">
        <v>6850.4941761489335</v>
      </c>
      <c r="BP154" s="114">
        <v>7828.2666393548398</v>
      </c>
      <c r="BQ154" s="114">
        <v>4767.533487801742</v>
      </c>
      <c r="BR154" s="114">
        <v>10192.001594903395</v>
      </c>
      <c r="BS154" s="114">
        <v>7682.3810520387296</v>
      </c>
      <c r="BT154" s="114">
        <v>7532.6772574091901</v>
      </c>
      <c r="BU154" s="114">
        <v>7342.6040926028472</v>
      </c>
      <c r="BV154" s="114">
        <v>6686.631385691152</v>
      </c>
      <c r="BW154" s="114">
        <v>8544.7840106763942</v>
      </c>
      <c r="BX154" s="114">
        <v>252.37758337575636</v>
      </c>
      <c r="BY154" s="114">
        <v>3193.0447937122676</v>
      </c>
      <c r="BZ154" s="114">
        <v>5147.1873675754232</v>
      </c>
      <c r="CA154" s="114">
        <v>4896.1141541873594</v>
      </c>
      <c r="CB154" s="114">
        <v>878.37476177222266</v>
      </c>
      <c r="CC154" s="114">
        <v>1332.3775976899581</v>
      </c>
      <c r="CD154" s="114">
        <v>2863.6357649323827</v>
      </c>
      <c r="CE154" s="114">
        <v>8089.9101797231078</v>
      </c>
      <c r="CF154" s="114">
        <v>6318.4275055619864</v>
      </c>
      <c r="CG154" s="114">
        <v>13729.919430893278</v>
      </c>
      <c r="CH154" s="114">
        <v>13464.712795712536</v>
      </c>
      <c r="CI154" s="114">
        <v>18340.029612370814</v>
      </c>
      <c r="CJ154" s="114">
        <v>10993.233753701821</v>
      </c>
      <c r="CK154" s="114">
        <v>10491.078056557872</v>
      </c>
      <c r="CL154" s="114">
        <v>6433.6432708969651</v>
      </c>
      <c r="CM154" s="114">
        <v>3253.252100622225</v>
      </c>
      <c r="CN154" s="114">
        <v>7561.6595022604415</v>
      </c>
      <c r="CO154" s="114">
        <v>7330.1699638667851</v>
      </c>
      <c r="CP154" s="114">
        <v>1757.3530324105045</v>
      </c>
      <c r="CQ154" s="114">
        <v>14088.328052628471</v>
      </c>
      <c r="CR154" s="114">
        <v>9759.0563296529217</v>
      </c>
      <c r="CS154" s="114">
        <v>11408.875842848616</v>
      </c>
      <c r="CT154" s="114">
        <v>10800.672485416935</v>
      </c>
      <c r="CU154" s="114">
        <v>10973.456246364327</v>
      </c>
      <c r="CV154" s="114">
        <v>12231.572824299034</v>
      </c>
      <c r="CW154" s="114">
        <v>16030.837017776576</v>
      </c>
      <c r="CX154" s="114">
        <v>8385.3145999165517</v>
      </c>
      <c r="CY154" s="114">
        <v>9683.605750018829</v>
      </c>
      <c r="CZ154" s="114">
        <v>10561.112201869344</v>
      </c>
      <c r="DA154" s="114">
        <v>5544.027201568063</v>
      </c>
      <c r="DB154" s="114">
        <v>7657.8782500323405</v>
      </c>
      <c r="DC154" s="114">
        <v>7353.9681328852548</v>
      </c>
      <c r="DD154" s="114">
        <v>8472.5389097710959</v>
      </c>
      <c r="DE154" s="114">
        <v>7147.0122121626564</v>
      </c>
      <c r="DF154" s="114">
        <v>12351.226589837379</v>
      </c>
      <c r="DG154" s="114">
        <v>10807.674642301297</v>
      </c>
      <c r="DH154" s="114">
        <v>17264.191523336787</v>
      </c>
      <c r="DI154" s="114">
        <v>14546.826581575819</v>
      </c>
      <c r="DJ154" s="114">
        <v>5732.5528307655168</v>
      </c>
      <c r="DK154" s="114">
        <v>7752.4797582635238</v>
      </c>
      <c r="DL154" s="114">
        <v>13412.127471548634</v>
      </c>
      <c r="DM154" s="114">
        <v>13433.389301860712</v>
      </c>
      <c r="DN154" s="114">
        <v>4136.4215272394467</v>
      </c>
      <c r="DO154" s="114">
        <v>8830.9575226938487</v>
      </c>
      <c r="DP154" s="114">
        <v>7175.4611106806587</v>
      </c>
      <c r="DQ154" s="114">
        <v>13016.754397516266</v>
      </c>
      <c r="DR154" s="114">
        <v>8134.7591241888185</v>
      </c>
      <c r="DS154" s="114">
        <v>5818.3465278651784</v>
      </c>
      <c r="DT154" s="114">
        <v>10959.569472093392</v>
      </c>
      <c r="DU154" s="114">
        <v>15774.301464968145</v>
      </c>
      <c r="DV154" s="114">
        <v>9367.7177453115964</v>
      </c>
      <c r="DW154" s="114">
        <v>14109.309520770736</v>
      </c>
      <c r="DX154" s="114">
        <v>7094.1885643914093</v>
      </c>
      <c r="DY154" s="114">
        <v>14002.035879676097</v>
      </c>
      <c r="DZ154" s="114">
        <v>13937.950989985096</v>
      </c>
      <c r="EA154" s="114">
        <v>2782.541754005772</v>
      </c>
      <c r="EB154" s="114">
        <v>6747.9977298682024</v>
      </c>
      <c r="EC154" s="114">
        <v>7395.6387429747156</v>
      </c>
      <c r="ED154" s="114">
        <v>14078.02193578936</v>
      </c>
      <c r="EE154" s="114">
        <v>8302.399757081841</v>
      </c>
      <c r="EF154" s="114">
        <v>7601.9191912423512</v>
      </c>
      <c r="EG154" s="114">
        <v>12183.011796619105</v>
      </c>
      <c r="EH154" s="114">
        <v>12879.340472123851</v>
      </c>
      <c r="EI154" s="114">
        <v>12811.462175740284</v>
      </c>
      <c r="EJ154" s="114">
        <v>2108.3987608185003</v>
      </c>
      <c r="EK154" s="114">
        <v>4364.4582595465972</v>
      </c>
      <c r="EL154" s="114">
        <v>3412.6399000086608</v>
      </c>
      <c r="EM154" s="114">
        <v>16850.147539693236</v>
      </c>
      <c r="EN154" s="114">
        <v>8209.7589647350724</v>
      </c>
      <c r="EO154" s="114">
        <v>5714.8419925461621</v>
      </c>
      <c r="EP154" s="114">
        <v>11453.651047895068</v>
      </c>
      <c r="EQ154" s="114">
        <v>8663.8925076340256</v>
      </c>
      <c r="ER154" s="114">
        <v>9225.6448426707575</v>
      </c>
      <c r="ES154" s="114">
        <v>10117.235106548249</v>
      </c>
      <c r="ET154" s="114">
        <v>402.40643659138573</v>
      </c>
      <c r="EU154" s="114" t="s">
        <v>237</v>
      </c>
      <c r="EV154" s="114">
        <v>116.72441980299227</v>
      </c>
      <c r="EW154" s="114">
        <v>7566.0181497919184</v>
      </c>
      <c r="EX154" s="114">
        <v>7524.2783597588459</v>
      </c>
      <c r="EY154" s="114">
        <v>11019.615209555814</v>
      </c>
      <c r="EZ154" s="114">
        <v>4660.0543033702097</v>
      </c>
      <c r="FA154" s="114">
        <v>8208.4332186654501</v>
      </c>
      <c r="FB154" s="114">
        <v>5202.7384549578965</v>
      </c>
      <c r="FC154" s="114">
        <v>17591.169916186485</v>
      </c>
      <c r="FD154" s="114">
        <v>7939.7139869736438</v>
      </c>
      <c r="FE154" s="114">
        <v>7731.3915374066664</v>
      </c>
      <c r="FF154" s="114">
        <v>11656.580137572601</v>
      </c>
      <c r="FG154" s="114">
        <v>10544.551346860386</v>
      </c>
      <c r="FH154" s="114">
        <v>14259.581099120591</v>
      </c>
      <c r="FI154" s="114">
        <v>10109.359296805234</v>
      </c>
      <c r="FJ154" s="114">
        <v>6232.8255028293634</v>
      </c>
      <c r="FK154" s="114">
        <v>6719.9552738051116</v>
      </c>
      <c r="FL154" s="114">
        <v>15067.606583394159</v>
      </c>
      <c r="FM154" s="114">
        <v>9904.7515601693267</v>
      </c>
      <c r="FN154" s="114">
        <v>1121.3533100906463</v>
      </c>
      <c r="FO154" s="114">
        <v>8024.887899938135</v>
      </c>
      <c r="FP154" s="114">
        <v>7194.7050817642112</v>
      </c>
      <c r="FQ154" s="114">
        <v>9768.2317139215229</v>
      </c>
      <c r="FR154" s="114">
        <v>15666.3641010785</v>
      </c>
      <c r="FS154" s="114">
        <v>12145.660624487882</v>
      </c>
      <c r="FT154" s="114">
        <v>11250.390106073224</v>
      </c>
      <c r="FU154" s="114">
        <v>16305.23469405385</v>
      </c>
      <c r="FV154" s="114">
        <v>19111.179695082206</v>
      </c>
      <c r="FW154" s="114">
        <v>6804.1750330496789</v>
      </c>
      <c r="FX154" s="114">
        <v>387.34682875260035</v>
      </c>
      <c r="FY154" s="114">
        <v>7371.8437740002719</v>
      </c>
      <c r="FZ154" s="114">
        <v>9282.1065202356749</v>
      </c>
      <c r="GA154" s="114">
        <v>11360.179632968842</v>
      </c>
      <c r="GB154" s="114">
        <v>10312.841685707272</v>
      </c>
      <c r="GC154" s="114">
        <v>8873.2994674605761</v>
      </c>
      <c r="GD154" s="114">
        <v>11758.224103740993</v>
      </c>
      <c r="GE154" s="114">
        <v>6764.9396250882892</v>
      </c>
      <c r="GF154" s="114">
        <v>6177.3851858570733</v>
      </c>
      <c r="GG154" s="114">
        <v>3241.5664473101724</v>
      </c>
      <c r="GH154" s="114">
        <v>3308.1799067831162</v>
      </c>
      <c r="GI154" s="114">
        <v>3202.8754652131074</v>
      </c>
      <c r="GJ154" s="114">
        <v>5415.8304896202799</v>
      </c>
      <c r="GK154" s="114">
        <v>11992.404562498488</v>
      </c>
      <c r="GL154" s="114">
        <v>769.44078385633657</v>
      </c>
      <c r="GM154" s="114">
        <v>15829.66764892042</v>
      </c>
      <c r="GN154" s="114">
        <v>11123.749425361319</v>
      </c>
      <c r="GO154" s="114">
        <v>10283.266358793215</v>
      </c>
      <c r="GP154" s="114">
        <v>10635.548147308338</v>
      </c>
      <c r="GQ154" s="114">
        <v>16913.408079106088</v>
      </c>
      <c r="GR154" s="114">
        <v>16225.213716671846</v>
      </c>
      <c r="GS154" s="114">
        <v>7299.2752095541782</v>
      </c>
      <c r="GT154" s="115">
        <v>10555.507803832963</v>
      </c>
    </row>
    <row r="155" spans="2:202" x14ac:dyDescent="0.6">
      <c r="B155" s="106" t="s">
        <v>141</v>
      </c>
      <c r="C155" s="63" t="s">
        <v>503</v>
      </c>
      <c r="D155" s="113">
        <v>12573.171097075536</v>
      </c>
      <c r="E155" s="114">
        <v>6847.4685605615823</v>
      </c>
      <c r="F155" s="114">
        <v>6773.9017477007956</v>
      </c>
      <c r="G155" s="114">
        <v>8542.2539169321954</v>
      </c>
      <c r="H155" s="114">
        <v>454.00406050484696</v>
      </c>
      <c r="I155" s="114">
        <v>5494.2430908293745</v>
      </c>
      <c r="J155" s="114">
        <v>10338.839441451626</v>
      </c>
      <c r="K155" s="114">
        <v>16037.851680151813</v>
      </c>
      <c r="L155" s="114">
        <v>7989.5649905754071</v>
      </c>
      <c r="M155" s="114">
        <v>10745.401887902326</v>
      </c>
      <c r="N155" s="114">
        <v>2147.5899218407594</v>
      </c>
      <c r="O155" s="114">
        <v>11416.996691062408</v>
      </c>
      <c r="P155" s="114">
        <v>14896.09459084162</v>
      </c>
      <c r="Q155" s="114">
        <v>195.04075104839274</v>
      </c>
      <c r="R155" s="114">
        <v>8735.0237298056927</v>
      </c>
      <c r="S155" s="114">
        <v>7149.9623267331572</v>
      </c>
      <c r="T155" s="114">
        <v>2951.9272038973577</v>
      </c>
      <c r="U155" s="114">
        <v>6988.6620432991022</v>
      </c>
      <c r="V155" s="114">
        <v>14512.217861057437</v>
      </c>
      <c r="W155" s="114">
        <v>3347.6501074030666</v>
      </c>
      <c r="X155" s="114">
        <v>8156.4672736011507</v>
      </c>
      <c r="Y155" s="114">
        <v>10277.175448941454</v>
      </c>
      <c r="Z155" s="114">
        <v>4368.8521358836424</v>
      </c>
      <c r="AA155" s="114">
        <v>4454.291716328712</v>
      </c>
      <c r="AB155" s="114">
        <v>18009.049484295636</v>
      </c>
      <c r="AC155" s="114">
        <v>8565.9058858041863</v>
      </c>
      <c r="AD155" s="114">
        <v>6473.7724061396802</v>
      </c>
      <c r="AE155" s="114">
        <v>10117.42640316822</v>
      </c>
      <c r="AF155" s="114">
        <v>4073.7700404900233</v>
      </c>
      <c r="AG155" s="114">
        <v>16868.095083075834</v>
      </c>
      <c r="AH155" s="114">
        <v>7828.1919360956717</v>
      </c>
      <c r="AI155" s="114">
        <v>8019.677777895341</v>
      </c>
      <c r="AJ155" s="114">
        <v>3824.8619598757618</v>
      </c>
      <c r="AK155" s="114">
        <v>3824.4152941360589</v>
      </c>
      <c r="AL155" s="114">
        <v>8760.0400030877718</v>
      </c>
      <c r="AM155" s="114">
        <v>8180.2516757979665</v>
      </c>
      <c r="AN155" s="114">
        <v>5246.4146934988203</v>
      </c>
      <c r="AO155" s="114">
        <v>15079.141958409686</v>
      </c>
      <c r="AP155" s="114">
        <v>14153.994918757626</v>
      </c>
      <c r="AQ155" s="114">
        <v>1718.9144694689901</v>
      </c>
      <c r="AR155" s="114">
        <v>11815.451379526365</v>
      </c>
      <c r="AS155" s="114">
        <v>8652.802588145958</v>
      </c>
      <c r="AT155" s="114">
        <v>8625.4385870848455</v>
      </c>
      <c r="AU155" s="114">
        <v>2528.8609407509125</v>
      </c>
      <c r="AV155" s="114">
        <v>6311.0276973535165</v>
      </c>
      <c r="AW155" s="114">
        <v>7939.4555243584846</v>
      </c>
      <c r="AX155" s="114">
        <v>2488.5112037253907</v>
      </c>
      <c r="AY155" s="114">
        <v>9561.9436648031824</v>
      </c>
      <c r="AZ155" s="114">
        <v>7849.8074241551803</v>
      </c>
      <c r="BA155" s="114">
        <v>7768.9814569189293</v>
      </c>
      <c r="BB155" s="114">
        <v>11136.837406554712</v>
      </c>
      <c r="BC155" s="114">
        <v>233.99667131812254</v>
      </c>
      <c r="BD155" s="114">
        <v>1076.7914454347178</v>
      </c>
      <c r="BE155" s="114">
        <v>8631.7021093405147</v>
      </c>
      <c r="BF155" s="114">
        <v>2405.3829259288755</v>
      </c>
      <c r="BG155" s="114">
        <v>9494.792496111535</v>
      </c>
      <c r="BH155" s="114">
        <v>3029.1343866931256</v>
      </c>
      <c r="BI155" s="114">
        <v>7712.2774623217219</v>
      </c>
      <c r="BJ155" s="114">
        <v>10634.026879359184</v>
      </c>
      <c r="BK155" s="114">
        <v>8508.4318160575585</v>
      </c>
      <c r="BL155" s="114">
        <v>10857.020820665572</v>
      </c>
      <c r="BM155" s="114">
        <v>10796.770279780361</v>
      </c>
      <c r="BN155" s="114">
        <v>8533.5528973737109</v>
      </c>
      <c r="BO155" s="114">
        <v>6964.1624339708733</v>
      </c>
      <c r="BP155" s="114">
        <v>7876.0988155566192</v>
      </c>
      <c r="BQ155" s="114">
        <v>4832.5484792103698</v>
      </c>
      <c r="BR155" s="114">
        <v>10303.284739281829</v>
      </c>
      <c r="BS155" s="114">
        <v>7797.3056651217648</v>
      </c>
      <c r="BT155" s="114">
        <v>7645.7104710697467</v>
      </c>
      <c r="BU155" s="114">
        <v>7456.7247466224462</v>
      </c>
      <c r="BV155" s="114">
        <v>6740.0740856952625</v>
      </c>
      <c r="BW155" s="114">
        <v>8650.448035679352</v>
      </c>
      <c r="BX155" s="114">
        <v>135.71684734732511</v>
      </c>
      <c r="BY155" s="114">
        <v>3146.4843618578839</v>
      </c>
      <c r="BZ155" s="114">
        <v>5203.4160991488206</v>
      </c>
      <c r="CA155" s="114">
        <v>4956.8901351339009</v>
      </c>
      <c r="CB155" s="114">
        <v>803.16823678676099</v>
      </c>
      <c r="CC155" s="114">
        <v>1325.4817654010678</v>
      </c>
      <c r="CD155" s="114">
        <v>2815.2089224026231</v>
      </c>
      <c r="CE155" s="114">
        <v>8202.4300234769253</v>
      </c>
      <c r="CF155" s="114">
        <v>6433.5124748469079</v>
      </c>
      <c r="CG155" s="114">
        <v>13834.257272172405</v>
      </c>
      <c r="CH155" s="114">
        <v>13577.473425175458</v>
      </c>
      <c r="CI155" s="114">
        <v>18439.308429450011</v>
      </c>
      <c r="CJ155" s="114">
        <v>11102.128792137528</v>
      </c>
      <c r="CK155" s="114">
        <v>10596.547821258984</v>
      </c>
      <c r="CL155" s="114">
        <v>6549.6767765802169</v>
      </c>
      <c r="CM155" s="114">
        <v>3363.3939893729189</v>
      </c>
      <c r="CN155" s="114">
        <v>7670.2181661699087</v>
      </c>
      <c r="CO155" s="114">
        <v>7441.6716574427655</v>
      </c>
      <c r="CP155" s="114">
        <v>1736.4385720880503</v>
      </c>
      <c r="CQ155" s="114">
        <v>14163.720533870677</v>
      </c>
      <c r="CR155" s="114">
        <v>9861.028610937934</v>
      </c>
      <c r="CS155" s="114">
        <v>11525.599378146646</v>
      </c>
      <c r="CT155" s="114">
        <v>10857.910719453925</v>
      </c>
      <c r="CU155" s="114">
        <v>11076.582440692162</v>
      </c>
      <c r="CV155" s="114">
        <v>12347.885590584588</v>
      </c>
      <c r="CW155" s="114">
        <v>16147.560678708069</v>
      </c>
      <c r="CX155" s="114">
        <v>8501.4603758744306</v>
      </c>
      <c r="CY155" s="114">
        <v>9787.3599549348965</v>
      </c>
      <c r="CZ155" s="114">
        <v>10560.994908449265</v>
      </c>
      <c r="DA155" s="114">
        <v>5594.2685950670066</v>
      </c>
      <c r="DB155" s="114">
        <v>7757.6749369733216</v>
      </c>
      <c r="DC155" s="114">
        <v>7466.4709107663311</v>
      </c>
      <c r="DD155" s="114">
        <v>8588.1645033515615</v>
      </c>
      <c r="DE155" s="114">
        <v>7260.8895773270197</v>
      </c>
      <c r="DF155" s="114">
        <v>12379.202608620191</v>
      </c>
      <c r="DG155" s="114">
        <v>10840.017543664919</v>
      </c>
      <c r="DH155" s="114">
        <v>17374.489628740896</v>
      </c>
      <c r="DI155" s="114">
        <v>14631.687639642114</v>
      </c>
      <c r="DJ155" s="114">
        <v>5797.7464234184745</v>
      </c>
      <c r="DK155" s="114">
        <v>7855.5999139741443</v>
      </c>
      <c r="DL155" s="114">
        <v>13438.877866506222</v>
      </c>
      <c r="DM155" s="114">
        <v>13460.028154854193</v>
      </c>
      <c r="DN155" s="114">
        <v>4106.6397594791006</v>
      </c>
      <c r="DO155" s="114">
        <v>8943.6810094389893</v>
      </c>
      <c r="DP155" s="114">
        <v>7285.842107208211</v>
      </c>
      <c r="DQ155" s="114">
        <v>13126.739878886989</v>
      </c>
      <c r="DR155" s="114">
        <v>8244.1130339342708</v>
      </c>
      <c r="DS155" s="114">
        <v>5920.8644959210396</v>
      </c>
      <c r="DT155" s="114">
        <v>10968.546052289623</v>
      </c>
      <c r="DU155" s="114">
        <v>15889.584890300441</v>
      </c>
      <c r="DV155" s="114">
        <v>9376.1124101933183</v>
      </c>
      <c r="DW155" s="114">
        <v>14224.321641028311</v>
      </c>
      <c r="DX155" s="114">
        <v>7209.3544983767661</v>
      </c>
      <c r="DY155" s="114">
        <v>13896.55042911025</v>
      </c>
      <c r="DZ155" s="114">
        <v>13828.335505280153</v>
      </c>
      <c r="EA155" s="114">
        <v>2725.3479005210784</v>
      </c>
      <c r="EB155" s="114">
        <v>6817.6210625655904</v>
      </c>
      <c r="EC155" s="114">
        <v>7459.1296292373218</v>
      </c>
      <c r="ED155" s="114">
        <v>14173.919494761078</v>
      </c>
      <c r="EE155" s="114">
        <v>8411.5163191353276</v>
      </c>
      <c r="EF155" s="114">
        <v>7718.5591275787247</v>
      </c>
      <c r="EG155" s="114">
        <v>12284.365685198478</v>
      </c>
      <c r="EH155" s="114">
        <v>12985.835050710282</v>
      </c>
      <c r="EI155" s="114">
        <v>12925.161775899416</v>
      </c>
      <c r="EJ155" s="114">
        <v>2031.8003201048568</v>
      </c>
      <c r="EK155" s="114">
        <v>4267.5837881929465</v>
      </c>
      <c r="EL155" s="114">
        <v>3296.202020992278</v>
      </c>
      <c r="EM155" s="114">
        <v>16948.495981052914</v>
      </c>
      <c r="EN155" s="114">
        <v>8324.587075525571</v>
      </c>
      <c r="EO155" s="114">
        <v>5822.5581071608649</v>
      </c>
      <c r="EP155" s="114">
        <v>11553.98070261043</v>
      </c>
      <c r="EQ155" s="114">
        <v>8774.8456726784534</v>
      </c>
      <c r="ER155" s="114">
        <v>9341.8732052893502</v>
      </c>
      <c r="ES155" s="114">
        <v>10171.035807466784</v>
      </c>
      <c r="ET155" s="114">
        <v>474.5348640569066</v>
      </c>
      <c r="EU155" s="114">
        <v>116.72441980299227</v>
      </c>
      <c r="EV155" s="114" t="s">
        <v>237</v>
      </c>
      <c r="EW155" s="114">
        <v>7676.1159638114705</v>
      </c>
      <c r="EX155" s="114">
        <v>7570.3917292224205</v>
      </c>
      <c r="EY155" s="114">
        <v>11117.425773378172</v>
      </c>
      <c r="EZ155" s="114">
        <v>4727.4898378000853</v>
      </c>
      <c r="FA155" s="114">
        <v>8319.2679826278763</v>
      </c>
      <c r="FB155" s="114">
        <v>5256.7080048521766</v>
      </c>
      <c r="FC155" s="114">
        <v>17702.215865047441</v>
      </c>
      <c r="FD155" s="114">
        <v>8052.6668056756762</v>
      </c>
      <c r="FE155" s="114">
        <v>7843.1509546807465</v>
      </c>
      <c r="FF155" s="114">
        <v>11723.003349793382</v>
      </c>
      <c r="FG155" s="114">
        <v>10552.216038399672</v>
      </c>
      <c r="FH155" s="114">
        <v>14353.694236672629</v>
      </c>
      <c r="FI155" s="114">
        <v>10174.751167897079</v>
      </c>
      <c r="FJ155" s="114">
        <v>6341.3347125303908</v>
      </c>
      <c r="FK155" s="114">
        <v>6828.8381172000345</v>
      </c>
      <c r="FL155" s="114">
        <v>15162.154486374984</v>
      </c>
      <c r="FM155" s="114">
        <v>9986.4301945403513</v>
      </c>
      <c r="FN155" s="114">
        <v>1070.9602421282923</v>
      </c>
      <c r="FO155" s="114">
        <v>8141.4560435787107</v>
      </c>
      <c r="FP155" s="114">
        <v>7306.9866575497017</v>
      </c>
      <c r="FQ155" s="114">
        <v>9871.9528111628442</v>
      </c>
      <c r="FR155" s="114">
        <v>15765.049869248645</v>
      </c>
      <c r="FS155" s="114">
        <v>12260.097569044294</v>
      </c>
      <c r="FT155" s="114">
        <v>11298.6793799933</v>
      </c>
      <c r="FU155" s="114">
        <v>16421.175371397698</v>
      </c>
      <c r="FV155" s="114">
        <v>19134.901261328308</v>
      </c>
      <c r="FW155" s="114">
        <v>6859.6614408569994</v>
      </c>
      <c r="FX155" s="114">
        <v>275.37684837461302</v>
      </c>
      <c r="FY155" s="114">
        <v>7475.8492835977677</v>
      </c>
      <c r="FZ155" s="114">
        <v>9390.4000906676647</v>
      </c>
      <c r="GA155" s="114">
        <v>11472.086195373331</v>
      </c>
      <c r="GB155" s="114">
        <v>10370.705269376271</v>
      </c>
      <c r="GC155" s="114">
        <v>8987.6415087312525</v>
      </c>
      <c r="GD155" s="114">
        <v>11858.781574702114</v>
      </c>
      <c r="GE155" s="114">
        <v>6880.0277082704633</v>
      </c>
      <c r="GF155" s="114">
        <v>6184.3493238429182</v>
      </c>
      <c r="GG155" s="114">
        <v>3317.6515443557432</v>
      </c>
      <c r="GH155" s="114">
        <v>3392.243762760439</v>
      </c>
      <c r="GI155" s="114">
        <v>3269.3778320961378</v>
      </c>
      <c r="GJ155" s="114">
        <v>5319.0762147780879</v>
      </c>
      <c r="GK155" s="114">
        <v>12107.801746508749</v>
      </c>
      <c r="GL155" s="114">
        <v>670.07072649625491</v>
      </c>
      <c r="GM155" s="114">
        <v>15945.428491464487</v>
      </c>
      <c r="GN155" s="114">
        <v>11209.870253750169</v>
      </c>
      <c r="GO155" s="114">
        <v>10310.895657189758</v>
      </c>
      <c r="GP155" s="114">
        <v>10660.225635960576</v>
      </c>
      <c r="GQ155" s="114">
        <v>17030.108124939434</v>
      </c>
      <c r="GR155" s="114">
        <v>16113.7107836493</v>
      </c>
      <c r="GS155" s="114">
        <v>7411.9802684427304</v>
      </c>
      <c r="GT155" s="115">
        <v>10561.624462587182</v>
      </c>
    </row>
    <row r="156" spans="2:202" x14ac:dyDescent="0.6">
      <c r="B156" s="106" t="s">
        <v>142</v>
      </c>
      <c r="C156" s="63" t="s">
        <v>142</v>
      </c>
      <c r="D156" s="113">
        <v>4924.0539924980876</v>
      </c>
      <c r="E156" s="114">
        <v>1114.718866272231</v>
      </c>
      <c r="F156" s="114">
        <v>903.82185738129795</v>
      </c>
      <c r="G156" s="114">
        <v>5788.3332008763373</v>
      </c>
      <c r="H156" s="114">
        <v>7440.478304957046</v>
      </c>
      <c r="I156" s="114">
        <v>11488.069031747324</v>
      </c>
      <c r="J156" s="114">
        <v>2663.1964977351827</v>
      </c>
      <c r="K156" s="114">
        <v>16315.321120253022</v>
      </c>
      <c r="L156" s="114">
        <v>591.80521353597783</v>
      </c>
      <c r="M156" s="114">
        <v>3078.0326560479784</v>
      </c>
      <c r="N156" s="114">
        <v>8083.3479636664952</v>
      </c>
      <c r="O156" s="114">
        <v>3926.6722028119998</v>
      </c>
      <c r="P156" s="114">
        <v>7297.3628327471961</v>
      </c>
      <c r="Q156" s="114">
        <v>7534.8937878364522</v>
      </c>
      <c r="R156" s="114">
        <v>1558.8352057716975</v>
      </c>
      <c r="S156" s="114">
        <v>986.16112786768758</v>
      </c>
      <c r="T156" s="114">
        <v>9522.0177006457307</v>
      </c>
      <c r="U156" s="114">
        <v>4260.8201233284753</v>
      </c>
      <c r="V156" s="114">
        <v>6967.0199020714399</v>
      </c>
      <c r="W156" s="114">
        <v>10493.171991669189</v>
      </c>
      <c r="X156" s="114">
        <v>480.3513653694493</v>
      </c>
      <c r="Y156" s="114">
        <v>7681.8508056834662</v>
      </c>
      <c r="Z156" s="114">
        <v>9577.6231064524382</v>
      </c>
      <c r="AA156" s="114">
        <v>9303.864045984501</v>
      </c>
      <c r="AB156" s="114">
        <v>10674.82554498319</v>
      </c>
      <c r="AC156" s="114">
        <v>894.15222010596244</v>
      </c>
      <c r="AD156" s="114">
        <v>3727.3580035518271</v>
      </c>
      <c r="AE156" s="114">
        <v>5461.5997844100184</v>
      </c>
      <c r="AF156" s="114">
        <v>4629.0400260198785</v>
      </c>
      <c r="AG156" s="114">
        <v>9317.6315403266908</v>
      </c>
      <c r="AH156" s="114">
        <v>4399.8163098375935</v>
      </c>
      <c r="AI156" s="114">
        <v>4454.3412818415209</v>
      </c>
      <c r="AJ156" s="114">
        <v>6958.8135292371999</v>
      </c>
      <c r="AK156" s="114">
        <v>6599.5831433322219</v>
      </c>
      <c r="AL156" s="114">
        <v>4412.5058874204151</v>
      </c>
      <c r="AM156" s="114">
        <v>3503.9850626147845</v>
      </c>
      <c r="AN156" s="114">
        <v>11953.025498470533</v>
      </c>
      <c r="AO156" s="114">
        <v>9024.1816535752932</v>
      </c>
      <c r="AP156" s="114">
        <v>8036.5240419437259</v>
      </c>
      <c r="AQ156" s="114">
        <v>9377.2122889288657</v>
      </c>
      <c r="AR156" s="114">
        <v>6863.5040267202585</v>
      </c>
      <c r="AS156" s="114">
        <v>5332.3235622213342</v>
      </c>
      <c r="AT156" s="114">
        <v>5304.8703193331812</v>
      </c>
      <c r="AU156" s="114">
        <v>9780.4939705256966</v>
      </c>
      <c r="AV156" s="114">
        <v>4539.4880254957779</v>
      </c>
      <c r="AW156" s="114">
        <v>338.51673661576183</v>
      </c>
      <c r="AX156" s="114">
        <v>8610.3693526937295</v>
      </c>
      <c r="AY156" s="114">
        <v>2024.3058325557913</v>
      </c>
      <c r="AZ156" s="114">
        <v>737.32563455800141</v>
      </c>
      <c r="BA156" s="114">
        <v>1318.7749382604343</v>
      </c>
      <c r="BB156" s="114">
        <v>4614.1523687750278</v>
      </c>
      <c r="BC156" s="114">
        <v>7532.2605665488863</v>
      </c>
      <c r="BD156" s="114">
        <v>7976.567967305009</v>
      </c>
      <c r="BE156" s="114">
        <v>5317.2485068301839</v>
      </c>
      <c r="BF156" s="114">
        <v>10071.419166791984</v>
      </c>
      <c r="BG156" s="114">
        <v>2244.4959620436593</v>
      </c>
      <c r="BH156" s="114">
        <v>9878.1100096727878</v>
      </c>
      <c r="BI156" s="114">
        <v>4474.625633996161</v>
      </c>
      <c r="BJ156" s="114">
        <v>4015.6718962727405</v>
      </c>
      <c r="BK156" s="114">
        <v>1929.5883524963517</v>
      </c>
      <c r="BL156" s="114">
        <v>7986.7774261646973</v>
      </c>
      <c r="BM156" s="114">
        <v>4597.5368972774459</v>
      </c>
      <c r="BN156" s="114">
        <v>2034.2624133534346</v>
      </c>
      <c r="BO156" s="114">
        <v>953.21853798005748</v>
      </c>
      <c r="BP156" s="114">
        <v>4824.2075880920565</v>
      </c>
      <c r="BQ156" s="114">
        <v>4338.0851441953109</v>
      </c>
      <c r="BR156" s="114">
        <v>2634.1647876126285</v>
      </c>
      <c r="BS156" s="114">
        <v>975.50377361035896</v>
      </c>
      <c r="BT156" s="114">
        <v>512.85776214269822</v>
      </c>
      <c r="BU156" s="114">
        <v>779.48755181555384</v>
      </c>
      <c r="BV156" s="114">
        <v>4417.1140299157387</v>
      </c>
      <c r="BW156" s="114">
        <v>1151.3446279586346</v>
      </c>
      <c r="BX156" s="114">
        <v>7806.1194560282838</v>
      </c>
      <c r="BY156" s="114">
        <v>9885.4444507482658</v>
      </c>
      <c r="BZ156" s="114">
        <v>4553.7694811780921</v>
      </c>
      <c r="CA156" s="114">
        <v>4453.9531236222601</v>
      </c>
      <c r="CB156" s="114">
        <v>7936.8776599027551</v>
      </c>
      <c r="CC156" s="114">
        <v>8176.960406624039</v>
      </c>
      <c r="CD156" s="114">
        <v>9676.4389807032385</v>
      </c>
      <c r="CE156" s="114">
        <v>670.76532622719458</v>
      </c>
      <c r="CF156" s="114">
        <v>3117.5817189162067</v>
      </c>
      <c r="CG156" s="114">
        <v>6208.5269648253461</v>
      </c>
      <c r="CH156" s="114">
        <v>5918.8590884608211</v>
      </c>
      <c r="CI156" s="114">
        <v>10803.579970551938</v>
      </c>
      <c r="CJ156" s="114">
        <v>3431.6887679112042</v>
      </c>
      <c r="CK156" s="114">
        <v>2994.2728782120039</v>
      </c>
      <c r="CL156" s="114">
        <v>1726.3785018250603</v>
      </c>
      <c r="CM156" s="114">
        <v>4312.7869305404984</v>
      </c>
      <c r="CN156" s="114">
        <v>223.50330340283409</v>
      </c>
      <c r="CO156" s="114">
        <v>325.72781624638628</v>
      </c>
      <c r="CP156" s="114">
        <v>8546.3557336761205</v>
      </c>
      <c r="CQ156" s="114">
        <v>9728.1825270691043</v>
      </c>
      <c r="CR156" s="114">
        <v>2428.9377571716741</v>
      </c>
      <c r="CS156" s="114">
        <v>4402.3577905250404</v>
      </c>
      <c r="CT156" s="114">
        <v>5524.8168541267878</v>
      </c>
      <c r="CU156" s="114">
        <v>3529.1603292261093</v>
      </c>
      <c r="CV156" s="114">
        <v>4930.2849210140212</v>
      </c>
      <c r="CW156" s="114">
        <v>8671.9792675487679</v>
      </c>
      <c r="CX156" s="114">
        <v>1665.3561131848865</v>
      </c>
      <c r="CY156" s="114">
        <v>2279.401426620293</v>
      </c>
      <c r="CZ156" s="114">
        <v>8230.5743071859051</v>
      </c>
      <c r="DA156" s="114">
        <v>4713.522436850747</v>
      </c>
      <c r="DB156" s="114">
        <v>1231.647931467789</v>
      </c>
      <c r="DC156" s="114">
        <v>456.78795748173894</v>
      </c>
      <c r="DD156" s="114">
        <v>1523.2979028882853</v>
      </c>
      <c r="DE156" s="114">
        <v>802.5680521110886</v>
      </c>
      <c r="DF156" s="114">
        <v>7772.9507729890956</v>
      </c>
      <c r="DG156" s="114">
        <v>6751.893201333658</v>
      </c>
      <c r="DH156" s="114">
        <v>9698.3824828445449</v>
      </c>
      <c r="DI156" s="114">
        <v>7394.0864537959296</v>
      </c>
      <c r="DJ156" s="114">
        <v>3957.3855636232747</v>
      </c>
      <c r="DK156" s="114">
        <v>907.11107447557117</v>
      </c>
      <c r="DL156" s="114">
        <v>8433.8723948299212</v>
      </c>
      <c r="DM156" s="114">
        <v>8450.7029119734743</v>
      </c>
      <c r="DN156" s="114">
        <v>10155.097478311724</v>
      </c>
      <c r="DO156" s="114">
        <v>1348.929481708311</v>
      </c>
      <c r="DP156" s="114">
        <v>392.80132061276635</v>
      </c>
      <c r="DQ156" s="114">
        <v>6873.8588200348404</v>
      </c>
      <c r="DR156" s="114">
        <v>579.42126588673477</v>
      </c>
      <c r="DS156" s="114">
        <v>1961.2820702600131</v>
      </c>
      <c r="DT156" s="114">
        <v>7954.1916243421574</v>
      </c>
      <c r="DU156" s="114">
        <v>8272.562426779672</v>
      </c>
      <c r="DV156" s="114">
        <v>7343.7373033378235</v>
      </c>
      <c r="DW156" s="114">
        <v>6622.1143448117455</v>
      </c>
      <c r="DX156" s="114">
        <v>1123.8607611818954</v>
      </c>
      <c r="DY156" s="114">
        <v>18355.55063071394</v>
      </c>
      <c r="DZ156" s="114">
        <v>18524.384133004885</v>
      </c>
      <c r="EA156" s="114">
        <v>9757.798394611702</v>
      </c>
      <c r="EB156" s="114">
        <v>3506.3535866186298</v>
      </c>
      <c r="EC156" s="114">
        <v>3866.5117967352739</v>
      </c>
      <c r="ED156" s="114">
        <v>8629.3913560436358</v>
      </c>
      <c r="EE156" s="114">
        <v>750.62683859721744</v>
      </c>
      <c r="EF156" s="114">
        <v>1783.5386206656904</v>
      </c>
      <c r="EG156" s="114">
        <v>4747.5613103890573</v>
      </c>
      <c r="EH156" s="114">
        <v>5336.3469611838773</v>
      </c>
      <c r="EI156" s="114">
        <v>5291.4651922630792</v>
      </c>
      <c r="EJ156" s="114">
        <v>9443.495034087915</v>
      </c>
      <c r="EK156" s="114">
        <v>10412.303896550739</v>
      </c>
      <c r="EL156" s="114">
        <v>10867.610036998731</v>
      </c>
      <c r="EM156" s="114">
        <v>10350.004277012415</v>
      </c>
      <c r="EN156" s="114">
        <v>1152.2634019289628</v>
      </c>
      <c r="EO156" s="114">
        <v>1878.5075441960175</v>
      </c>
      <c r="EP156" s="114">
        <v>4075.1635912897223</v>
      </c>
      <c r="EQ156" s="114">
        <v>1107.0752122496624</v>
      </c>
      <c r="ER156" s="114">
        <v>2251.1260750996939</v>
      </c>
      <c r="ES156" s="114">
        <v>5321.9438655291387</v>
      </c>
      <c r="ET156" s="114">
        <v>7484.3613586243655</v>
      </c>
      <c r="EU156" s="114">
        <v>7566.0181497919184</v>
      </c>
      <c r="EV156" s="114">
        <v>7676.1159638114705</v>
      </c>
      <c r="EW156" s="114" t="s">
        <v>237</v>
      </c>
      <c r="EX156" s="114">
        <v>4867.0019603199335</v>
      </c>
      <c r="EY156" s="114">
        <v>3756.9151090154337</v>
      </c>
      <c r="EZ156" s="114">
        <v>4294.8051421111568</v>
      </c>
      <c r="FA156" s="114">
        <v>653.5304078149901</v>
      </c>
      <c r="FB156" s="114">
        <v>4633.9462294761279</v>
      </c>
      <c r="FC156" s="114">
        <v>10026.400025502899</v>
      </c>
      <c r="FD156" s="114">
        <v>626.2932823115973</v>
      </c>
      <c r="FE156" s="114">
        <v>319.8452764142238</v>
      </c>
      <c r="FF156" s="114">
        <v>5648.1368022919396</v>
      </c>
      <c r="FG156" s="114">
        <v>7839.691084897896</v>
      </c>
      <c r="FH156" s="114">
        <v>8845.9983343466902</v>
      </c>
      <c r="FI156" s="114">
        <v>4700.6367368135616</v>
      </c>
      <c r="FJ156" s="114">
        <v>1351.8287527283719</v>
      </c>
      <c r="FK156" s="114">
        <v>864.16318701530065</v>
      </c>
      <c r="FL156" s="114">
        <v>7676.8693147406584</v>
      </c>
      <c r="FM156" s="114">
        <v>3670.1827118367014</v>
      </c>
      <c r="FN156" s="114">
        <v>7775.0926270578202</v>
      </c>
      <c r="FO156" s="114">
        <v>1783.4700004548426</v>
      </c>
      <c r="FP156" s="114">
        <v>517.7254963227607</v>
      </c>
      <c r="FQ156" s="114">
        <v>2359.7964702977424</v>
      </c>
      <c r="FR156" s="114">
        <v>9530.1213597395636</v>
      </c>
      <c r="FS156" s="114">
        <v>4664.4259555267336</v>
      </c>
      <c r="FT156" s="114">
        <v>6223.892813175722</v>
      </c>
      <c r="FU156" s="114">
        <v>8823.0086707914688</v>
      </c>
      <c r="FV156" s="114">
        <v>12487.995176250686</v>
      </c>
      <c r="FW156" s="114">
        <v>4304.6122114649024</v>
      </c>
      <c r="FX156" s="114">
        <v>7891.3545126806202</v>
      </c>
      <c r="FY156" s="114">
        <v>805.71215538088688</v>
      </c>
      <c r="FZ156" s="114">
        <v>1736.3535170799771</v>
      </c>
      <c r="GA156" s="114">
        <v>3808.0821647078565</v>
      </c>
      <c r="GB156" s="114">
        <v>5213.3726748619101</v>
      </c>
      <c r="GC156" s="114">
        <v>1552.4127836109787</v>
      </c>
      <c r="GD156" s="114">
        <v>4359.335461730413</v>
      </c>
      <c r="GE156" s="114">
        <v>1268.2584750120329</v>
      </c>
      <c r="GF156" s="114">
        <v>10036.476293498819</v>
      </c>
      <c r="GG156" s="114">
        <v>6782.9684799961187</v>
      </c>
      <c r="GH156" s="114">
        <v>6477.4491941695242</v>
      </c>
      <c r="GI156" s="114">
        <v>7109.0427207989778</v>
      </c>
      <c r="GJ156" s="114">
        <v>11098.88046884749</v>
      </c>
      <c r="GK156" s="114">
        <v>4581.070431346493</v>
      </c>
      <c r="GL156" s="114">
        <v>8324.6410222465584</v>
      </c>
      <c r="GM156" s="114">
        <v>8661.4621244435457</v>
      </c>
      <c r="GN156" s="114">
        <v>4348.4453618709504</v>
      </c>
      <c r="GO156" s="114">
        <v>6737.9721509523533</v>
      </c>
      <c r="GP156" s="114">
        <v>7044.2381680716344</v>
      </c>
      <c r="GQ156" s="114">
        <v>9525.1816108262828</v>
      </c>
      <c r="GR156" s="114">
        <v>16235.19093710669</v>
      </c>
      <c r="GS156" s="114">
        <v>516.57461289922321</v>
      </c>
      <c r="GT156" s="115">
        <v>7920.54487911469</v>
      </c>
    </row>
    <row r="157" spans="2:202" x14ac:dyDescent="0.6">
      <c r="B157" s="106" t="s">
        <v>143</v>
      </c>
      <c r="C157" s="63" t="s">
        <v>542</v>
      </c>
      <c r="D157" s="113">
        <v>7526.1764403082852</v>
      </c>
      <c r="E157" s="114">
        <v>4053.0171837482862</v>
      </c>
      <c r="F157" s="114">
        <v>4720.9102076443742</v>
      </c>
      <c r="G157" s="114">
        <v>1214.6509079807181</v>
      </c>
      <c r="H157" s="114">
        <v>7695.68213710687</v>
      </c>
      <c r="I157" s="114">
        <v>7920.5642470575776</v>
      </c>
      <c r="J157" s="114">
        <v>5871.5126654223159</v>
      </c>
      <c r="K157" s="114">
        <v>14753.103212692955</v>
      </c>
      <c r="L157" s="114">
        <v>5423.0869792024478</v>
      </c>
      <c r="M157" s="114">
        <v>6240.3411782354005</v>
      </c>
      <c r="N157" s="114">
        <v>9357.3379439538476</v>
      </c>
      <c r="O157" s="114">
        <v>5518.5050426782864</v>
      </c>
      <c r="P157" s="114">
        <v>9377.8681826085922</v>
      </c>
      <c r="Q157" s="114">
        <v>7375.792537497241</v>
      </c>
      <c r="R157" s="114">
        <v>6245.368198944223</v>
      </c>
      <c r="S157" s="114">
        <v>5609.1404302882283</v>
      </c>
      <c r="T157" s="114">
        <v>10502.435046269626</v>
      </c>
      <c r="U157" s="114">
        <v>811.60571902846937</v>
      </c>
      <c r="V157" s="114">
        <v>9317.0896874984082</v>
      </c>
      <c r="W157" s="114">
        <v>8356.2187662092074</v>
      </c>
      <c r="X157" s="114">
        <v>4970.1445219032139</v>
      </c>
      <c r="Y157" s="114">
        <v>3423.4571634591362</v>
      </c>
      <c r="Z157" s="114">
        <v>6292.8059818585489</v>
      </c>
      <c r="AA157" s="114">
        <v>5933.3826975198108</v>
      </c>
      <c r="AB157" s="114">
        <v>12069.282429048031</v>
      </c>
      <c r="AC157" s="114">
        <v>5000.1034551374678</v>
      </c>
      <c r="AD157" s="114">
        <v>1586.0044454362621</v>
      </c>
      <c r="AE157" s="114">
        <v>2558.6814474771932</v>
      </c>
      <c r="AF157" s="114">
        <v>3663.7567308686216</v>
      </c>
      <c r="AG157" s="114">
        <v>10889.438211876348</v>
      </c>
      <c r="AH157" s="114">
        <v>572.99962289936627</v>
      </c>
      <c r="AI157" s="114">
        <v>668.37379962870205</v>
      </c>
      <c r="AJ157" s="114">
        <v>9661.443804875169</v>
      </c>
      <c r="AK157" s="114">
        <v>9359.7988430116457</v>
      </c>
      <c r="AL157" s="114">
        <v>1405.7759165693346</v>
      </c>
      <c r="AM157" s="114">
        <v>1612.2413056345722</v>
      </c>
      <c r="AN157" s="114">
        <v>8788.5224997839923</v>
      </c>
      <c r="AO157" s="114">
        <v>12363.497115441296</v>
      </c>
      <c r="AP157" s="114">
        <v>11684.612166500916</v>
      </c>
      <c r="AQ157" s="114">
        <v>8941.2014564730653</v>
      </c>
      <c r="AR157" s="114">
        <v>4257.5454663102928</v>
      </c>
      <c r="AS157" s="114">
        <v>1106.8548461701873</v>
      </c>
      <c r="AT157" s="114">
        <v>1076.0221966500142</v>
      </c>
      <c r="AU157" s="114">
        <v>10050.656558487968</v>
      </c>
      <c r="AV157" s="114">
        <v>1295.0813188936304</v>
      </c>
      <c r="AW157" s="114">
        <v>5128.2566521860426</v>
      </c>
      <c r="AX157" s="114">
        <v>9860.9959806739516</v>
      </c>
      <c r="AY157" s="114">
        <v>4785.762418434033</v>
      </c>
      <c r="AZ157" s="114">
        <v>5603.8507105050076</v>
      </c>
      <c r="BA157" s="114">
        <v>6173.8580467358133</v>
      </c>
      <c r="BB157" s="114">
        <v>4140.1431139414426</v>
      </c>
      <c r="BC157" s="114">
        <v>7608.442885717287</v>
      </c>
      <c r="BD157" s="114">
        <v>8525.3361499520452</v>
      </c>
      <c r="BE157" s="114">
        <v>1084.3249354896411</v>
      </c>
      <c r="BF157" s="114">
        <v>9422.6902210317821</v>
      </c>
      <c r="BG157" s="114">
        <v>4233.0923575735424</v>
      </c>
      <c r="BH157" s="114">
        <v>10598.746322731968</v>
      </c>
      <c r="BI157" s="114">
        <v>440.15577625119482</v>
      </c>
      <c r="BJ157" s="114">
        <v>3910.7548102215223</v>
      </c>
      <c r="BK157" s="114">
        <v>6760.0195327503034</v>
      </c>
      <c r="BL157" s="114">
        <v>3940.6568114501374</v>
      </c>
      <c r="BM157" s="114">
        <v>3682.4142052154994</v>
      </c>
      <c r="BN157" s="114">
        <v>6867.6159600494766</v>
      </c>
      <c r="BO157" s="114">
        <v>5396.9071450484826</v>
      </c>
      <c r="BP157" s="114">
        <v>319.563432971022</v>
      </c>
      <c r="BQ157" s="114">
        <v>2907.2591759594629</v>
      </c>
      <c r="BR157" s="114">
        <v>5978.4675604887325</v>
      </c>
      <c r="BS157" s="114">
        <v>5839.5989841175005</v>
      </c>
      <c r="BT157" s="114">
        <v>5364.6825806379502</v>
      </c>
      <c r="BU157" s="114">
        <v>5565.2237537489946</v>
      </c>
      <c r="BV157" s="114">
        <v>923.93294410415422</v>
      </c>
      <c r="BW157" s="114">
        <v>4520.557932745126</v>
      </c>
      <c r="BX157" s="114">
        <v>7630.4487534435011</v>
      </c>
      <c r="BY157" s="114">
        <v>10716.568707954018</v>
      </c>
      <c r="BZ157" s="114">
        <v>2426.3312487319431</v>
      </c>
      <c r="CA157" s="114">
        <v>2722.1720286878294</v>
      </c>
      <c r="CB157" s="114">
        <v>7191.3076910159443</v>
      </c>
      <c r="CC157" s="114">
        <v>8800.9044396027548</v>
      </c>
      <c r="CD157" s="114">
        <v>10385.599958391171</v>
      </c>
      <c r="CE157" s="114">
        <v>5389.0513661706082</v>
      </c>
      <c r="CF157" s="114">
        <v>7473.1974308087092</v>
      </c>
      <c r="CG157" s="114">
        <v>7541.0781947144733</v>
      </c>
      <c r="CH157" s="114">
        <v>8125.9144146472127</v>
      </c>
      <c r="CI157" s="114">
        <v>11115.454896333607</v>
      </c>
      <c r="CJ157" s="114">
        <v>6081.1599927736725</v>
      </c>
      <c r="CK157" s="114">
        <v>5405.5130328502937</v>
      </c>
      <c r="CL157" s="114">
        <v>6018.6200865912824</v>
      </c>
      <c r="CM157" s="114">
        <v>5598.0870795716401</v>
      </c>
      <c r="CN157" s="114">
        <v>4645.9565042493123</v>
      </c>
      <c r="CO157" s="114">
        <v>5051.7612574281438</v>
      </c>
      <c r="CP157" s="114">
        <v>9252.368153394078</v>
      </c>
      <c r="CQ157" s="114">
        <v>13769.490257090285</v>
      </c>
      <c r="CR157" s="114">
        <v>4651.0581836514912</v>
      </c>
      <c r="CS157" s="114">
        <v>8281.3652652271703</v>
      </c>
      <c r="CT157" s="114">
        <v>3348.6162395877686</v>
      </c>
      <c r="CU157" s="114">
        <v>5475.3067260438056</v>
      </c>
      <c r="CV157" s="114">
        <v>8223.6546356942599</v>
      </c>
      <c r="CW157" s="114">
        <v>10630.536025506683</v>
      </c>
      <c r="CX157" s="114">
        <v>6472.1320365181618</v>
      </c>
      <c r="CY157" s="114">
        <v>4788.3565056064226</v>
      </c>
      <c r="CZ157" s="114">
        <v>3940.561307108133</v>
      </c>
      <c r="DA157" s="114">
        <v>1989.4202686956792</v>
      </c>
      <c r="DB157" s="114">
        <v>3669.143434953221</v>
      </c>
      <c r="DC157" s="114">
        <v>5231.6379023468535</v>
      </c>
      <c r="DD157" s="114">
        <v>6276.2779256724161</v>
      </c>
      <c r="DE157" s="114">
        <v>5478.6490797873203</v>
      </c>
      <c r="DF157" s="114">
        <v>4924.8553913260685</v>
      </c>
      <c r="DG157" s="114">
        <v>3368.8563102525331</v>
      </c>
      <c r="DH157" s="114">
        <v>10563.215432955943</v>
      </c>
      <c r="DI157" s="114">
        <v>7443.6111260902626</v>
      </c>
      <c r="DJ157" s="114">
        <v>2053.6201752305815</v>
      </c>
      <c r="DK157" s="114">
        <v>4025.2428628221219</v>
      </c>
      <c r="DL157" s="114">
        <v>5974.9379758690102</v>
      </c>
      <c r="DM157" s="114">
        <v>5996.7909628042607</v>
      </c>
      <c r="DN157" s="114">
        <v>11628.165465138281</v>
      </c>
      <c r="DO157" s="114">
        <v>5654.2401628676134</v>
      </c>
      <c r="DP157" s="114">
        <v>4853.4559913970897</v>
      </c>
      <c r="DQ157" s="114">
        <v>10781.347194097583</v>
      </c>
      <c r="DR157" s="114">
        <v>4881.0115264625947</v>
      </c>
      <c r="DS157" s="114">
        <v>4016.1289379657019</v>
      </c>
      <c r="DT157" s="114">
        <v>3987.7321350485608</v>
      </c>
      <c r="DU157" s="114">
        <v>9984.1323658302626</v>
      </c>
      <c r="DV157" s="114">
        <v>2749.9668530902495</v>
      </c>
      <c r="DW157" s="114">
        <v>8899.6672793295547</v>
      </c>
      <c r="DX157" s="114">
        <v>5799.1676705871359</v>
      </c>
      <c r="DY157" s="114">
        <v>15755.270787029811</v>
      </c>
      <c r="DZ157" s="114">
        <v>15289.146965575428</v>
      </c>
      <c r="EA157" s="114">
        <v>10286.85188863447</v>
      </c>
      <c r="EB157" s="114">
        <v>1540.1951330356908</v>
      </c>
      <c r="EC157" s="114">
        <v>1000.5079218377667</v>
      </c>
      <c r="ED157" s="114">
        <v>12450.490411891864</v>
      </c>
      <c r="EE157" s="114">
        <v>4892.8368966578446</v>
      </c>
      <c r="EF157" s="114">
        <v>6619.9430021271419</v>
      </c>
      <c r="EG157" s="114">
        <v>6172.7252518269061</v>
      </c>
      <c r="EH157" s="114">
        <v>7071.4221570288391</v>
      </c>
      <c r="EI157" s="114">
        <v>7857.8873252854928</v>
      </c>
      <c r="EJ157" s="114">
        <v>9526.969983949748</v>
      </c>
      <c r="EK157" s="114">
        <v>7381.3746084485183</v>
      </c>
      <c r="EL157" s="114">
        <v>9291.0034193179799</v>
      </c>
      <c r="EM157" s="114">
        <v>12649.640454057042</v>
      </c>
      <c r="EN157" s="114">
        <v>5944.3576344559324</v>
      </c>
      <c r="EO157" s="114">
        <v>4545.4549349356776</v>
      </c>
      <c r="EP157" s="114">
        <v>5572.4462517066195</v>
      </c>
      <c r="EQ157" s="114">
        <v>5284.0679398124012</v>
      </c>
      <c r="ER157" s="114">
        <v>6798.7221861870012</v>
      </c>
      <c r="ES157" s="114">
        <v>2636.145367332168</v>
      </c>
      <c r="ET157" s="114">
        <v>7758.5977667892139</v>
      </c>
      <c r="EU157" s="114">
        <v>7524.2783597588459</v>
      </c>
      <c r="EV157" s="114">
        <v>7570.3917292224205</v>
      </c>
      <c r="EW157" s="114">
        <v>4867.0019603199335</v>
      </c>
      <c r="EX157" s="114" t="s">
        <v>237</v>
      </c>
      <c r="EY157" s="114">
        <v>5085.4590770132299</v>
      </c>
      <c r="EZ157" s="114">
        <v>3048.3359076870379</v>
      </c>
      <c r="FA157" s="114">
        <v>5126.5769424800956</v>
      </c>
      <c r="FB157" s="114">
        <v>2351.1871215147994</v>
      </c>
      <c r="FC157" s="114">
        <v>10833.20227195388</v>
      </c>
      <c r="FD157" s="114">
        <v>5435.8517668411132</v>
      </c>
      <c r="FE157" s="114">
        <v>5167.0321381134518</v>
      </c>
      <c r="FF157" s="114">
        <v>4325.3339033373213</v>
      </c>
      <c r="FG157" s="114">
        <v>3675.9397022120497</v>
      </c>
      <c r="FH157" s="114">
        <v>12615.053356565384</v>
      </c>
      <c r="FI157" s="114">
        <v>2847.210027443386</v>
      </c>
      <c r="FJ157" s="114">
        <v>4574.3006610032298</v>
      </c>
      <c r="FK157" s="114">
        <v>4610.2690655742044</v>
      </c>
      <c r="FL157" s="114">
        <v>8182.0261387014161</v>
      </c>
      <c r="FM157" s="114">
        <v>3315.0687807371628</v>
      </c>
      <c r="FN157" s="114">
        <v>6852.0912022285247</v>
      </c>
      <c r="FO157" s="114">
        <v>6649.5231664868752</v>
      </c>
      <c r="FP157" s="114">
        <v>5167.9570027371565</v>
      </c>
      <c r="FQ157" s="114">
        <v>4828.2730625552049</v>
      </c>
      <c r="FR157" s="114">
        <v>12523.28813336259</v>
      </c>
      <c r="FS157" s="114">
        <v>7604.7278960996982</v>
      </c>
      <c r="FT157" s="114">
        <v>3729.5113418397973</v>
      </c>
      <c r="FU157" s="114">
        <v>10427.780722325053</v>
      </c>
      <c r="FV157" s="114">
        <v>13187.303278080191</v>
      </c>
      <c r="FW157" s="114">
        <v>880.56932790086671</v>
      </c>
      <c r="FX157" s="114">
        <v>7591.5841804391648</v>
      </c>
      <c r="FY157" s="114">
        <v>4065.6439971090545</v>
      </c>
      <c r="FZ157" s="114">
        <v>5129.1403906662799</v>
      </c>
      <c r="GA157" s="114">
        <v>6702.4888288857264</v>
      </c>
      <c r="GB157" s="114">
        <v>2881.0715953402682</v>
      </c>
      <c r="GC157" s="114">
        <v>6023.4224114384597</v>
      </c>
      <c r="GD157" s="114">
        <v>5806.3033946848564</v>
      </c>
      <c r="GE157" s="114">
        <v>5731.9707747951716</v>
      </c>
      <c r="GF157" s="114">
        <v>13124.074054295523</v>
      </c>
      <c r="GG157" s="114">
        <v>9192.3864719348621</v>
      </c>
      <c r="GH157" s="114">
        <v>8972.4761667064558</v>
      </c>
      <c r="GI157" s="114">
        <v>9430.8106246933439</v>
      </c>
      <c r="GJ157" s="114">
        <v>7527.2504702447604</v>
      </c>
      <c r="GK157" s="114">
        <v>7755.7774782168844</v>
      </c>
      <c r="GL157" s="114">
        <v>8139.9669425013553</v>
      </c>
      <c r="GM157" s="114">
        <v>10948.372045306711</v>
      </c>
      <c r="GN157" s="114">
        <v>4484.3111074901954</v>
      </c>
      <c r="GO157" s="114">
        <v>2940.1603953263625</v>
      </c>
      <c r="GP157" s="114">
        <v>3326.5383986076822</v>
      </c>
      <c r="GQ157" s="114">
        <v>11123.481447031256</v>
      </c>
      <c r="GR157" s="114">
        <v>14527.111572231066</v>
      </c>
      <c r="GS157" s="114">
        <v>5261.1019385531954</v>
      </c>
      <c r="GT157" s="115">
        <v>3732.6626469760317</v>
      </c>
    </row>
    <row r="158" spans="2:202" x14ac:dyDescent="0.6">
      <c r="B158" s="106" t="s">
        <v>144</v>
      </c>
      <c r="C158" s="63" t="s">
        <v>324</v>
      </c>
      <c r="D158" s="113">
        <v>2450.0090286505556</v>
      </c>
      <c r="E158" s="114">
        <v>4325.0688161830758</v>
      </c>
      <c r="F158" s="114">
        <v>4570.4788681220562</v>
      </c>
      <c r="G158" s="114">
        <v>5139.2597203683017</v>
      </c>
      <c r="H158" s="114">
        <v>10973.419638482899</v>
      </c>
      <c r="I158" s="114">
        <v>12996.367371886499</v>
      </c>
      <c r="J158" s="114">
        <v>1755.740041099345</v>
      </c>
      <c r="K158" s="114">
        <v>12773.508886160078</v>
      </c>
      <c r="L158" s="114">
        <v>3734.2619873216818</v>
      </c>
      <c r="M158" s="114">
        <v>1789.8957756424468</v>
      </c>
      <c r="N158" s="114">
        <v>11827.446832766727</v>
      </c>
      <c r="O158" s="114">
        <v>433.05860665521044</v>
      </c>
      <c r="P158" s="114">
        <v>4438.5897846861517</v>
      </c>
      <c r="Q158" s="114">
        <v>10947.68366247857</v>
      </c>
      <c r="R158" s="114">
        <v>3608.7388878983502</v>
      </c>
      <c r="S158" s="114">
        <v>4625.1123424461312</v>
      </c>
      <c r="T158" s="114">
        <v>13270.715270643414</v>
      </c>
      <c r="U158" s="114">
        <v>5102.9142668986624</v>
      </c>
      <c r="V158" s="114">
        <v>4296.7697334039613</v>
      </c>
      <c r="W158" s="114">
        <v>13184.185417361201</v>
      </c>
      <c r="X158" s="114">
        <v>3326.8291782309875</v>
      </c>
      <c r="Y158" s="114">
        <v>5878.9381868344544</v>
      </c>
      <c r="Z158" s="114">
        <v>11353.612198864228</v>
      </c>
      <c r="AA158" s="114">
        <v>10998.375432709783</v>
      </c>
      <c r="AB158" s="114">
        <v>7633.3498626026449</v>
      </c>
      <c r="AC158" s="114">
        <v>2925.4628032821765</v>
      </c>
      <c r="AD158" s="114">
        <v>5192.3035049407908</v>
      </c>
      <c r="AE158" s="114">
        <v>3587.6098789359967</v>
      </c>
      <c r="AF158" s="114">
        <v>7306.5436836265853</v>
      </c>
      <c r="AG158" s="114">
        <v>6272.25884328556</v>
      </c>
      <c r="AH158" s="114">
        <v>4533.6752676314927</v>
      </c>
      <c r="AI158" s="114">
        <v>4417.1299576408055</v>
      </c>
      <c r="AJ158" s="114">
        <v>10644.171011681909</v>
      </c>
      <c r="AK158" s="114">
        <v>10291.076026812882</v>
      </c>
      <c r="AL158" s="114">
        <v>3749.1175520677675</v>
      </c>
      <c r="AM158" s="114">
        <v>3617.17148115498</v>
      </c>
      <c r="AN158" s="114">
        <v>13872.858854832904</v>
      </c>
      <c r="AO158" s="114">
        <v>7279.2512070973507</v>
      </c>
      <c r="AP158" s="114">
        <v>6628.7577160794899</v>
      </c>
      <c r="AQ158" s="114">
        <v>12828.674812442327</v>
      </c>
      <c r="AR158" s="114">
        <v>3997.5924879014055</v>
      </c>
      <c r="AS158" s="114">
        <v>4640.3830135256021</v>
      </c>
      <c r="AT158" s="114">
        <v>4636.9722343027333</v>
      </c>
      <c r="AU158" s="114">
        <v>13446.276781079734</v>
      </c>
      <c r="AV158" s="114">
        <v>5780.3799321250135</v>
      </c>
      <c r="AW158" s="114">
        <v>3621.2166459857308</v>
      </c>
      <c r="AX158" s="114">
        <v>12361.226359226221</v>
      </c>
      <c r="AY158" s="114">
        <v>1737.3054750428842</v>
      </c>
      <c r="AZ158" s="114">
        <v>3974.972080755379</v>
      </c>
      <c r="BA158" s="114">
        <v>4424.5628901240661</v>
      </c>
      <c r="BB158" s="114">
        <v>1547.7556635297572</v>
      </c>
      <c r="BC158" s="114">
        <v>11019.900254191762</v>
      </c>
      <c r="BD158" s="114">
        <v>11613.232395582969</v>
      </c>
      <c r="BE158" s="114">
        <v>4643.2165180359625</v>
      </c>
      <c r="BF158" s="114">
        <v>13494.41708840383</v>
      </c>
      <c r="BG158" s="114">
        <v>1632.4406107406003</v>
      </c>
      <c r="BH158" s="114">
        <v>13613.497862015845</v>
      </c>
      <c r="BI158" s="114">
        <v>4681.8270921451522</v>
      </c>
      <c r="BJ158" s="114">
        <v>1314.0963481119231</v>
      </c>
      <c r="BK158" s="114">
        <v>4232.7578589382092</v>
      </c>
      <c r="BL158" s="114">
        <v>5862.4770440099774</v>
      </c>
      <c r="BM158" s="114">
        <v>1910.1607253929246</v>
      </c>
      <c r="BN158" s="114">
        <v>4302.9771577509928</v>
      </c>
      <c r="BO158" s="114">
        <v>4681.5956082122621</v>
      </c>
      <c r="BP158" s="114">
        <v>4817.1825022965013</v>
      </c>
      <c r="BQ158" s="114">
        <v>6673.4344170347049</v>
      </c>
      <c r="BR158" s="114">
        <v>1900.8628686984741</v>
      </c>
      <c r="BS158" s="114">
        <v>4172.388536291669</v>
      </c>
      <c r="BT158" s="114">
        <v>4029.5192280495962</v>
      </c>
      <c r="BU158" s="114">
        <v>4318.6831119505669</v>
      </c>
      <c r="BV158" s="114">
        <v>5390.9551208486555</v>
      </c>
      <c r="BW158" s="114">
        <v>2621.5944315070865</v>
      </c>
      <c r="BX158" s="114">
        <v>11234.244305644819</v>
      </c>
      <c r="BY158" s="114">
        <v>13630.371391184402</v>
      </c>
      <c r="BZ158" s="114">
        <v>6543.9012356197318</v>
      </c>
      <c r="CA158" s="114">
        <v>6650.9079724907342</v>
      </c>
      <c r="CB158" s="114">
        <v>11162.952995689981</v>
      </c>
      <c r="CC158" s="114">
        <v>11838.409632331319</v>
      </c>
      <c r="CD158" s="114">
        <v>13405.47299067741</v>
      </c>
      <c r="CE158" s="114">
        <v>3508.2672826990538</v>
      </c>
      <c r="CF158" s="114">
        <v>6517.430997270013</v>
      </c>
      <c r="CG158" s="114">
        <v>2792.1288242651908</v>
      </c>
      <c r="CH158" s="114">
        <v>3082.0884892397698</v>
      </c>
      <c r="CI158" s="114">
        <v>7321.9086570284016</v>
      </c>
      <c r="CJ158" s="114">
        <v>1313.0214678166005</v>
      </c>
      <c r="CK158" s="114">
        <v>998.91214792603807</v>
      </c>
      <c r="CL158" s="114">
        <v>5394.6921967268017</v>
      </c>
      <c r="CM158" s="114">
        <v>7855.1217212373667</v>
      </c>
      <c r="CN158" s="114">
        <v>3674.3838471503718</v>
      </c>
      <c r="CO158" s="114">
        <v>4066.8192745127144</v>
      </c>
      <c r="CP158" s="114">
        <v>12237.820931599343</v>
      </c>
      <c r="CQ158" s="114">
        <v>8737.8954342482866</v>
      </c>
      <c r="CR158" s="114">
        <v>1332.5862111578299</v>
      </c>
      <c r="CS158" s="114">
        <v>3649.4023810833123</v>
      </c>
      <c r="CT158" s="114">
        <v>3039.7891886740422</v>
      </c>
      <c r="CU158" s="114">
        <v>565.8599916555379</v>
      </c>
      <c r="CV158" s="114">
        <v>3264.1501720467832</v>
      </c>
      <c r="CW158" s="114">
        <v>5813.6776827113044</v>
      </c>
      <c r="CX158" s="114">
        <v>4000.5631751312776</v>
      </c>
      <c r="CY158" s="114">
        <v>1480.173332868201</v>
      </c>
      <c r="CZ158" s="114">
        <v>6299.5872146621696</v>
      </c>
      <c r="DA158" s="114">
        <v>6380.7195072548011</v>
      </c>
      <c r="DB158" s="114">
        <v>3366.7469422056897</v>
      </c>
      <c r="DC158" s="114">
        <v>4129.8547251265645</v>
      </c>
      <c r="DD158" s="114">
        <v>3766.2799806277503</v>
      </c>
      <c r="DE158" s="114">
        <v>4451.4824034710082</v>
      </c>
      <c r="DF158" s="114">
        <v>4777.9076311778181</v>
      </c>
      <c r="DG158" s="114">
        <v>4496.1197008043673</v>
      </c>
      <c r="DH158" s="114">
        <v>6342.3362827729388</v>
      </c>
      <c r="DI158" s="114">
        <v>3663.0302586001121</v>
      </c>
      <c r="DJ158" s="114">
        <v>5815.1136118351778</v>
      </c>
      <c r="DK158" s="114">
        <v>3312.5970442485418</v>
      </c>
      <c r="DL158" s="114">
        <v>5087.469998209328</v>
      </c>
      <c r="DM158" s="114">
        <v>5099.1716043427541</v>
      </c>
      <c r="DN158" s="114">
        <v>13894.705058735077</v>
      </c>
      <c r="DO158" s="114">
        <v>2955.9144431807008</v>
      </c>
      <c r="DP158" s="114">
        <v>4130.9675407213608</v>
      </c>
      <c r="DQ158" s="114">
        <v>5849.8824135163413</v>
      </c>
      <c r="DR158" s="114">
        <v>3195.7533015902914</v>
      </c>
      <c r="DS158" s="114">
        <v>5220.2280778966115</v>
      </c>
      <c r="DT158" s="114">
        <v>5761.7851883600097</v>
      </c>
      <c r="DU158" s="114">
        <v>5235.1780393225135</v>
      </c>
      <c r="DV158" s="114">
        <v>6091.1156417048478</v>
      </c>
      <c r="DW158" s="114">
        <v>3877.3272062576543</v>
      </c>
      <c r="DX158" s="114">
        <v>4681.6511465495978</v>
      </c>
      <c r="DY158" s="114">
        <v>14946.937893006854</v>
      </c>
      <c r="DZ158" s="114">
        <v>14893.044852028093</v>
      </c>
      <c r="EA158" s="114">
        <v>13466.578088817518</v>
      </c>
      <c r="EB158" s="114">
        <v>4807.7143643561585</v>
      </c>
      <c r="EC158" s="114">
        <v>4479.025545005039</v>
      </c>
      <c r="ED158" s="114">
        <v>7407.3623854318594</v>
      </c>
      <c r="EE158" s="114">
        <v>3030.3464164380616</v>
      </c>
      <c r="EF158" s="114">
        <v>4796.3051805300411</v>
      </c>
      <c r="EG158" s="114">
        <v>1219.0286117976591</v>
      </c>
      <c r="EH158" s="114">
        <v>2086.7398444045698</v>
      </c>
      <c r="EI158" s="114">
        <v>2772.8457906770927</v>
      </c>
      <c r="EJ158" s="114">
        <v>13051.459377797</v>
      </c>
      <c r="EK158" s="114">
        <v>12428.297439667387</v>
      </c>
      <c r="EL158" s="114">
        <v>13922.147355709812</v>
      </c>
      <c r="EM158" s="114">
        <v>7815.6683823772601</v>
      </c>
      <c r="EN158" s="114">
        <v>3756.9263471270583</v>
      </c>
      <c r="EO158" s="114">
        <v>5409.2355955194816</v>
      </c>
      <c r="EP158" s="114">
        <v>504.43936351304075</v>
      </c>
      <c r="EQ158" s="114">
        <v>2874.2671942210054</v>
      </c>
      <c r="ER158" s="114">
        <v>3558.7249609046048</v>
      </c>
      <c r="ES158" s="114">
        <v>3388.6871078111822</v>
      </c>
      <c r="ET158" s="114">
        <v>11025.497500055273</v>
      </c>
      <c r="EU158" s="114">
        <v>11019.615209555814</v>
      </c>
      <c r="EV158" s="114">
        <v>11117.425773378172</v>
      </c>
      <c r="EW158" s="114">
        <v>3756.9151090154337</v>
      </c>
      <c r="EX158" s="114">
        <v>5085.4590770132299</v>
      </c>
      <c r="EY158" s="114" t="s">
        <v>237</v>
      </c>
      <c r="EZ158" s="114">
        <v>6722.2516157767341</v>
      </c>
      <c r="FA158" s="114">
        <v>3243.6153369163003</v>
      </c>
      <c r="FB158" s="114">
        <v>6555.0856415373455</v>
      </c>
      <c r="FC158" s="114">
        <v>6670.0144689586559</v>
      </c>
      <c r="FD158" s="114">
        <v>3681.0791959152793</v>
      </c>
      <c r="FE158" s="114">
        <v>3735.1620695996708</v>
      </c>
      <c r="FF158" s="114">
        <v>2492.8259361512587</v>
      </c>
      <c r="FG158" s="114">
        <v>5882.2535936803479</v>
      </c>
      <c r="FH158" s="114">
        <v>7556.747480413861</v>
      </c>
      <c r="FI158" s="114">
        <v>2692.0895074413697</v>
      </c>
      <c r="FJ158" s="114">
        <v>4932.534268730381</v>
      </c>
      <c r="FK158" s="114">
        <v>4481.504952057483</v>
      </c>
      <c r="FL158" s="114">
        <v>4055.3992716020907</v>
      </c>
      <c r="FM158" s="114">
        <v>1783.6720342492235</v>
      </c>
      <c r="FN158" s="114">
        <v>10911.505693367671</v>
      </c>
      <c r="FO158" s="114">
        <v>4456.4473464553848</v>
      </c>
      <c r="FP158" s="114">
        <v>4249.6760539209281</v>
      </c>
      <c r="FQ158" s="114">
        <v>1402.5985142317536</v>
      </c>
      <c r="FR158" s="114">
        <v>7480.0781336236359</v>
      </c>
      <c r="FS158" s="114">
        <v>2592.6003710549021</v>
      </c>
      <c r="FT158" s="114">
        <v>3556.538193062026</v>
      </c>
      <c r="FU158" s="114">
        <v>5761.6900120568152</v>
      </c>
      <c r="FV158" s="114">
        <v>9278.3602300216426</v>
      </c>
      <c r="FW158" s="114">
        <v>5229.2311723918192</v>
      </c>
      <c r="FX158" s="114">
        <v>11283.71661567409</v>
      </c>
      <c r="FY158" s="114">
        <v>3704.2292158816254</v>
      </c>
      <c r="FZ158" s="114">
        <v>2128.6099911764413</v>
      </c>
      <c r="GA158" s="114">
        <v>1839.0492797860547</v>
      </c>
      <c r="GB158" s="114">
        <v>3091.8285833485252</v>
      </c>
      <c r="GC158" s="114">
        <v>3197.1066823161882</v>
      </c>
      <c r="GD158" s="114">
        <v>790.22621814852562</v>
      </c>
      <c r="GE158" s="114">
        <v>4937.5891712866996</v>
      </c>
      <c r="GF158" s="114">
        <v>13315.430517470719</v>
      </c>
      <c r="GG158" s="114">
        <v>10517.724245545647</v>
      </c>
      <c r="GH158" s="114">
        <v>10211.62009835794</v>
      </c>
      <c r="GI158" s="114">
        <v>10844.112809876156</v>
      </c>
      <c r="GJ158" s="114">
        <v>12607.697660088983</v>
      </c>
      <c r="GK158" s="114">
        <v>2808.6662098652346</v>
      </c>
      <c r="GL158" s="114">
        <v>11787.383838385847</v>
      </c>
      <c r="GM158" s="114">
        <v>6025.47842867701</v>
      </c>
      <c r="GN158" s="114">
        <v>1031.8569010482195</v>
      </c>
      <c r="GO158" s="114">
        <v>4837.8743112630309</v>
      </c>
      <c r="GP158" s="114">
        <v>4943.0260800341675</v>
      </c>
      <c r="GQ158" s="114">
        <v>6508.7839423878368</v>
      </c>
      <c r="GR158" s="114">
        <v>12642.848205446791</v>
      </c>
      <c r="GS158" s="114">
        <v>4196.3138652658263</v>
      </c>
      <c r="GT158" s="115">
        <v>5964.2525145305826</v>
      </c>
    </row>
    <row r="159" spans="2:202" x14ac:dyDescent="0.6">
      <c r="B159" s="106" t="s">
        <v>145</v>
      </c>
      <c r="C159" s="63" t="s">
        <v>504</v>
      </c>
      <c r="D159" s="113">
        <v>8791.1606702709778</v>
      </c>
      <c r="E159" s="114">
        <v>3181.1967492141403</v>
      </c>
      <c r="F159" s="114">
        <v>3585.9997993788002</v>
      </c>
      <c r="G159" s="114">
        <v>4209.8256811871306</v>
      </c>
      <c r="H159" s="114">
        <v>4768.3131521948444</v>
      </c>
      <c r="I159" s="114">
        <v>7196.0230830890423</v>
      </c>
      <c r="J159" s="114">
        <v>6582.9583413776327</v>
      </c>
      <c r="K159" s="114">
        <v>17544.282453772918</v>
      </c>
      <c r="L159" s="114">
        <v>4852.6587115422553</v>
      </c>
      <c r="M159" s="114">
        <v>7028.8065381955112</v>
      </c>
      <c r="N159" s="114">
        <v>6335.994075701451</v>
      </c>
      <c r="O159" s="114">
        <v>7100.2979971964423</v>
      </c>
      <c r="P159" s="114">
        <v>11093.132117678704</v>
      </c>
      <c r="Q159" s="114">
        <v>4534.6472975538254</v>
      </c>
      <c r="R159" s="114">
        <v>5832.9459069292998</v>
      </c>
      <c r="S159" s="114">
        <v>4464.0944170230923</v>
      </c>
      <c r="T159" s="114">
        <v>7562.9839262681544</v>
      </c>
      <c r="U159" s="114">
        <v>2335.2538357395147</v>
      </c>
      <c r="V159" s="114">
        <v>10865.865508772407</v>
      </c>
      <c r="W159" s="114">
        <v>6532.5141670924659</v>
      </c>
      <c r="X159" s="114">
        <v>4679.702516553145</v>
      </c>
      <c r="Y159" s="114">
        <v>6343.1170960097534</v>
      </c>
      <c r="Z159" s="114">
        <v>5285.7004090526971</v>
      </c>
      <c r="AA159" s="114">
        <v>5009.1146744114039</v>
      </c>
      <c r="AB159" s="114">
        <v>14352.773788573197</v>
      </c>
      <c r="AC159" s="114">
        <v>4969.9970899821092</v>
      </c>
      <c r="AD159" s="114">
        <v>1747.342437066937</v>
      </c>
      <c r="AE159" s="114">
        <v>5477.6274076015143</v>
      </c>
      <c r="AF159" s="114">
        <v>655.12299934104351</v>
      </c>
      <c r="AG159" s="114">
        <v>12994.074404329283</v>
      </c>
      <c r="AH159" s="114">
        <v>3171.6791217001578</v>
      </c>
      <c r="AI159" s="114">
        <v>3363.6154578644032</v>
      </c>
      <c r="AJ159" s="114">
        <v>6680.6756909033284</v>
      </c>
      <c r="AK159" s="114">
        <v>6403.7972534540449</v>
      </c>
      <c r="AL159" s="114">
        <v>4062.4684321782815</v>
      </c>
      <c r="AM159" s="114">
        <v>3457.2793955614634</v>
      </c>
      <c r="AN159" s="114">
        <v>7724.9791823669357</v>
      </c>
      <c r="AO159" s="114">
        <v>13303.091909386952</v>
      </c>
      <c r="AP159" s="114">
        <v>12329.414395604063</v>
      </c>
      <c r="AQ159" s="114">
        <v>6304.9752583922609</v>
      </c>
      <c r="AR159" s="114">
        <v>7250.0277461276564</v>
      </c>
      <c r="AS159" s="114">
        <v>4150.9166826613227</v>
      </c>
      <c r="AT159" s="114">
        <v>4119.0054055750852</v>
      </c>
      <c r="AU159" s="114">
        <v>7256.2920315101683</v>
      </c>
      <c r="AV159" s="114">
        <v>1762.8269211985414</v>
      </c>
      <c r="AW159" s="114">
        <v>4633.2736087412914</v>
      </c>
      <c r="AX159" s="114">
        <v>6855.8864758795726</v>
      </c>
      <c r="AY159" s="114">
        <v>5531.4759535571475</v>
      </c>
      <c r="AZ159" s="114">
        <v>4884.2182734767266</v>
      </c>
      <c r="BA159" s="114">
        <v>5226.2710908646077</v>
      </c>
      <c r="BB159" s="114">
        <v>6446.4430291917924</v>
      </c>
      <c r="BC159" s="114">
        <v>4718.4863562391656</v>
      </c>
      <c r="BD159" s="114">
        <v>5580.5905900920061</v>
      </c>
      <c r="BE159" s="114">
        <v>4128.0817929339055</v>
      </c>
      <c r="BF159" s="114">
        <v>6903.4964419276384</v>
      </c>
      <c r="BG159" s="114">
        <v>5238.7417855832518</v>
      </c>
      <c r="BH159" s="114">
        <v>7718.5221563840887</v>
      </c>
      <c r="BI159" s="114">
        <v>3076.38202209062</v>
      </c>
      <c r="BJ159" s="114">
        <v>5987.8517806316595</v>
      </c>
      <c r="BK159" s="114">
        <v>6045.5279656048233</v>
      </c>
      <c r="BL159" s="114">
        <v>6900.7590338373448</v>
      </c>
      <c r="BM159" s="114">
        <v>6081.9608491525023</v>
      </c>
      <c r="BN159" s="114">
        <v>6132.8599509654423</v>
      </c>
      <c r="BO159" s="114">
        <v>4197.63053838835</v>
      </c>
      <c r="BP159" s="114">
        <v>3313.860774207214</v>
      </c>
      <c r="BQ159" s="114">
        <v>152.07876226533241</v>
      </c>
      <c r="BR159" s="114">
        <v>6618.1368329033457</v>
      </c>
      <c r="BS159" s="114">
        <v>5011.4934963138976</v>
      </c>
      <c r="BT159" s="114">
        <v>4598.1583534938591</v>
      </c>
      <c r="BU159" s="114">
        <v>4617.8949975457954</v>
      </c>
      <c r="BV159" s="114">
        <v>2133.9683391587096</v>
      </c>
      <c r="BW159" s="114">
        <v>4768.6428611300062</v>
      </c>
      <c r="BX159" s="114">
        <v>4812.6356173795793</v>
      </c>
      <c r="BY159" s="114">
        <v>7817.2849198245913</v>
      </c>
      <c r="BZ159" s="114">
        <v>697.3152306502808</v>
      </c>
      <c r="CA159" s="114">
        <v>378.19820497871291</v>
      </c>
      <c r="CB159" s="114">
        <v>4542.5210974851998</v>
      </c>
      <c r="CC159" s="114">
        <v>5854.6206303795025</v>
      </c>
      <c r="CD159" s="114">
        <v>7497.336950926745</v>
      </c>
      <c r="CE159" s="114">
        <v>4965.5273696522099</v>
      </c>
      <c r="CF159" s="114">
        <v>5542.903085238403</v>
      </c>
      <c r="CG159" s="114">
        <v>9508.9858145389317</v>
      </c>
      <c r="CH159" s="114">
        <v>9676.1783148837585</v>
      </c>
      <c r="CI159" s="114">
        <v>13799.448778353981</v>
      </c>
      <c r="CJ159" s="114">
        <v>7163.2943227196274</v>
      </c>
      <c r="CK159" s="114">
        <v>6513.6476995495341</v>
      </c>
      <c r="CL159" s="114">
        <v>4431.9665106318771</v>
      </c>
      <c r="CM159" s="114">
        <v>2647.4255482565136</v>
      </c>
      <c r="CN159" s="114">
        <v>4153.5676991945065</v>
      </c>
      <c r="CO159" s="114">
        <v>4258.9108321189015</v>
      </c>
      <c r="CP159" s="114">
        <v>6310.9718570118566</v>
      </c>
      <c r="CQ159" s="114">
        <v>13950.944520296449</v>
      </c>
      <c r="CR159" s="114">
        <v>5676.6577459745104</v>
      </c>
      <c r="CS159" s="114">
        <v>8674.4374426625527</v>
      </c>
      <c r="CT159" s="114">
        <v>6163.3478879511631</v>
      </c>
      <c r="CU159" s="114">
        <v>6858.4913153440521</v>
      </c>
      <c r="CV159" s="114">
        <v>9076.2646014278507</v>
      </c>
      <c r="CW159" s="114">
        <v>12499.579070823449</v>
      </c>
      <c r="CX159" s="114">
        <v>5847.1609518844061</v>
      </c>
      <c r="CY159" s="114">
        <v>5687.1522829340593</v>
      </c>
      <c r="CZ159" s="114">
        <v>6805.9299353175265</v>
      </c>
      <c r="DA159" s="114">
        <v>1174.3417995437471</v>
      </c>
      <c r="DB159" s="114">
        <v>3675.1870261774129</v>
      </c>
      <c r="DC159" s="114">
        <v>4395.4428156506947</v>
      </c>
      <c r="DD159" s="114">
        <v>5767.3841382915725</v>
      </c>
      <c r="DE159" s="114">
        <v>4437.8031792245147</v>
      </c>
      <c r="DF159" s="114">
        <v>7964.6593371604022</v>
      </c>
      <c r="DG159" s="114">
        <v>6413.994427808042</v>
      </c>
      <c r="DH159" s="114">
        <v>12989.054101203339</v>
      </c>
      <c r="DI159" s="114">
        <v>9958.7271218683582</v>
      </c>
      <c r="DJ159" s="114">
        <v>1076.8987594073665</v>
      </c>
      <c r="DK159" s="114">
        <v>3932.9572108005732</v>
      </c>
      <c r="DL159" s="114">
        <v>9005.4035413312959</v>
      </c>
      <c r="DM159" s="114">
        <v>9027.2788764492943</v>
      </c>
      <c r="DN159" s="114">
        <v>8647.9143619230672</v>
      </c>
      <c r="DO159" s="114">
        <v>5592.8638175562737</v>
      </c>
      <c r="DP159" s="114">
        <v>4023.6485335864891</v>
      </c>
      <c r="DQ159" s="114">
        <v>11168.349029312081</v>
      </c>
      <c r="DR159" s="114">
        <v>4685.9956688550001</v>
      </c>
      <c r="DS159" s="114">
        <v>2427.7859085150239</v>
      </c>
      <c r="DT159" s="114">
        <v>6967.0857086919532</v>
      </c>
      <c r="DU159" s="114">
        <v>11950.255105025048</v>
      </c>
      <c r="DV159" s="114">
        <v>5534.7453032275671</v>
      </c>
      <c r="DW159" s="114">
        <v>10465.174103042331</v>
      </c>
      <c r="DX159" s="114">
        <v>4636.8243460133453</v>
      </c>
      <c r="DY159" s="114">
        <v>17239.685970858274</v>
      </c>
      <c r="DZ159" s="114">
        <v>16822.775537537749</v>
      </c>
      <c r="EA159" s="114">
        <v>7436.5889971874003</v>
      </c>
      <c r="EB159" s="114">
        <v>2092.2471538793561</v>
      </c>
      <c r="EC159" s="114">
        <v>2741.6041219206845</v>
      </c>
      <c r="ED159" s="114">
        <v>12918.181255911182</v>
      </c>
      <c r="EE159" s="114">
        <v>4805.6542682772142</v>
      </c>
      <c r="EF159" s="114">
        <v>5515.6055091827257</v>
      </c>
      <c r="EG159" s="114">
        <v>7941.2747990959551</v>
      </c>
      <c r="EH159" s="114">
        <v>8786.5350503985501</v>
      </c>
      <c r="EI159" s="114">
        <v>9171.5968015372728</v>
      </c>
      <c r="EJ159" s="114">
        <v>6755.3995112777484</v>
      </c>
      <c r="EK159" s="114">
        <v>6167.2687873861787</v>
      </c>
      <c r="EL159" s="114">
        <v>7200.43302909874</v>
      </c>
      <c r="EM159" s="114">
        <v>14423.455182140759</v>
      </c>
      <c r="EN159" s="114">
        <v>5395.4803580340304</v>
      </c>
      <c r="EO159" s="114">
        <v>2796.0013506349724</v>
      </c>
      <c r="EP159" s="114">
        <v>7213.1377270910871</v>
      </c>
      <c r="EQ159" s="114">
        <v>5269.3019506347609</v>
      </c>
      <c r="ER159" s="114">
        <v>6537.1998595527439</v>
      </c>
      <c r="ES159" s="114">
        <v>5503.443256197922</v>
      </c>
      <c r="ET159" s="114">
        <v>4830.6468086695859</v>
      </c>
      <c r="EU159" s="114">
        <v>4660.0543033702097</v>
      </c>
      <c r="EV159" s="114">
        <v>4727.4898378000853</v>
      </c>
      <c r="EW159" s="114">
        <v>4294.8051421111568</v>
      </c>
      <c r="EX159" s="114">
        <v>3048.3359076870379</v>
      </c>
      <c r="EY159" s="114">
        <v>6722.2516157767341</v>
      </c>
      <c r="EZ159" s="114" t="s">
        <v>237</v>
      </c>
      <c r="FA159" s="114">
        <v>4880.5456934447593</v>
      </c>
      <c r="FB159" s="114">
        <v>807.86601961636234</v>
      </c>
      <c r="FC159" s="114">
        <v>13303.721813907974</v>
      </c>
      <c r="FD159" s="114">
        <v>4900.5326297815882</v>
      </c>
      <c r="FE159" s="114">
        <v>4595.1866781810068</v>
      </c>
      <c r="FF159" s="114">
        <v>6996.5260198322949</v>
      </c>
      <c r="FG159" s="114">
        <v>6614.0750017243809</v>
      </c>
      <c r="FH159" s="114">
        <v>13136.589011070875</v>
      </c>
      <c r="FI159" s="114">
        <v>5449.7714101767961</v>
      </c>
      <c r="FJ159" s="114">
        <v>3179.7701343559661</v>
      </c>
      <c r="FK159" s="114">
        <v>3545.4565463611675</v>
      </c>
      <c r="FL159" s="114">
        <v>10580.801124565744</v>
      </c>
      <c r="FM159" s="114">
        <v>5325.2477561490641</v>
      </c>
      <c r="FN159" s="114">
        <v>4249.8051445631436</v>
      </c>
      <c r="FO159" s="114">
        <v>5767.0945529827559</v>
      </c>
      <c r="FP159" s="114">
        <v>4250.2305113605689</v>
      </c>
      <c r="FQ159" s="114">
        <v>5763.3078844052543</v>
      </c>
      <c r="FR159" s="114">
        <v>13765.603337305036</v>
      </c>
      <c r="FS159" s="114">
        <v>8661.7856262465721</v>
      </c>
      <c r="FT159" s="114">
        <v>6668.0729126472206</v>
      </c>
      <c r="FU159" s="114">
        <v>12482.645791371362</v>
      </c>
      <c r="FV159" s="114">
        <v>15886.017535516123</v>
      </c>
      <c r="FW159" s="114">
        <v>2219.6403443717832</v>
      </c>
      <c r="FX159" s="114">
        <v>4810.2674740518423</v>
      </c>
      <c r="FY159" s="114">
        <v>3668.3451835681967</v>
      </c>
      <c r="FZ159" s="114">
        <v>5586.8528247094146</v>
      </c>
      <c r="GA159" s="114">
        <v>7710.5166752836494</v>
      </c>
      <c r="GB159" s="114">
        <v>5674.2561327968115</v>
      </c>
      <c r="GC159" s="114">
        <v>5843.0172425995133</v>
      </c>
      <c r="GD159" s="114">
        <v>7510.8983436483404</v>
      </c>
      <c r="GE159" s="114">
        <v>4395.9990379853343</v>
      </c>
      <c r="GF159" s="114">
        <v>10095.738500434118</v>
      </c>
      <c r="GG159" s="114">
        <v>6185.5314335457615</v>
      </c>
      <c r="GH159" s="114">
        <v>5986.9878721983014</v>
      </c>
      <c r="GI159" s="114">
        <v>6406.6344192475808</v>
      </c>
      <c r="GJ159" s="114">
        <v>6804.7783925725871</v>
      </c>
      <c r="GK159" s="114">
        <v>8665.8496555337952</v>
      </c>
      <c r="GL159" s="114">
        <v>5360.8199845573254</v>
      </c>
      <c r="GM159" s="114">
        <v>12634.27831821021</v>
      </c>
      <c r="GN159" s="114">
        <v>6585.46433267263</v>
      </c>
      <c r="GO159" s="114">
        <v>5984.1037562480687</v>
      </c>
      <c r="GP159" s="114">
        <v>6368.736265118192</v>
      </c>
      <c r="GQ159" s="114">
        <v>13230.013060162788</v>
      </c>
      <c r="GR159" s="114">
        <v>17327.330989746566</v>
      </c>
      <c r="GS159" s="114">
        <v>4380.7901206544284</v>
      </c>
      <c r="GT159" s="115">
        <v>6658.0497686157196</v>
      </c>
    </row>
    <row r="160" spans="2:202" x14ac:dyDescent="0.6">
      <c r="B160" s="106" t="s">
        <v>146</v>
      </c>
      <c r="C160" s="63" t="s">
        <v>505</v>
      </c>
      <c r="D160" s="113">
        <v>4272.4356620955696</v>
      </c>
      <c r="E160" s="114">
        <v>1711.3836049495949</v>
      </c>
      <c r="F160" s="114">
        <v>1554.4324423050523</v>
      </c>
      <c r="G160" s="114">
        <v>5937.8342552340036</v>
      </c>
      <c r="H160" s="114">
        <v>8074.8826271025446</v>
      </c>
      <c r="I160" s="114">
        <v>12074.612848712708</v>
      </c>
      <c r="J160" s="114">
        <v>2020.7900491867358</v>
      </c>
      <c r="K160" s="114">
        <v>15669.384934877462</v>
      </c>
      <c r="L160" s="114">
        <v>513.28731842695436</v>
      </c>
      <c r="M160" s="114">
        <v>2428.7642849372232</v>
      </c>
      <c r="N160" s="114">
        <v>8648.8603218951375</v>
      </c>
      <c r="O160" s="114">
        <v>3368.4725324702463</v>
      </c>
      <c r="P160" s="114">
        <v>6644.3429651718816</v>
      </c>
      <c r="Q160" s="114">
        <v>8180.4945749295221</v>
      </c>
      <c r="R160" s="114">
        <v>1121.8889255951383</v>
      </c>
      <c r="S160" s="114">
        <v>1381.5046124643643</v>
      </c>
      <c r="T160" s="114">
        <v>10078.297090154661</v>
      </c>
      <c r="U160" s="114">
        <v>4598.8644477196613</v>
      </c>
      <c r="V160" s="114">
        <v>6313.538729872058</v>
      </c>
      <c r="W160" s="114">
        <v>11142.863414298039</v>
      </c>
      <c r="X160" s="114">
        <v>200.86071550814017</v>
      </c>
      <c r="Y160" s="114">
        <v>7685.122171545092</v>
      </c>
      <c r="Z160" s="114">
        <v>10165.241148827923</v>
      </c>
      <c r="AA160" s="114">
        <v>9880.7792161370799</v>
      </c>
      <c r="AB160" s="114">
        <v>10021.295147405584</v>
      </c>
      <c r="AC160" s="114">
        <v>322.61760783960426</v>
      </c>
      <c r="AD160" s="114">
        <v>4147.1224915074527</v>
      </c>
      <c r="AE160" s="114">
        <v>5371.6024739098166</v>
      </c>
      <c r="AF160" s="114">
        <v>5247.0106432125031</v>
      </c>
      <c r="AG160" s="114">
        <v>8664.6548993114538</v>
      </c>
      <c r="AH160" s="114">
        <v>4617.4199811167673</v>
      </c>
      <c r="AI160" s="114">
        <v>4643.8387670489028</v>
      </c>
      <c r="AJ160" s="114">
        <v>7408.313759355523</v>
      </c>
      <c r="AK160" s="114">
        <v>7052.9686835445009</v>
      </c>
      <c r="AL160" s="114">
        <v>4482.1745891561804</v>
      </c>
      <c r="AM160" s="114">
        <v>3644.6563854481883</v>
      </c>
      <c r="AN160" s="114">
        <v>12575.323298495765</v>
      </c>
      <c r="AO160" s="114">
        <v>8423.909817094931</v>
      </c>
      <c r="AP160" s="114">
        <v>7452.0682221175612</v>
      </c>
      <c r="AQ160" s="114">
        <v>10014.872963488018</v>
      </c>
      <c r="AR160" s="114">
        <v>6627.0634194341183</v>
      </c>
      <c r="AS160" s="114">
        <v>5452.7675175147433</v>
      </c>
      <c r="AT160" s="114">
        <v>5428.2698446191025</v>
      </c>
      <c r="AU160" s="114">
        <v>10380.551679321208</v>
      </c>
      <c r="AV160" s="114">
        <v>4959.124183703625</v>
      </c>
      <c r="AW160" s="114">
        <v>392.62271319053622</v>
      </c>
      <c r="AX160" s="114">
        <v>9165.7655452821946</v>
      </c>
      <c r="AY160" s="114">
        <v>1514.184155317656</v>
      </c>
      <c r="AZ160" s="114">
        <v>771.52766617451084</v>
      </c>
      <c r="BA160" s="114">
        <v>1340.2112387580974</v>
      </c>
      <c r="BB160" s="114">
        <v>4261.9886304378797</v>
      </c>
      <c r="BC160" s="114">
        <v>8171.5954388209229</v>
      </c>
      <c r="BD160" s="114">
        <v>8590.7516519207875</v>
      </c>
      <c r="BE160" s="114">
        <v>5440.1680927563712</v>
      </c>
      <c r="BF160" s="114">
        <v>10709.56645883674</v>
      </c>
      <c r="BG160" s="114">
        <v>1868.2422145410817</v>
      </c>
      <c r="BH160" s="114">
        <v>10446.402626869354</v>
      </c>
      <c r="BI160" s="114">
        <v>4710.3405980460884</v>
      </c>
      <c r="BJ160" s="114">
        <v>3681.6678834305244</v>
      </c>
      <c r="BK160" s="114">
        <v>1660.1618596637798</v>
      </c>
      <c r="BL160" s="114">
        <v>7934.1003785843905</v>
      </c>
      <c r="BM160" s="114">
        <v>4311.1825446017538</v>
      </c>
      <c r="BN160" s="114">
        <v>1767.7043298056001</v>
      </c>
      <c r="BO160" s="114">
        <v>1456.0518596551872</v>
      </c>
      <c r="BP160" s="114">
        <v>5041.248544950764</v>
      </c>
      <c r="BQ160" s="114">
        <v>4913.3294227154129</v>
      </c>
      <c r="BR160" s="114">
        <v>1985.3589886138056</v>
      </c>
      <c r="BS160" s="114">
        <v>1013.0576446009337</v>
      </c>
      <c r="BT160" s="114">
        <v>785.97059284339491</v>
      </c>
      <c r="BU160" s="114">
        <v>1077.7877132189981</v>
      </c>
      <c r="BV160" s="114">
        <v>4786.2975985303274</v>
      </c>
      <c r="BW160" s="114">
        <v>811.76916561213591</v>
      </c>
      <c r="BX160" s="114">
        <v>8449.9799783192411</v>
      </c>
      <c r="BY160" s="114">
        <v>10445.226199383043</v>
      </c>
      <c r="BZ160" s="114">
        <v>5088.2867815513191</v>
      </c>
      <c r="CA160" s="114">
        <v>5013.9581589005857</v>
      </c>
      <c r="CB160" s="114">
        <v>8589.4544487255389</v>
      </c>
      <c r="CC160" s="114">
        <v>8783.8456051796256</v>
      </c>
      <c r="CD160" s="114">
        <v>10249.818950331142</v>
      </c>
      <c r="CE160" s="114">
        <v>326.60598585228354</v>
      </c>
      <c r="CF160" s="114">
        <v>3383.6106929096686</v>
      </c>
      <c r="CG160" s="114">
        <v>5588.8492094796056</v>
      </c>
      <c r="CH160" s="114">
        <v>5269.0743236322623</v>
      </c>
      <c r="CI160" s="114">
        <v>10168.474350696248</v>
      </c>
      <c r="CJ160" s="114">
        <v>2801.1859818397575</v>
      </c>
      <c r="CK160" s="114">
        <v>2409.8223993656952</v>
      </c>
      <c r="CL160" s="114">
        <v>2151.4385955327357</v>
      </c>
      <c r="CM160" s="114">
        <v>4956.3036290514938</v>
      </c>
      <c r="CN160" s="114">
        <v>734.2584093238504</v>
      </c>
      <c r="CO160" s="114">
        <v>885.09877708614817</v>
      </c>
      <c r="CP160" s="114">
        <v>9141.919835958699</v>
      </c>
      <c r="CQ160" s="114">
        <v>9212.1042969470545</v>
      </c>
      <c r="CR160" s="114">
        <v>1949.9982278231016</v>
      </c>
      <c r="CS160" s="114">
        <v>3795.0189745555144</v>
      </c>
      <c r="CT160" s="114">
        <v>5323.1423387244076</v>
      </c>
      <c r="CU160" s="114">
        <v>2958.7881597640862</v>
      </c>
      <c r="CV160" s="114">
        <v>4286.0308167842804</v>
      </c>
      <c r="CW160" s="114">
        <v>8018.5215012142853</v>
      </c>
      <c r="CX160" s="114">
        <v>1362.6435997730669</v>
      </c>
      <c r="CY160" s="114">
        <v>1770.6199819796409</v>
      </c>
      <c r="CZ160" s="114">
        <v>8223.0231706060858</v>
      </c>
      <c r="DA160" s="114">
        <v>5206.1339720721207</v>
      </c>
      <c r="DB160" s="114">
        <v>1477.3411115880745</v>
      </c>
      <c r="DC160" s="114">
        <v>903.31700521959931</v>
      </c>
      <c r="DD160" s="114">
        <v>1151.8734410956224</v>
      </c>
      <c r="DE160" s="114">
        <v>1209.306417114135</v>
      </c>
      <c r="DF160" s="114">
        <v>7525.3004894297555</v>
      </c>
      <c r="DG160" s="114">
        <v>6638.8295748451355</v>
      </c>
      <c r="DH160" s="114">
        <v>9055.8207791459936</v>
      </c>
      <c r="DI160" s="114">
        <v>6832.5021646633932</v>
      </c>
      <c r="DJ160" s="114">
        <v>4453.5640527123833</v>
      </c>
      <c r="DK160" s="114">
        <v>1121.2177388863843</v>
      </c>
      <c r="DL160" s="114">
        <v>8102.7032989901418</v>
      </c>
      <c r="DM160" s="114">
        <v>8118.18253760465</v>
      </c>
      <c r="DN160" s="114">
        <v>10651.296570279703</v>
      </c>
      <c r="DO160" s="114">
        <v>715.17997406944392</v>
      </c>
      <c r="DP160" s="114">
        <v>1035.7514444866622</v>
      </c>
      <c r="DQ160" s="114">
        <v>6304.8710749797874</v>
      </c>
      <c r="DR160" s="114">
        <v>245.73670448219627</v>
      </c>
      <c r="DS160" s="114">
        <v>2599.735318874973</v>
      </c>
      <c r="DT160" s="114">
        <v>7886.7687400104778</v>
      </c>
      <c r="DU160" s="114">
        <v>7620.7020830957936</v>
      </c>
      <c r="DV160" s="114">
        <v>7441.0964717570687</v>
      </c>
      <c r="DW160" s="114">
        <v>5968.9198893492894</v>
      </c>
      <c r="DX160" s="114">
        <v>1446.2414416094589</v>
      </c>
      <c r="DY160" s="114">
        <v>17707.281765162272</v>
      </c>
      <c r="DZ160" s="114">
        <v>17875.441735930643</v>
      </c>
      <c r="EA160" s="114">
        <v>10342.014953433814</v>
      </c>
      <c r="EB160" s="114">
        <v>3882.9980668315106</v>
      </c>
      <c r="EC160" s="114">
        <v>4137.4994483260216</v>
      </c>
      <c r="ED160" s="114">
        <v>8070.858606451613</v>
      </c>
      <c r="EE160" s="114">
        <v>286.09772964171412</v>
      </c>
      <c r="EF160" s="114">
        <v>1801.3182941441642</v>
      </c>
      <c r="EG160" s="114">
        <v>4162.6388739273852</v>
      </c>
      <c r="EH160" s="114">
        <v>4711.9637045618692</v>
      </c>
      <c r="EI160" s="114">
        <v>4638.8392749336981</v>
      </c>
      <c r="EJ160" s="114">
        <v>10059.018625661936</v>
      </c>
      <c r="EK160" s="114">
        <v>11027.425657810138</v>
      </c>
      <c r="EL160" s="114">
        <v>11520.311775435724</v>
      </c>
      <c r="EM160" s="114">
        <v>9708.8116432305069</v>
      </c>
      <c r="EN160" s="114">
        <v>849.6863691885045</v>
      </c>
      <c r="EO160" s="114">
        <v>2531.8117310749694</v>
      </c>
      <c r="EP160" s="114">
        <v>3517.6029343521686</v>
      </c>
      <c r="EQ160" s="114">
        <v>455.96450452013221</v>
      </c>
      <c r="ER160" s="114">
        <v>1745.1448028662962</v>
      </c>
      <c r="ES160" s="114">
        <v>5213.9641539597578</v>
      </c>
      <c r="ET160" s="114">
        <v>8117.5483232112638</v>
      </c>
      <c r="EU160" s="114">
        <v>8208.4332186654501</v>
      </c>
      <c r="EV160" s="114">
        <v>8319.2679826278763</v>
      </c>
      <c r="EW160" s="114">
        <v>653.5304078149901</v>
      </c>
      <c r="EX160" s="114">
        <v>5126.5769424800956</v>
      </c>
      <c r="EY160" s="114">
        <v>3243.6153369163003</v>
      </c>
      <c r="EZ160" s="114">
        <v>4880.5456934447593</v>
      </c>
      <c r="FA160" s="114" t="s">
        <v>237</v>
      </c>
      <c r="FB160" s="114">
        <v>5160.9518684911482</v>
      </c>
      <c r="FC160" s="114">
        <v>9382.9537270806795</v>
      </c>
      <c r="FD160" s="114">
        <v>473.72063694996507</v>
      </c>
      <c r="FE160" s="114">
        <v>502.56693995185725</v>
      </c>
      <c r="FF160" s="114">
        <v>5318.2339011911808</v>
      </c>
      <c r="FG160" s="114">
        <v>7816.8304319008985</v>
      </c>
      <c r="FH160" s="114">
        <v>8284.0428473373013</v>
      </c>
      <c r="FI160" s="114">
        <v>4542.4386497296591</v>
      </c>
      <c r="FJ160" s="114">
        <v>2005.1536871719009</v>
      </c>
      <c r="FK160" s="114">
        <v>1517.6725462239976</v>
      </c>
      <c r="FL160" s="114">
        <v>7076.6045408166519</v>
      </c>
      <c r="FM160" s="114">
        <v>3436.4306965981791</v>
      </c>
      <c r="FN160" s="114">
        <v>8428.6204611180201</v>
      </c>
      <c r="FO160" s="114">
        <v>1642.1939814421391</v>
      </c>
      <c r="FP160" s="114">
        <v>1043.9000673131015</v>
      </c>
      <c r="FQ160" s="114">
        <v>1844.0313025849327</v>
      </c>
      <c r="FR160" s="114">
        <v>8912.0126435808015</v>
      </c>
      <c r="FS160" s="114">
        <v>4010.9609636448458</v>
      </c>
      <c r="FT160" s="114">
        <v>6011.9117516788665</v>
      </c>
      <c r="FU160" s="114">
        <v>8170.7930899125004</v>
      </c>
      <c r="FV160" s="114">
        <v>11834.85242155074</v>
      </c>
      <c r="FW160" s="114">
        <v>4659.5840704496231</v>
      </c>
      <c r="FX160" s="114">
        <v>8537.4936743913076</v>
      </c>
      <c r="FY160" s="114">
        <v>1240.6242835670714</v>
      </c>
      <c r="FZ160" s="114">
        <v>1143.1941948193796</v>
      </c>
      <c r="GA160" s="114">
        <v>3158.2312757872783</v>
      </c>
      <c r="GB160" s="114">
        <v>5064.9228541467228</v>
      </c>
      <c r="GC160" s="114">
        <v>984.55872731658553</v>
      </c>
      <c r="GD160" s="114">
        <v>3790.5090259226731</v>
      </c>
      <c r="GE160" s="114">
        <v>1694.1082325522927</v>
      </c>
      <c r="GF160" s="114">
        <v>10331.9496066429</v>
      </c>
      <c r="GG160" s="114">
        <v>7274.6111490761614</v>
      </c>
      <c r="GH160" s="114">
        <v>6968.535785829933</v>
      </c>
      <c r="GI160" s="114">
        <v>7600.9338401802952</v>
      </c>
      <c r="GJ160" s="114">
        <v>11680.47853230783</v>
      </c>
      <c r="GK160" s="114">
        <v>3930.3655173800112</v>
      </c>
      <c r="GL160" s="114">
        <v>8964.2243357133666</v>
      </c>
      <c r="GM160" s="114">
        <v>8011.0706154375557</v>
      </c>
      <c r="GN160" s="114">
        <v>3938.5330529691973</v>
      </c>
      <c r="GO160" s="114">
        <v>6693.9484909527819</v>
      </c>
      <c r="GP160" s="114">
        <v>6970.642905367522</v>
      </c>
      <c r="GQ160" s="114">
        <v>8871.813568526255</v>
      </c>
      <c r="GR160" s="114">
        <v>15595.870718553208</v>
      </c>
      <c r="GS160" s="114">
        <v>967.81877576576062</v>
      </c>
      <c r="GT160" s="115">
        <v>7900.0307141186531</v>
      </c>
    </row>
    <row r="161" spans="2:202" x14ac:dyDescent="0.6">
      <c r="B161" s="106" t="s">
        <v>147</v>
      </c>
      <c r="C161" s="63" t="s">
        <v>506</v>
      </c>
      <c r="D161" s="113">
        <v>8782.2367850474329</v>
      </c>
      <c r="E161" s="114">
        <v>3532.8651424723844</v>
      </c>
      <c r="F161" s="114">
        <v>4039.2255397602717</v>
      </c>
      <c r="G161" s="114">
        <v>3463.1327423320417</v>
      </c>
      <c r="H161" s="114">
        <v>5355.4522395502208</v>
      </c>
      <c r="I161" s="114">
        <v>6961.1449098911589</v>
      </c>
      <c r="J161" s="114">
        <v>6672.4812446791657</v>
      </c>
      <c r="K161" s="114">
        <v>16742.063961808999</v>
      </c>
      <c r="L161" s="114">
        <v>5217.0554314426599</v>
      </c>
      <c r="M161" s="114">
        <v>7110.7226601770462</v>
      </c>
      <c r="N161" s="114">
        <v>7007.518628824605</v>
      </c>
      <c r="O161" s="114">
        <v>6959.1844643922723</v>
      </c>
      <c r="P161" s="114">
        <v>10989.209629988458</v>
      </c>
      <c r="Q161" s="114">
        <v>5061.6811913327983</v>
      </c>
      <c r="R161" s="114">
        <v>6192.7575366157835</v>
      </c>
      <c r="S161" s="114">
        <v>4959.9180386445296</v>
      </c>
      <c r="T161" s="114">
        <v>8164.6377254473555</v>
      </c>
      <c r="U161" s="114">
        <v>1734.7660731766127</v>
      </c>
      <c r="V161" s="114">
        <v>10811.570725246509</v>
      </c>
      <c r="W161" s="114">
        <v>6629.6155717586007</v>
      </c>
      <c r="X161" s="114">
        <v>4962.5704988450661</v>
      </c>
      <c r="Y161" s="114">
        <v>5559.144139072363</v>
      </c>
      <c r="Z161" s="114">
        <v>5076.7053948483981</v>
      </c>
      <c r="AA161" s="114">
        <v>4764.4552470236986</v>
      </c>
      <c r="AB161" s="114">
        <v>14093.328881756799</v>
      </c>
      <c r="AC161" s="114">
        <v>5196.9622928495091</v>
      </c>
      <c r="AD161" s="114">
        <v>1367.3255762892743</v>
      </c>
      <c r="AE161" s="114">
        <v>4865.9836256569779</v>
      </c>
      <c r="AF161" s="114">
        <v>1335.3747427739918</v>
      </c>
      <c r="AG161" s="114">
        <v>12784.470945961857</v>
      </c>
      <c r="AH161" s="114">
        <v>2571.7790195990224</v>
      </c>
      <c r="AI161" s="114">
        <v>2763.0532740649619</v>
      </c>
      <c r="AJ161" s="114">
        <v>7468.2591230828484</v>
      </c>
      <c r="AK161" s="114">
        <v>7198.1935673058606</v>
      </c>
      <c r="AL161" s="114">
        <v>3511.9116130824277</v>
      </c>
      <c r="AM161" s="114">
        <v>3065.6781435767812</v>
      </c>
      <c r="AN161" s="114">
        <v>7600.853598253635</v>
      </c>
      <c r="AO161" s="114">
        <v>13488.802498715197</v>
      </c>
      <c r="AP161" s="114">
        <v>12574.27590082721</v>
      </c>
      <c r="AQ161" s="114">
        <v>6731.5745482005213</v>
      </c>
      <c r="AR161" s="114">
        <v>6603.4685749458795</v>
      </c>
      <c r="AS161" s="114">
        <v>3456.8351258389785</v>
      </c>
      <c r="AT161" s="114">
        <v>3426.5208174634154</v>
      </c>
      <c r="AU161" s="114">
        <v>7769.8254324299523</v>
      </c>
      <c r="AV161" s="114">
        <v>1061.724063981052</v>
      </c>
      <c r="AW161" s="114">
        <v>4968.3106945302097</v>
      </c>
      <c r="AX161" s="114">
        <v>7509.8278348513877</v>
      </c>
      <c r="AY161" s="114">
        <v>5573.741842358857</v>
      </c>
      <c r="AZ161" s="114">
        <v>5288.3504228608454</v>
      </c>
      <c r="BA161" s="114">
        <v>5699.5223624363416</v>
      </c>
      <c r="BB161" s="114">
        <v>6068.8842082690053</v>
      </c>
      <c r="BC161" s="114">
        <v>5278.7372978320973</v>
      </c>
      <c r="BD161" s="114">
        <v>6182.5350752933964</v>
      </c>
      <c r="BE161" s="114">
        <v>3434.5010990687706</v>
      </c>
      <c r="BF161" s="114">
        <v>7281.1699658853431</v>
      </c>
      <c r="BG161" s="114">
        <v>5196.9041425789765</v>
      </c>
      <c r="BH161" s="114">
        <v>8282.5171300201109</v>
      </c>
      <c r="BI161" s="114">
        <v>2455.9873212263192</v>
      </c>
      <c r="BJ161" s="114">
        <v>5670.0989256673838</v>
      </c>
      <c r="BK161" s="114">
        <v>6486.5387824713089</v>
      </c>
      <c r="BL161" s="114">
        <v>6123.2140086484096</v>
      </c>
      <c r="BM161" s="114">
        <v>5666.9542908117592</v>
      </c>
      <c r="BN161" s="114">
        <v>6581.1802063994846</v>
      </c>
      <c r="BO161" s="114">
        <v>4696.7814621574007</v>
      </c>
      <c r="BP161" s="114">
        <v>2641.2865826717975</v>
      </c>
      <c r="BQ161" s="114">
        <v>656.52604418464819</v>
      </c>
      <c r="BR161" s="114">
        <v>6728.2588889936496</v>
      </c>
      <c r="BS161" s="114">
        <v>5447.8782853575467</v>
      </c>
      <c r="BT161" s="114">
        <v>5002.746037841719</v>
      </c>
      <c r="BU161" s="114">
        <v>5069.6916366401501</v>
      </c>
      <c r="BV161" s="114">
        <v>1483.9328512902728</v>
      </c>
      <c r="BW161" s="114">
        <v>4910.6686302795506</v>
      </c>
      <c r="BX161" s="114">
        <v>5326.6743358526091</v>
      </c>
      <c r="BY161" s="114">
        <v>8393.1997549926691</v>
      </c>
      <c r="BZ161" s="114">
        <v>115.56268862189954</v>
      </c>
      <c r="CA161" s="114">
        <v>430.17634767549714</v>
      </c>
      <c r="CB161" s="114">
        <v>4958.1632990416228</v>
      </c>
      <c r="CC161" s="114">
        <v>6458.2146610671161</v>
      </c>
      <c r="CD161" s="114">
        <v>8065.5517717297353</v>
      </c>
      <c r="CE161" s="114">
        <v>5296.3637782141022</v>
      </c>
      <c r="CF161" s="114">
        <v>6240.3264429556721</v>
      </c>
      <c r="CG161" s="114">
        <v>9295.3679798678095</v>
      </c>
      <c r="CH161" s="114">
        <v>9599.3037843778511</v>
      </c>
      <c r="CI161" s="114">
        <v>13349.842193052353</v>
      </c>
      <c r="CJ161" s="114">
        <v>7167.495313261923</v>
      </c>
      <c r="CK161" s="114">
        <v>6491.4808766087372</v>
      </c>
      <c r="CL161" s="114">
        <v>5033.7282298300943</v>
      </c>
      <c r="CM161" s="114">
        <v>3451.9206514978737</v>
      </c>
      <c r="CN161" s="114">
        <v>4463.5398540865035</v>
      </c>
      <c r="CO161" s="114">
        <v>4655.1093477346385</v>
      </c>
      <c r="CP161" s="114">
        <v>6911.7613109134536</v>
      </c>
      <c r="CQ161" s="114">
        <v>14361.994508572612</v>
      </c>
      <c r="CR161" s="114">
        <v>5647.9641686944578</v>
      </c>
      <c r="CS161" s="114">
        <v>8904.7982882458637</v>
      </c>
      <c r="CT161" s="114">
        <v>5602.8322265335246</v>
      </c>
      <c r="CU161" s="114">
        <v>6768.6497465989905</v>
      </c>
      <c r="CV161" s="114">
        <v>9191.4209174994085</v>
      </c>
      <c r="CW161" s="114">
        <v>12367.845575168201</v>
      </c>
      <c r="CX161" s="114">
        <v>6260.4959298443391</v>
      </c>
      <c r="CY161" s="114">
        <v>5693.8118900813961</v>
      </c>
      <c r="CZ161" s="114">
        <v>6011.7869404289149</v>
      </c>
      <c r="DA161" s="114">
        <v>379.82040494712538</v>
      </c>
      <c r="DB161" s="114">
        <v>3813.0524116294487</v>
      </c>
      <c r="DC161" s="114">
        <v>4809.3447763178265</v>
      </c>
      <c r="DD161" s="114">
        <v>6149.3528713412443</v>
      </c>
      <c r="DE161" s="114">
        <v>4906.2792288035689</v>
      </c>
      <c r="DF161" s="114">
        <v>7271.9348818116096</v>
      </c>
      <c r="DG161" s="114">
        <v>5713.1069951071704</v>
      </c>
      <c r="DH161" s="114">
        <v>12650.671883399293</v>
      </c>
      <c r="DI161" s="114">
        <v>9553.5982148448147</v>
      </c>
      <c r="DJ161" s="114">
        <v>761.32105164192808</v>
      </c>
      <c r="DK161" s="114">
        <v>4118.2982692892538</v>
      </c>
      <c r="DL161" s="114">
        <v>8324.9536611950607</v>
      </c>
      <c r="DM161" s="114">
        <v>8346.7915031818138</v>
      </c>
      <c r="DN161" s="114">
        <v>9280.9549014217118</v>
      </c>
      <c r="DO161" s="114">
        <v>5853.9230632849349</v>
      </c>
      <c r="DP161" s="114">
        <v>4417.9266453321552</v>
      </c>
      <c r="DQ161" s="114">
        <v>11455.420665929843</v>
      </c>
      <c r="DR161" s="114">
        <v>4943.6233441676259</v>
      </c>
      <c r="DS161" s="114">
        <v>2932.5446879654878</v>
      </c>
      <c r="DT161" s="114">
        <v>6194.7696535855121</v>
      </c>
      <c r="DU161" s="114">
        <v>11775.023438805041</v>
      </c>
      <c r="DV161" s="114">
        <v>4737.7926229689756</v>
      </c>
      <c r="DW161" s="114">
        <v>10398.195588291001</v>
      </c>
      <c r="DX161" s="114">
        <v>5143.1896133522951</v>
      </c>
      <c r="DY161" s="114">
        <v>16739.021554221861</v>
      </c>
      <c r="DZ161" s="114">
        <v>16282.433370393701</v>
      </c>
      <c r="EA161" s="114">
        <v>7982.0131411370257</v>
      </c>
      <c r="EB161" s="114">
        <v>1752.262480380356</v>
      </c>
      <c r="EC161" s="114">
        <v>2253.5687465651113</v>
      </c>
      <c r="ED161" s="114">
        <v>13225.784397346079</v>
      </c>
      <c r="EE161" s="114">
        <v>5040.1725165507514</v>
      </c>
      <c r="EF161" s="114">
        <v>6034.9821205607941</v>
      </c>
      <c r="EG161" s="114">
        <v>7763.2046822355796</v>
      </c>
      <c r="EH161" s="114">
        <v>8641.6565011264865</v>
      </c>
      <c r="EI161" s="114">
        <v>9156.3495545134047</v>
      </c>
      <c r="EJ161" s="114">
        <v>7254.0885716301846</v>
      </c>
      <c r="EK161" s="114">
        <v>6050.4466609907458</v>
      </c>
      <c r="EL161" s="114">
        <v>7407.536105704904</v>
      </c>
      <c r="EM161" s="114">
        <v>14365.566098166031</v>
      </c>
      <c r="EN161" s="114">
        <v>5775.0474052125373</v>
      </c>
      <c r="EO161" s="114">
        <v>3373.9312114670161</v>
      </c>
      <c r="EP161" s="114">
        <v>7057.4179021389427</v>
      </c>
      <c r="EQ161" s="114">
        <v>5505.2870836770198</v>
      </c>
      <c r="ER161" s="114">
        <v>6880.4636203517503</v>
      </c>
      <c r="ES161" s="114">
        <v>4914.6215694964967</v>
      </c>
      <c r="ET161" s="114">
        <v>5418.3790155796141</v>
      </c>
      <c r="EU161" s="114">
        <v>5202.7384549578965</v>
      </c>
      <c r="EV161" s="114">
        <v>5256.7080048521766</v>
      </c>
      <c r="EW161" s="114">
        <v>4633.9462294761279</v>
      </c>
      <c r="EX161" s="114">
        <v>2351.1871215147994</v>
      </c>
      <c r="EY161" s="114">
        <v>6555.0856415373455</v>
      </c>
      <c r="EZ161" s="114">
        <v>807.86601961636234</v>
      </c>
      <c r="FA161" s="114">
        <v>5160.9518684911482</v>
      </c>
      <c r="FB161" s="114" t="s">
        <v>237</v>
      </c>
      <c r="FC161" s="114">
        <v>12949.576791395835</v>
      </c>
      <c r="FD161" s="114">
        <v>5257.7917287865221</v>
      </c>
      <c r="FE161" s="114">
        <v>4948.761668892309</v>
      </c>
      <c r="FF161" s="114">
        <v>6501.3827093279742</v>
      </c>
      <c r="FG161" s="114">
        <v>5832.5652288193105</v>
      </c>
      <c r="FH161" s="114">
        <v>13435.613953809951</v>
      </c>
      <c r="FI161" s="114">
        <v>4955.774929791095</v>
      </c>
      <c r="FJ161" s="114">
        <v>3681.1382856366527</v>
      </c>
      <c r="FK161" s="114">
        <v>3977.1299521489232</v>
      </c>
      <c r="FL161" s="114">
        <v>10227.600936589139</v>
      </c>
      <c r="FM161" s="114">
        <v>5006.2437527082693</v>
      </c>
      <c r="FN161" s="114">
        <v>4637.0398602342757</v>
      </c>
      <c r="FO161" s="114">
        <v>6240.7467250695909</v>
      </c>
      <c r="FP161" s="114">
        <v>4678.9039244721098</v>
      </c>
      <c r="FQ161" s="114">
        <v>5762.9856243593476</v>
      </c>
      <c r="FR161" s="114">
        <v>13871.251485949399</v>
      </c>
      <c r="FS161" s="114">
        <v>8710.0395887740397</v>
      </c>
      <c r="FT161" s="114">
        <v>6053.2927475969009</v>
      </c>
      <c r="FU161" s="114">
        <v>12283.668311504502</v>
      </c>
      <c r="FV161" s="114">
        <v>15447.667036999408</v>
      </c>
      <c r="FW161" s="114">
        <v>1604.0556599619915</v>
      </c>
      <c r="FX161" s="114">
        <v>5302.3883530878829</v>
      </c>
      <c r="FY161" s="114">
        <v>3920.7149110830283</v>
      </c>
      <c r="FZ161" s="114">
        <v>5709.5866853103444</v>
      </c>
      <c r="GA161" s="114">
        <v>7749.9800332527202</v>
      </c>
      <c r="GB161" s="114">
        <v>5116.9277271624205</v>
      </c>
      <c r="GC161" s="114">
        <v>6143.9618761217571</v>
      </c>
      <c r="GD161" s="114">
        <v>7343.0387292704518</v>
      </c>
      <c r="GE161" s="114">
        <v>4936.711796528165</v>
      </c>
      <c r="GF161" s="114">
        <v>10853.414174601767</v>
      </c>
      <c r="GG161" s="114">
        <v>6964.6305574919852</v>
      </c>
      <c r="GH161" s="114">
        <v>6774.6814024572586</v>
      </c>
      <c r="GI161" s="114">
        <v>7175.4899233609131</v>
      </c>
      <c r="GJ161" s="114">
        <v>6559.0556580910225</v>
      </c>
      <c r="GK161" s="114">
        <v>8755.6965085918582</v>
      </c>
      <c r="GL161" s="114">
        <v>5855.422314953199</v>
      </c>
      <c r="GM161" s="114">
        <v>12568.328884695984</v>
      </c>
      <c r="GN161" s="114">
        <v>6275.3918907079105</v>
      </c>
      <c r="GO161" s="114">
        <v>5254.4634637745003</v>
      </c>
      <c r="GP161" s="114">
        <v>5634.932433749781</v>
      </c>
      <c r="GQ161" s="114">
        <v>13023.464988532267</v>
      </c>
      <c r="GR161" s="114">
        <v>16523.245266041464</v>
      </c>
      <c r="GS161" s="114">
        <v>4805.5420649737762</v>
      </c>
      <c r="GT161" s="115">
        <v>5873.7690083254374</v>
      </c>
    </row>
    <row r="162" spans="2:202" x14ac:dyDescent="0.6">
      <c r="B162" s="106" t="s">
        <v>148</v>
      </c>
      <c r="C162" s="63" t="s">
        <v>148</v>
      </c>
      <c r="D162" s="113">
        <v>5135.342073945325</v>
      </c>
      <c r="E162" s="114">
        <v>10876.060849010757</v>
      </c>
      <c r="F162" s="114">
        <v>10929.000002317682</v>
      </c>
      <c r="G162" s="114">
        <v>10103.405698550092</v>
      </c>
      <c r="H162" s="114">
        <v>17428.480327906185</v>
      </c>
      <c r="I162" s="114">
        <v>15787.078890763871</v>
      </c>
      <c r="J162" s="114">
        <v>7363.4723801269538</v>
      </c>
      <c r="K162" s="114">
        <v>6289.2134990244485</v>
      </c>
      <c r="L162" s="114">
        <v>9717.4469363569351</v>
      </c>
      <c r="M162" s="114">
        <v>6957.3308273263083</v>
      </c>
      <c r="N162" s="114">
        <v>17077.252507192163</v>
      </c>
      <c r="O162" s="114">
        <v>6341.8244080516952</v>
      </c>
      <c r="P162" s="114">
        <v>2857.3004487681164</v>
      </c>
      <c r="Q162" s="114">
        <v>17559.09928828814</v>
      </c>
      <c r="R162" s="114">
        <v>8999.736226278188</v>
      </c>
      <c r="S162" s="114">
        <v>10568.425122682474</v>
      </c>
      <c r="T162" s="114">
        <v>17563.244127675498</v>
      </c>
      <c r="U162" s="114">
        <v>11250.56838129342</v>
      </c>
      <c r="V162" s="114">
        <v>3267.6878688044158</v>
      </c>
      <c r="W162" s="114">
        <v>18141.710056711559</v>
      </c>
      <c r="X162" s="114">
        <v>9546.0587405542756</v>
      </c>
      <c r="Y162" s="114">
        <v>8883.1934908165313</v>
      </c>
      <c r="Z162" s="114">
        <v>15987.20602545098</v>
      </c>
      <c r="AA162" s="114">
        <v>15722.118959863385</v>
      </c>
      <c r="AB162" s="114">
        <v>1290.3951740560078</v>
      </c>
      <c r="AC162" s="114">
        <v>9137.4033687936317</v>
      </c>
      <c r="AD162" s="114">
        <v>11617.09274623328</v>
      </c>
      <c r="AE162" s="114">
        <v>8311.3057072816791</v>
      </c>
      <c r="AF162" s="114">
        <v>13927.012775073197</v>
      </c>
      <c r="AG162" s="114">
        <v>1112.0288680484016</v>
      </c>
      <c r="AH162" s="114">
        <v>10453.257586728629</v>
      </c>
      <c r="AI162" s="114">
        <v>10272.397894877648</v>
      </c>
      <c r="AJ162" s="114">
        <v>14995.268190395636</v>
      </c>
      <c r="AK162" s="114">
        <v>14830.403014498652</v>
      </c>
      <c r="AL162" s="114">
        <v>9494.19942703583</v>
      </c>
      <c r="AM162" s="114">
        <v>9892.3107895281537</v>
      </c>
      <c r="AN162" s="114">
        <v>16418.368224977476</v>
      </c>
      <c r="AO162" s="114">
        <v>3804.1490151550483</v>
      </c>
      <c r="AP162" s="114">
        <v>4428.8324641198806</v>
      </c>
      <c r="AQ162" s="114">
        <v>19337.380147183907</v>
      </c>
      <c r="AR162" s="114">
        <v>6850.2938254500395</v>
      </c>
      <c r="AS162" s="114">
        <v>9853.3077125831551</v>
      </c>
      <c r="AT162" s="114">
        <v>9874.1009548052934</v>
      </c>
      <c r="AU162" s="114">
        <v>18524.012099332373</v>
      </c>
      <c r="AV162" s="114">
        <v>11967.542877370332</v>
      </c>
      <c r="AW162" s="114">
        <v>9763.1326679233607</v>
      </c>
      <c r="AX162" s="114">
        <v>17220.762581639781</v>
      </c>
      <c r="AY162" s="114">
        <v>8161.919272969858</v>
      </c>
      <c r="AZ162" s="114">
        <v>9863.7191288891772</v>
      </c>
      <c r="BA162" s="114">
        <v>9977.1605958355067</v>
      </c>
      <c r="BB162" s="114">
        <v>6884.0267266236551</v>
      </c>
      <c r="BC162" s="114">
        <v>17547.868392463581</v>
      </c>
      <c r="BD162" s="114">
        <v>17714.00677500806</v>
      </c>
      <c r="BE162" s="114">
        <v>9871.0831094698206</v>
      </c>
      <c r="BF162" s="114">
        <v>19739.285388990003</v>
      </c>
      <c r="BG162" s="114">
        <v>8268.86806880109</v>
      </c>
      <c r="BH162" s="114">
        <v>17842.498623796186</v>
      </c>
      <c r="BI162" s="114">
        <v>10588.753152290461</v>
      </c>
      <c r="BJ162" s="114">
        <v>7317.4844765606631</v>
      </c>
      <c r="BK162" s="114">
        <v>9273.8278276254387</v>
      </c>
      <c r="BL162" s="114">
        <v>8361.5743002337549</v>
      </c>
      <c r="BM162" s="114">
        <v>7283.0732478040036</v>
      </c>
      <c r="BN162" s="114">
        <v>9259.1271042744156</v>
      </c>
      <c r="BO162" s="114">
        <v>10746.660934831292</v>
      </c>
      <c r="BP162" s="114">
        <v>10513.765690117096</v>
      </c>
      <c r="BQ162" s="114">
        <v>13228.50415433446</v>
      </c>
      <c r="BR162" s="114">
        <v>7399.1685196818607</v>
      </c>
      <c r="BS162" s="114">
        <v>9927.3287389704674</v>
      </c>
      <c r="BT162" s="114">
        <v>10061.564372630104</v>
      </c>
      <c r="BU162" s="114">
        <v>10258.034847559489</v>
      </c>
      <c r="BV162" s="114">
        <v>11529.182876199626</v>
      </c>
      <c r="BW162" s="114">
        <v>9067.1710406352267</v>
      </c>
      <c r="BX162" s="114">
        <v>17832.51689110032</v>
      </c>
      <c r="BY162" s="114">
        <v>17678.906665910145</v>
      </c>
      <c r="BZ162" s="114">
        <v>12973.093630088593</v>
      </c>
      <c r="CA162" s="114">
        <v>13156.433211597934</v>
      </c>
      <c r="CB162" s="114">
        <v>17828.616163627754</v>
      </c>
      <c r="CC162" s="114">
        <v>17776.020050344727</v>
      </c>
      <c r="CD162" s="114">
        <v>17919.641920758178</v>
      </c>
      <c r="CE162" s="114">
        <v>9502.7356758378628</v>
      </c>
      <c r="CF162" s="114">
        <v>11497.051081285857</v>
      </c>
      <c r="CG162" s="114">
        <v>3903.1573014571213</v>
      </c>
      <c r="CH162" s="114">
        <v>4130.0300980161519</v>
      </c>
      <c r="CI162" s="114">
        <v>875.70161772268852</v>
      </c>
      <c r="CJ162" s="114">
        <v>6603.1163356772131</v>
      </c>
      <c r="CK162" s="114">
        <v>7124.4684884731196</v>
      </c>
      <c r="CL162" s="114">
        <v>11196.766745978361</v>
      </c>
      <c r="CM162" s="114">
        <v>14338.921243045341</v>
      </c>
      <c r="CN162" s="114">
        <v>10035.12400423199</v>
      </c>
      <c r="CO162" s="114">
        <v>10261.0226806991</v>
      </c>
      <c r="CP162" s="114">
        <v>17862.946728568008</v>
      </c>
      <c r="CQ162" s="114">
        <v>5319.4747225754018</v>
      </c>
      <c r="CR162" s="114">
        <v>7883.2113831918632</v>
      </c>
      <c r="CS162" s="114">
        <v>6314.6906414368559</v>
      </c>
      <c r="CT162" s="114">
        <v>7492.4648195901491</v>
      </c>
      <c r="CU162" s="114">
        <v>6661.8509108253829</v>
      </c>
      <c r="CV162" s="114">
        <v>5432.6252359725286</v>
      </c>
      <c r="CW162" s="114">
        <v>1812.0875562637939</v>
      </c>
      <c r="CX162" s="114">
        <v>9254.7238103923937</v>
      </c>
      <c r="CY162" s="114">
        <v>7943.5438340113715</v>
      </c>
      <c r="CZ162" s="114">
        <v>8776.8972361347896</v>
      </c>
      <c r="DA162" s="114">
        <v>12673.229090994271</v>
      </c>
      <c r="DB162" s="114">
        <v>9997.0949305871763</v>
      </c>
      <c r="DC162" s="114">
        <v>10238.544276050288</v>
      </c>
      <c r="DD162" s="114">
        <v>9151.4496827251569</v>
      </c>
      <c r="DE162" s="114">
        <v>10451.650807380563</v>
      </c>
      <c r="DF162" s="114">
        <v>6557.2585456386878</v>
      </c>
      <c r="DG162" s="114">
        <v>7927.9623196700295</v>
      </c>
      <c r="DH162" s="114">
        <v>331.10111906705561</v>
      </c>
      <c r="DI162" s="114">
        <v>3404.5277006609867</v>
      </c>
      <c r="DJ162" s="114">
        <v>12291.244022691217</v>
      </c>
      <c r="DK162" s="114">
        <v>9875.8093340660489</v>
      </c>
      <c r="DL162" s="114">
        <v>5600.2433341564592</v>
      </c>
      <c r="DM162" s="114">
        <v>5583.0140587056676</v>
      </c>
      <c r="DN162" s="114">
        <v>16625.992988760685</v>
      </c>
      <c r="DO162" s="114">
        <v>8762.4079884765379</v>
      </c>
      <c r="DP162" s="114">
        <v>10416.462678753163</v>
      </c>
      <c r="DQ162" s="114">
        <v>5186.8364175259521</v>
      </c>
      <c r="DR162" s="114">
        <v>9459.5028758515637</v>
      </c>
      <c r="DS162" s="114">
        <v>11810.060881144709</v>
      </c>
      <c r="DT162" s="114">
        <v>8226.4282140551859</v>
      </c>
      <c r="DU162" s="114">
        <v>1874.7583456740986</v>
      </c>
      <c r="DV162" s="114">
        <v>9733.7205565808781</v>
      </c>
      <c r="DW162" s="114">
        <v>3515.2085103931722</v>
      </c>
      <c r="DX162" s="114">
        <v>10518.332700312962</v>
      </c>
      <c r="DY162" s="114">
        <v>8417.8534619765724</v>
      </c>
      <c r="DZ162" s="114">
        <v>8498.8641125981212</v>
      </c>
      <c r="EA162" s="114">
        <v>18157.973836159363</v>
      </c>
      <c r="EB162" s="114">
        <v>11244.234149715296</v>
      </c>
      <c r="EC162" s="114">
        <v>10697.262516847</v>
      </c>
      <c r="ED162" s="114">
        <v>4729.1035971084757</v>
      </c>
      <c r="EE162" s="114">
        <v>9292.6126340624724</v>
      </c>
      <c r="EF162" s="114">
        <v>10067.679585235135</v>
      </c>
      <c r="EG162" s="114">
        <v>5473.9235143089209</v>
      </c>
      <c r="EH162" s="114">
        <v>4732.2655920733005</v>
      </c>
      <c r="EI162" s="114">
        <v>4789.4631516058644</v>
      </c>
      <c r="EJ162" s="114">
        <v>18814.790005591451</v>
      </c>
      <c r="EK162" s="114">
        <v>16686.793861762362</v>
      </c>
      <c r="EL162" s="114">
        <v>18827.64797119403</v>
      </c>
      <c r="EM162" s="114">
        <v>2380.9647878213573</v>
      </c>
      <c r="EN162" s="114">
        <v>9399.2475828846545</v>
      </c>
      <c r="EO162" s="114">
        <v>11884.530054809124</v>
      </c>
      <c r="EP162" s="114">
        <v>6210.6867672866483</v>
      </c>
      <c r="EQ162" s="114">
        <v>8927.4022537773544</v>
      </c>
      <c r="ER162" s="114">
        <v>8420.7121521105491</v>
      </c>
      <c r="ES162" s="114">
        <v>8209.5124172043506</v>
      </c>
      <c r="ET162" s="114">
        <v>17462.866068341427</v>
      </c>
      <c r="EU162" s="114">
        <v>17591.169916186485</v>
      </c>
      <c r="EV162" s="114">
        <v>17702.215865047441</v>
      </c>
      <c r="EW162" s="114">
        <v>10026.400025502899</v>
      </c>
      <c r="EX162" s="114">
        <v>10833.20227195388</v>
      </c>
      <c r="EY162" s="114">
        <v>6670.0144689586559</v>
      </c>
      <c r="EZ162" s="114">
        <v>13303.721813907974</v>
      </c>
      <c r="FA162" s="114">
        <v>9382.9537270806795</v>
      </c>
      <c r="FB162" s="114">
        <v>12949.576791395835</v>
      </c>
      <c r="FC162" s="114" t="s">
        <v>237</v>
      </c>
      <c r="FD162" s="114">
        <v>9654.3061406899742</v>
      </c>
      <c r="FE162" s="114">
        <v>9859.9478861100179</v>
      </c>
      <c r="FF162" s="114">
        <v>6509.9569841826533</v>
      </c>
      <c r="FG162" s="114">
        <v>8640.9982217209072</v>
      </c>
      <c r="FH162" s="114">
        <v>4624.1443092706768</v>
      </c>
      <c r="FI162" s="114">
        <v>8027.003745631273</v>
      </c>
      <c r="FJ162" s="114">
        <v>11363.782212556031</v>
      </c>
      <c r="FK162" s="114">
        <v>10875.524691900751</v>
      </c>
      <c r="FL162" s="114">
        <v>2727.3393359753841</v>
      </c>
      <c r="FM162" s="114">
        <v>7981.541044171644</v>
      </c>
      <c r="FN162" s="114">
        <v>17553.167029427899</v>
      </c>
      <c r="FO162" s="114">
        <v>9638.7757604240705</v>
      </c>
      <c r="FP162" s="114">
        <v>10397.310473504143</v>
      </c>
      <c r="FQ162" s="114">
        <v>7859.3439476216818</v>
      </c>
      <c r="FR162" s="114">
        <v>3249.8262203247541</v>
      </c>
      <c r="FS162" s="114">
        <v>5462.8665267035403</v>
      </c>
      <c r="FT162" s="114">
        <v>7217.4257416664968</v>
      </c>
      <c r="FU162" s="114">
        <v>1399.8860137400914</v>
      </c>
      <c r="FV162" s="114">
        <v>2611.4472904679201</v>
      </c>
      <c r="FW162" s="114">
        <v>11386.023305384742</v>
      </c>
      <c r="FX162" s="114">
        <v>17912.956892683604</v>
      </c>
      <c r="FY162" s="114">
        <v>10249.456042425334</v>
      </c>
      <c r="FZ162" s="114">
        <v>8316.2300090618264</v>
      </c>
      <c r="GA162" s="114">
        <v>6231.4578728190127</v>
      </c>
      <c r="GB162" s="114">
        <v>7952.6914506604735</v>
      </c>
      <c r="GC162" s="114">
        <v>8730.5498775370725</v>
      </c>
      <c r="GD162" s="114">
        <v>5905.1507197913443</v>
      </c>
      <c r="GE162" s="114">
        <v>10845.915272002318</v>
      </c>
      <c r="GF162" s="114">
        <v>14120.976115578687</v>
      </c>
      <c r="GG162" s="114">
        <v>15332.498089280069</v>
      </c>
      <c r="GH162" s="114">
        <v>15127.383957578946</v>
      </c>
      <c r="GI162" s="114">
        <v>15537.633137769508</v>
      </c>
      <c r="GJ162" s="114">
        <v>15781.596266788998</v>
      </c>
      <c r="GK162" s="114">
        <v>5634.0005295862375</v>
      </c>
      <c r="GL162" s="114">
        <v>18337.470314232367</v>
      </c>
      <c r="GM162" s="114">
        <v>2197.8762716003675</v>
      </c>
      <c r="GN162" s="114">
        <v>6718.40937687515</v>
      </c>
      <c r="GO162" s="114">
        <v>8511.6997848299543</v>
      </c>
      <c r="GP162" s="114">
        <v>8232.7361648901897</v>
      </c>
      <c r="GQ162" s="114">
        <v>1097.8628246738647</v>
      </c>
      <c r="GR162" s="114">
        <v>6213.7872146752425</v>
      </c>
      <c r="GS162" s="114">
        <v>10293.779205023246</v>
      </c>
      <c r="GT162" s="115">
        <v>8660.6394350065111</v>
      </c>
    </row>
    <row r="163" spans="2:202" x14ac:dyDescent="0.6">
      <c r="B163" s="106" t="s">
        <v>149</v>
      </c>
      <c r="C163" s="63" t="s">
        <v>507</v>
      </c>
      <c r="D163" s="113">
        <v>4520.5046920629557</v>
      </c>
      <c r="E163" s="114">
        <v>1730.1172694867064</v>
      </c>
      <c r="F163" s="114">
        <v>1388.1680498151509</v>
      </c>
      <c r="G163" s="114">
        <v>6305.4179688743525</v>
      </c>
      <c r="H163" s="114">
        <v>7784.6489256213836</v>
      </c>
      <c r="I163" s="114">
        <v>12084.169663641012</v>
      </c>
      <c r="J163" s="114">
        <v>2334.4882243886937</v>
      </c>
      <c r="K163" s="114">
        <v>15910.071048589609</v>
      </c>
      <c r="L163" s="114">
        <v>63.147224206368264</v>
      </c>
      <c r="M163" s="114">
        <v>2708.3673443822827</v>
      </c>
      <c r="N163" s="114">
        <v>8265.0892068854955</v>
      </c>
      <c r="O163" s="114">
        <v>3779.7547553775721</v>
      </c>
      <c r="P163" s="114">
        <v>6867.3615474981025</v>
      </c>
      <c r="Q163" s="114">
        <v>7923.0559308731345</v>
      </c>
      <c r="R163" s="114">
        <v>936.44843122186899</v>
      </c>
      <c r="S163" s="114">
        <v>968.71350287706707</v>
      </c>
      <c r="T163" s="114">
        <v>9684.1480009240986</v>
      </c>
      <c r="U163" s="114">
        <v>4858.2021621059466</v>
      </c>
      <c r="V163" s="114">
        <v>6515.2323706552024</v>
      </c>
      <c r="W163" s="114">
        <v>10990.391097243266</v>
      </c>
      <c r="X163" s="114">
        <v>517.53910728584003</v>
      </c>
      <c r="Y163" s="114">
        <v>8111.7395218311412</v>
      </c>
      <c r="Z163" s="114">
        <v>10175.19830754726</v>
      </c>
      <c r="AA163" s="114">
        <v>9908.0800401993129</v>
      </c>
      <c r="AB163" s="114">
        <v>10219.053023325712</v>
      </c>
      <c r="AC163" s="114">
        <v>789.87859687879688</v>
      </c>
      <c r="AD163" s="114">
        <v>4345.5638153879991</v>
      </c>
      <c r="AE163" s="114">
        <v>5820.1524185515764</v>
      </c>
      <c r="AF163" s="114">
        <v>5208.4873137429186</v>
      </c>
      <c r="AG163" s="114">
        <v>8883.035552929261</v>
      </c>
      <c r="AH163" s="114">
        <v>4948.4950514193306</v>
      </c>
      <c r="AI163" s="114">
        <v>4989.3374073125833</v>
      </c>
      <c r="AJ163" s="114">
        <v>6963.4023230401708</v>
      </c>
      <c r="AK163" s="114">
        <v>6609.9991825988718</v>
      </c>
      <c r="AL163" s="114">
        <v>4879.649048811214</v>
      </c>
      <c r="AM163" s="114">
        <v>4009.6417937183301</v>
      </c>
      <c r="AN163" s="114">
        <v>12513.929809024627</v>
      </c>
      <c r="AO163" s="114">
        <v>8437.7887569853119</v>
      </c>
      <c r="AP163" s="114">
        <v>7439.6656331622617</v>
      </c>
      <c r="AQ163" s="114">
        <v>9727.8279318838013</v>
      </c>
      <c r="AR163" s="114">
        <v>7099.0225586229844</v>
      </c>
      <c r="AS163" s="114">
        <v>5832.1954721900747</v>
      </c>
      <c r="AT163" s="114">
        <v>5806.3733910646779</v>
      </c>
      <c r="AU163" s="114">
        <v>10027.869236669156</v>
      </c>
      <c r="AV163" s="114">
        <v>5158.6564956759721</v>
      </c>
      <c r="AW163" s="114">
        <v>310.54121795264416</v>
      </c>
      <c r="AX163" s="114">
        <v>8772.7600412320626</v>
      </c>
      <c r="AY163" s="114">
        <v>1966.7510283751906</v>
      </c>
      <c r="AZ163" s="114">
        <v>300.14220966355043</v>
      </c>
      <c r="BA163" s="114">
        <v>875.11445017362405</v>
      </c>
      <c r="BB163" s="114">
        <v>4734.1364444854926</v>
      </c>
      <c r="BC163" s="114">
        <v>7893.7458597407831</v>
      </c>
      <c r="BD163" s="114">
        <v>8261.4616477582404</v>
      </c>
      <c r="BE163" s="114">
        <v>5818.5050024560978</v>
      </c>
      <c r="BF163" s="114">
        <v>10422.136088278561</v>
      </c>
      <c r="BG163" s="114">
        <v>2341.4826525276558</v>
      </c>
      <c r="BH163" s="114">
        <v>10061.236574441493</v>
      </c>
      <c r="BI163" s="114">
        <v>5031.9726391908916</v>
      </c>
      <c r="BJ163" s="114">
        <v>4155.0493982858679</v>
      </c>
      <c r="BK163" s="114">
        <v>1327.4680876823163</v>
      </c>
      <c r="BL163" s="114">
        <v>8376.9202459060634</v>
      </c>
      <c r="BM163" s="114">
        <v>4784.66169465247</v>
      </c>
      <c r="BN163" s="114">
        <v>1434.3600582103093</v>
      </c>
      <c r="BO163" s="114">
        <v>1099.1019038452164</v>
      </c>
      <c r="BP163" s="114">
        <v>5373.7107331645057</v>
      </c>
      <c r="BQ163" s="114">
        <v>4948.9255359854351</v>
      </c>
      <c r="BR163" s="114">
        <v>2274.6533642110589</v>
      </c>
      <c r="BS163" s="114">
        <v>540.22354866133674</v>
      </c>
      <c r="BT163" s="114">
        <v>407.32980956727641</v>
      </c>
      <c r="BU163" s="114">
        <v>649.81810466020841</v>
      </c>
      <c r="BV163" s="114">
        <v>5024.2902523944967</v>
      </c>
      <c r="BW163" s="114">
        <v>1279.4306181868099</v>
      </c>
      <c r="BX163" s="114">
        <v>8185.4465059395479</v>
      </c>
      <c r="BY163" s="114">
        <v>10053.076030186072</v>
      </c>
      <c r="BZ163" s="114">
        <v>5176.4733771742176</v>
      </c>
      <c r="CA163" s="114">
        <v>5070.4536788854302</v>
      </c>
      <c r="CB163" s="114">
        <v>8372.2477536394017</v>
      </c>
      <c r="CC163" s="114">
        <v>8443.6374199462534</v>
      </c>
      <c r="CD163" s="114">
        <v>9869.520902203245</v>
      </c>
      <c r="CE163" s="114">
        <v>173.40477454661149</v>
      </c>
      <c r="CF163" s="114">
        <v>2911.2363315875064</v>
      </c>
      <c r="CG163" s="114">
        <v>5924.7100775202534</v>
      </c>
      <c r="CH163" s="114">
        <v>5525.0598353330397</v>
      </c>
      <c r="CI163" s="114">
        <v>10461.537722774738</v>
      </c>
      <c r="CJ163" s="114">
        <v>3133.8235614050623</v>
      </c>
      <c r="CK163" s="114">
        <v>2807.8070670851225</v>
      </c>
      <c r="CL163" s="114">
        <v>1723.571262340583</v>
      </c>
      <c r="CM163" s="114">
        <v>4703.1203752209685</v>
      </c>
      <c r="CN163" s="114">
        <v>820.70943268022404</v>
      </c>
      <c r="CO163" s="114">
        <v>667.33229652251191</v>
      </c>
      <c r="CP163" s="114">
        <v>8786.6924283171375</v>
      </c>
      <c r="CQ163" s="114">
        <v>9105.0461722619875</v>
      </c>
      <c r="CR163" s="114">
        <v>2407.8912123237778</v>
      </c>
      <c r="CS163" s="114">
        <v>3833.218621855608</v>
      </c>
      <c r="CT163" s="114">
        <v>5791.144054512346</v>
      </c>
      <c r="CU163" s="114">
        <v>3363.714576613927</v>
      </c>
      <c r="CV163" s="114">
        <v>4424.2599378882005</v>
      </c>
      <c r="CW163" s="114">
        <v>8214.4154275879137</v>
      </c>
      <c r="CX163" s="114">
        <v>1050.2763922292081</v>
      </c>
      <c r="CY163" s="114">
        <v>2220.6145610281965</v>
      </c>
      <c r="CZ163" s="114">
        <v>8653.6209447533274</v>
      </c>
      <c r="DA163" s="114">
        <v>5339.8056026623226</v>
      </c>
      <c r="DB163" s="114">
        <v>1767.9500326827915</v>
      </c>
      <c r="DC163" s="114">
        <v>592.62482296734186</v>
      </c>
      <c r="DD163" s="114">
        <v>897.23195826832421</v>
      </c>
      <c r="DE163" s="114">
        <v>816.77178900357876</v>
      </c>
      <c r="DF163" s="114">
        <v>7998.1630651431806</v>
      </c>
      <c r="DG163" s="114">
        <v>7094.0398038983967</v>
      </c>
      <c r="DH163" s="114">
        <v>9330.9024552066585</v>
      </c>
      <c r="DI163" s="114">
        <v>7228.9847357653334</v>
      </c>
      <c r="DJ163" s="114">
        <v>4583.6718529009568</v>
      </c>
      <c r="DK163" s="114">
        <v>1414.9577296253683</v>
      </c>
      <c r="DL163" s="114">
        <v>8574.6415095064804</v>
      </c>
      <c r="DM163" s="114">
        <v>8590.015767898758</v>
      </c>
      <c r="DN163" s="114">
        <v>10220.219262275823</v>
      </c>
      <c r="DO163" s="114">
        <v>892.39147212073033</v>
      </c>
      <c r="DP163" s="114">
        <v>888.87746563971996</v>
      </c>
      <c r="DQ163" s="114">
        <v>6269.5820194335256</v>
      </c>
      <c r="DR163" s="114">
        <v>652.17025551924996</v>
      </c>
      <c r="DS163" s="114">
        <v>2525.5279261776723</v>
      </c>
      <c r="DT163" s="114">
        <v>8333.2109467463288</v>
      </c>
      <c r="DU163" s="114">
        <v>7854.4309088751916</v>
      </c>
      <c r="DV163" s="114">
        <v>7833.6831545291934</v>
      </c>
      <c r="DW163" s="114">
        <v>6190.9088820147244</v>
      </c>
      <c r="DX163" s="114">
        <v>1001.8733513134426</v>
      </c>
      <c r="DY163" s="114">
        <v>17813.22654567139</v>
      </c>
      <c r="DZ163" s="114">
        <v>18073.233347806337</v>
      </c>
      <c r="EA163" s="114">
        <v>9971.8508388690516</v>
      </c>
      <c r="EB163" s="114">
        <v>4113.8190225175613</v>
      </c>
      <c r="EC163" s="114">
        <v>4437.6183213138775</v>
      </c>
      <c r="ED163" s="114">
        <v>8018.4425534487318</v>
      </c>
      <c r="EE163" s="114">
        <v>752.63630237657947</v>
      </c>
      <c r="EF163" s="114">
        <v>1343.6794396431587</v>
      </c>
      <c r="EG163" s="114">
        <v>4547.6772087462095</v>
      </c>
      <c r="EH163" s="114">
        <v>5043.3198530847703</v>
      </c>
      <c r="EI163" s="114">
        <v>4874.9522198835684</v>
      </c>
      <c r="EJ163" s="114">
        <v>9728.2434026155006</v>
      </c>
      <c r="EK163" s="114">
        <v>10984.843748128704</v>
      </c>
      <c r="EL163" s="114">
        <v>11297.644477402911</v>
      </c>
      <c r="EM163" s="114">
        <v>9820.322677355136</v>
      </c>
      <c r="EN163" s="114">
        <v>528.33982327530452</v>
      </c>
      <c r="EO163" s="114">
        <v>2360.8237475415526</v>
      </c>
      <c r="EP163" s="114">
        <v>3928.492080906522</v>
      </c>
      <c r="EQ163" s="114">
        <v>814.45445595769149</v>
      </c>
      <c r="ER163" s="114">
        <v>1636.8002305679147</v>
      </c>
      <c r="ES163" s="114">
        <v>5666.2578939815621</v>
      </c>
      <c r="ET163" s="114">
        <v>7824.3763656895189</v>
      </c>
      <c r="EU163" s="114">
        <v>7939.7139869736438</v>
      </c>
      <c r="EV163" s="114">
        <v>8052.6668056756762</v>
      </c>
      <c r="EW163" s="114">
        <v>626.2932823115973</v>
      </c>
      <c r="EX163" s="114">
        <v>5435.8517668411132</v>
      </c>
      <c r="EY163" s="114">
        <v>3681.0791959152793</v>
      </c>
      <c r="EZ163" s="114">
        <v>4900.5326297815882</v>
      </c>
      <c r="FA163" s="114">
        <v>473.72063694996507</v>
      </c>
      <c r="FB163" s="114">
        <v>5257.7917287865221</v>
      </c>
      <c r="FC163" s="114">
        <v>9654.3061406899742</v>
      </c>
      <c r="FD163" s="114" t="s">
        <v>237</v>
      </c>
      <c r="FE163" s="114">
        <v>309.04123318306</v>
      </c>
      <c r="FF163" s="114">
        <v>5791.1723288501607</v>
      </c>
      <c r="FG163" s="114">
        <v>8251.4263976142356</v>
      </c>
      <c r="FH163" s="114">
        <v>8236.2903776886669</v>
      </c>
      <c r="FI163" s="114">
        <v>5003.28708158873</v>
      </c>
      <c r="FJ163" s="114">
        <v>1846.6116200044439</v>
      </c>
      <c r="FK163" s="114">
        <v>1389.8130705886144</v>
      </c>
      <c r="FL163" s="114">
        <v>7435.0701023910451</v>
      </c>
      <c r="FM163" s="114">
        <v>3905.8106115096607</v>
      </c>
      <c r="FN163" s="114">
        <v>8233.4179102761536</v>
      </c>
      <c r="FO163" s="114">
        <v>1235.8510719091691</v>
      </c>
      <c r="FP163" s="114">
        <v>756.54636325114495</v>
      </c>
      <c r="FQ163" s="114">
        <v>2290.5505590795569</v>
      </c>
      <c r="FR163" s="114">
        <v>8961.2490278930909</v>
      </c>
      <c r="FS163" s="114">
        <v>4221.5582257978376</v>
      </c>
      <c r="FT163" s="114">
        <v>6481.5340924215889</v>
      </c>
      <c r="FU163" s="114">
        <v>8399.7439998683749</v>
      </c>
      <c r="FV163" s="114">
        <v>12042.823631065812</v>
      </c>
      <c r="FW163" s="114">
        <v>4907.442265975079</v>
      </c>
      <c r="FX163" s="114">
        <v>8281.2363072863318</v>
      </c>
      <c r="FY163" s="114">
        <v>1409.7185231053913</v>
      </c>
      <c r="FZ163" s="114">
        <v>1556.9487721770038</v>
      </c>
      <c r="GA163" s="114">
        <v>3426.3963768057952</v>
      </c>
      <c r="GB163" s="114">
        <v>5524.8666097317946</v>
      </c>
      <c r="GC163" s="114">
        <v>989.01413723049473</v>
      </c>
      <c r="GD163" s="114">
        <v>4191.5107513073108</v>
      </c>
      <c r="GE163" s="114">
        <v>1279.399330909418</v>
      </c>
      <c r="GF163" s="114">
        <v>9858.5460225668648</v>
      </c>
      <c r="GG163" s="114">
        <v>6846.9977465212805</v>
      </c>
      <c r="GH163" s="114">
        <v>6541.2872332909246</v>
      </c>
      <c r="GI163" s="114">
        <v>7172.8048666012946</v>
      </c>
      <c r="GJ163" s="114">
        <v>11698.582946247252</v>
      </c>
      <c r="GK163" s="114">
        <v>4105.8493905168862</v>
      </c>
      <c r="GL163" s="114">
        <v>8685.0049731511062</v>
      </c>
      <c r="GM163" s="114">
        <v>8170.1375338895778</v>
      </c>
      <c r="GN163" s="114">
        <v>4404.2786146520166</v>
      </c>
      <c r="GO163" s="114">
        <v>7132.9811991796623</v>
      </c>
      <c r="GP163" s="114">
        <v>7417.5416587392101</v>
      </c>
      <c r="GQ163" s="114">
        <v>9081.6887449008445</v>
      </c>
      <c r="GR163" s="114">
        <v>15858.677685157991</v>
      </c>
      <c r="GS163" s="114">
        <v>642.45636355395413</v>
      </c>
      <c r="GT163" s="115">
        <v>8334.0533863756064</v>
      </c>
    </row>
    <row r="164" spans="2:202" x14ac:dyDescent="0.6">
      <c r="B164" s="106" t="s">
        <v>150</v>
      </c>
      <c r="C164" s="63" t="s">
        <v>508</v>
      </c>
      <c r="D164" s="113">
        <v>4735.7038984746086</v>
      </c>
      <c r="E164" s="114">
        <v>1421.698501508916</v>
      </c>
      <c r="F164" s="114">
        <v>1115.7232890322416</v>
      </c>
      <c r="G164" s="114">
        <v>6065.7100050988111</v>
      </c>
      <c r="H164" s="114">
        <v>7589.6015841792687</v>
      </c>
      <c r="I164" s="114">
        <v>11782.723032337422</v>
      </c>
      <c r="J164" s="114">
        <v>2506.7627439634707</v>
      </c>
      <c r="K164" s="114">
        <v>16137.22868864474</v>
      </c>
      <c r="L164" s="114">
        <v>271.96180583255307</v>
      </c>
      <c r="M164" s="114">
        <v>2902.748262440959</v>
      </c>
      <c r="N164" s="114">
        <v>8146.4050370449168</v>
      </c>
      <c r="O164" s="114">
        <v>3869.142159917822</v>
      </c>
      <c r="P164" s="114">
        <v>7097.3832803585656</v>
      </c>
      <c r="Q164" s="114">
        <v>7708.1916194498017</v>
      </c>
      <c r="R164" s="114">
        <v>1245.1811024303483</v>
      </c>
      <c r="S164" s="114">
        <v>897.66283603109321</v>
      </c>
      <c r="T164" s="114">
        <v>9576.4715406402356</v>
      </c>
      <c r="U164" s="114">
        <v>4572.4995620247</v>
      </c>
      <c r="V164" s="114">
        <v>6754.9107504825124</v>
      </c>
      <c r="W164" s="114">
        <v>10729.0674296082</v>
      </c>
      <c r="X164" s="114">
        <v>417.91661187697133</v>
      </c>
      <c r="Y164" s="114">
        <v>7919.8695887207195</v>
      </c>
      <c r="Z164" s="114">
        <v>9873.0355978093394</v>
      </c>
      <c r="AA164" s="114">
        <v>9603.6695516998989</v>
      </c>
      <c r="AB164" s="114">
        <v>10462.803830470515</v>
      </c>
      <c r="AC164" s="114">
        <v>810.83198909424414</v>
      </c>
      <c r="AD164" s="114">
        <v>4046.1848801352066</v>
      </c>
      <c r="AE164" s="114">
        <v>5663.1433953091318</v>
      </c>
      <c r="AF164" s="114">
        <v>4911.8974710514431</v>
      </c>
      <c r="AG164" s="114">
        <v>9116.5437111478604</v>
      </c>
      <c r="AH164" s="114">
        <v>4690.7049209655288</v>
      </c>
      <c r="AI164" s="114">
        <v>4739.0542765999171</v>
      </c>
      <c r="AJ164" s="114">
        <v>6928.6232133536114</v>
      </c>
      <c r="AK164" s="114">
        <v>6571.7977035104914</v>
      </c>
      <c r="AL164" s="114">
        <v>4665.3136559792247</v>
      </c>
      <c r="AM164" s="114">
        <v>3774.0355523483986</v>
      </c>
      <c r="AN164" s="114">
        <v>12226.181295912595</v>
      </c>
      <c r="AO164" s="114">
        <v>8735.7438426231274</v>
      </c>
      <c r="AP164" s="114">
        <v>7741.3264926451939</v>
      </c>
      <c r="AQ164" s="114">
        <v>9531.5416585876555</v>
      </c>
      <c r="AR164" s="114">
        <v>7006.340081315956</v>
      </c>
      <c r="AS164" s="114">
        <v>5601.4630386357621</v>
      </c>
      <c r="AT164" s="114">
        <v>5574.7479772591969</v>
      </c>
      <c r="AU164" s="114">
        <v>9880.0080891452399</v>
      </c>
      <c r="AV164" s="114">
        <v>4858.59833821759</v>
      </c>
      <c r="AW164" s="114">
        <v>114.03933481857091</v>
      </c>
      <c r="AX164" s="114">
        <v>8663.9119567494636</v>
      </c>
      <c r="AY164" s="114">
        <v>1999.7286133973394</v>
      </c>
      <c r="AZ164" s="114">
        <v>445.96648771202206</v>
      </c>
      <c r="BA164" s="114">
        <v>1051.1558714257792</v>
      </c>
      <c r="BB164" s="114">
        <v>4694.9511506698918</v>
      </c>
      <c r="BC164" s="114">
        <v>7690.9173335342603</v>
      </c>
      <c r="BD164" s="114">
        <v>8094.2172830535301</v>
      </c>
      <c r="BE164" s="114">
        <v>5587.0206732845772</v>
      </c>
      <c r="BF164" s="114">
        <v>10226.376565373768</v>
      </c>
      <c r="BG164" s="114">
        <v>2301.9549926846007</v>
      </c>
      <c r="BH164" s="114">
        <v>9943.9327161394503</v>
      </c>
      <c r="BI164" s="114">
        <v>4769.4348490675129</v>
      </c>
      <c r="BJ164" s="114">
        <v>4104.5662928481788</v>
      </c>
      <c r="BK164" s="114">
        <v>1613.5603470445631</v>
      </c>
      <c r="BL164" s="114">
        <v>8206.1605079667079</v>
      </c>
      <c r="BM164" s="114">
        <v>4712.2034437556631</v>
      </c>
      <c r="BN164" s="114">
        <v>1718.9453379567497</v>
      </c>
      <c r="BO164" s="114">
        <v>954.03083694241809</v>
      </c>
      <c r="BP164" s="114">
        <v>5115.7108274391021</v>
      </c>
      <c r="BQ164" s="114">
        <v>4642.1622774463403</v>
      </c>
      <c r="BR164" s="114">
        <v>2461.898737725</v>
      </c>
      <c r="BS164" s="114">
        <v>700.47251924436159</v>
      </c>
      <c r="BT164" s="114">
        <v>312.30137957512733</v>
      </c>
      <c r="BU164" s="114">
        <v>616.88648534482149</v>
      </c>
      <c r="BV164" s="114">
        <v>4732.4986120041194</v>
      </c>
      <c r="BW164" s="114">
        <v>1205.5878935844125</v>
      </c>
      <c r="BX164" s="114">
        <v>7974.7879716045409</v>
      </c>
      <c r="BY164" s="114">
        <v>9943.1782269651212</v>
      </c>
      <c r="BZ164" s="114">
        <v>4867.4462801822356</v>
      </c>
      <c r="CA164" s="114">
        <v>4762.3396298179096</v>
      </c>
      <c r="CB164" s="114">
        <v>8136.6497461418894</v>
      </c>
      <c r="CC164" s="114">
        <v>8285.0795767095424</v>
      </c>
      <c r="CD164" s="114">
        <v>9747.2541189026961</v>
      </c>
      <c r="CE164" s="114">
        <v>385.98739438540025</v>
      </c>
      <c r="CF164" s="114">
        <v>2972.2491066530461</v>
      </c>
      <c r="CG164" s="114">
        <v>6085.2480727683696</v>
      </c>
      <c r="CH164" s="114">
        <v>5737.0427347813547</v>
      </c>
      <c r="CI164" s="114">
        <v>10654.023718696906</v>
      </c>
      <c r="CJ164" s="114">
        <v>3294.74904971551</v>
      </c>
      <c r="CK164" s="114">
        <v>2912.3025505878741</v>
      </c>
      <c r="CL164" s="114">
        <v>1668.4506646859099</v>
      </c>
      <c r="CM164" s="114">
        <v>4483.5768675927966</v>
      </c>
      <c r="CN164" s="114">
        <v>526.43911949388053</v>
      </c>
      <c r="CO164" s="114">
        <v>403.83369242678884</v>
      </c>
      <c r="CP164" s="114">
        <v>8640.8601744845291</v>
      </c>
      <c r="CQ164" s="114">
        <v>9414.0763301127899</v>
      </c>
      <c r="CR164" s="114">
        <v>2427.3938321439891</v>
      </c>
      <c r="CS164" s="114">
        <v>4123.0443522660571</v>
      </c>
      <c r="CT164" s="114">
        <v>5680.9791240130553</v>
      </c>
      <c r="CU164" s="114">
        <v>3460.5860084072333</v>
      </c>
      <c r="CV164" s="114">
        <v>4686.7743819638799</v>
      </c>
      <c r="CW164" s="114">
        <v>8457.8233631918065</v>
      </c>
      <c r="CX164" s="114">
        <v>1346.2507994690925</v>
      </c>
      <c r="CY164" s="114">
        <v>2257.1063793400976</v>
      </c>
      <c r="CZ164" s="114">
        <v>8465.7522221114032</v>
      </c>
      <c r="DA164" s="114">
        <v>5031.9896575879366</v>
      </c>
      <c r="DB164" s="114">
        <v>1510.5361666029826</v>
      </c>
      <c r="DC164" s="114">
        <v>400.7734765569395</v>
      </c>
      <c r="DD164" s="114">
        <v>1204.4008742357516</v>
      </c>
      <c r="DE164" s="114">
        <v>718.63157125222676</v>
      </c>
      <c r="DF164" s="114">
        <v>7911.8114438084467</v>
      </c>
      <c r="DG164" s="114">
        <v>6946.9879371132693</v>
      </c>
      <c r="DH164" s="114">
        <v>9534.1720492481545</v>
      </c>
      <c r="DI164" s="114">
        <v>7334.4046064276145</v>
      </c>
      <c r="DJ164" s="114">
        <v>4275.8989356007069</v>
      </c>
      <c r="DK164" s="114">
        <v>1167.5479328236343</v>
      </c>
      <c r="DL164" s="114">
        <v>8531.5206923342466</v>
      </c>
      <c r="DM164" s="114">
        <v>8547.6433337630388</v>
      </c>
      <c r="DN164" s="114">
        <v>10160.059352988048</v>
      </c>
      <c r="DO164" s="114">
        <v>1115.5230309786475</v>
      </c>
      <c r="DP164" s="114">
        <v>600.91176624642367</v>
      </c>
      <c r="DQ164" s="114">
        <v>6573.7005521764549</v>
      </c>
      <c r="DR164" s="114">
        <v>560.69222140832017</v>
      </c>
      <c r="DS164" s="114">
        <v>2232.2311364230272</v>
      </c>
      <c r="DT164" s="114">
        <v>8168.2294697292245</v>
      </c>
      <c r="DU164" s="114">
        <v>8079.7804391804639</v>
      </c>
      <c r="DV164" s="114">
        <v>7609.5404848014205</v>
      </c>
      <c r="DW164" s="114">
        <v>6420.91746372746</v>
      </c>
      <c r="DX164" s="114">
        <v>988.87300643790581</v>
      </c>
      <c r="DY164" s="114">
        <v>18099.791040607433</v>
      </c>
      <c r="DZ164" s="114">
        <v>18327.791634368517</v>
      </c>
      <c r="EA164" s="114">
        <v>9839.7132890500834</v>
      </c>
      <c r="EB164" s="114">
        <v>3821.6828229593793</v>
      </c>
      <c r="EC164" s="114">
        <v>4167.0578052729807</v>
      </c>
      <c r="ED164" s="114">
        <v>8324.8168136508066</v>
      </c>
      <c r="EE164" s="114">
        <v>712.14138248781626</v>
      </c>
      <c r="EF164" s="114">
        <v>1524.0770620940884</v>
      </c>
      <c r="EG164" s="114">
        <v>4665.1944254665013</v>
      </c>
      <c r="EH164" s="114">
        <v>5206.8485577622996</v>
      </c>
      <c r="EI164" s="114">
        <v>5096.7412659355514</v>
      </c>
      <c r="EJ164" s="114">
        <v>9562.5212655554824</v>
      </c>
      <c r="EK164" s="114">
        <v>10692.102659944867</v>
      </c>
      <c r="EL164" s="114">
        <v>11066.299341086722</v>
      </c>
      <c r="EM164" s="114">
        <v>10095.822191635774</v>
      </c>
      <c r="EN164" s="114">
        <v>832.62129387478046</v>
      </c>
      <c r="EO164" s="114">
        <v>2096.8341397670356</v>
      </c>
      <c r="EP164" s="114">
        <v>4018.2691626379656</v>
      </c>
      <c r="EQ164" s="114">
        <v>942.73717919128603</v>
      </c>
      <c r="ER164" s="114">
        <v>1943.4078997584656</v>
      </c>
      <c r="ES164" s="114">
        <v>5516.3125183645825</v>
      </c>
      <c r="ET164" s="114">
        <v>7631.2658439991374</v>
      </c>
      <c r="EU164" s="114">
        <v>7731.3915374066664</v>
      </c>
      <c r="EV164" s="114">
        <v>7843.1509546807465</v>
      </c>
      <c r="EW164" s="114">
        <v>319.8452764142238</v>
      </c>
      <c r="EX164" s="114">
        <v>5167.0321381134518</v>
      </c>
      <c r="EY164" s="114">
        <v>3735.1620695996708</v>
      </c>
      <c r="EZ164" s="114">
        <v>4595.1866781810068</v>
      </c>
      <c r="FA164" s="114">
        <v>502.56693995185725</v>
      </c>
      <c r="FB164" s="114">
        <v>4948.761668892309</v>
      </c>
      <c r="FC164" s="114">
        <v>9859.9478861100179</v>
      </c>
      <c r="FD164" s="114">
        <v>309.04123318306</v>
      </c>
      <c r="FE164" s="114" t="s">
        <v>237</v>
      </c>
      <c r="FF164" s="114">
        <v>5742.8494041878212</v>
      </c>
      <c r="FG164" s="114">
        <v>8069.2358347237168</v>
      </c>
      <c r="FH164" s="114">
        <v>8542.304742069764</v>
      </c>
      <c r="FI164" s="114">
        <v>4873.3680629737701</v>
      </c>
      <c r="FJ164" s="114">
        <v>1575.1320287440956</v>
      </c>
      <c r="FK164" s="114">
        <v>1104.0355001943506</v>
      </c>
      <c r="FL164" s="114">
        <v>7577.5462388299829</v>
      </c>
      <c r="FM164" s="114">
        <v>3806.6812396701316</v>
      </c>
      <c r="FN164" s="114">
        <v>7987.6373936552072</v>
      </c>
      <c r="FO164" s="114">
        <v>1483.914930779715</v>
      </c>
      <c r="FP164" s="114">
        <v>544.56134116452654</v>
      </c>
      <c r="FQ164" s="114">
        <v>2332.9409476483825</v>
      </c>
      <c r="FR164" s="114">
        <v>9252.5342521418661</v>
      </c>
      <c r="FS164" s="114">
        <v>4454.7616673714256</v>
      </c>
      <c r="FT164" s="114">
        <v>6376.8160912371804</v>
      </c>
      <c r="FU164" s="114">
        <v>8627.8133275009222</v>
      </c>
      <c r="FV164" s="114">
        <v>12283.010290004437</v>
      </c>
      <c r="FW164" s="114">
        <v>4618.3901507197734</v>
      </c>
      <c r="FX164" s="114">
        <v>8065.8918583708219</v>
      </c>
      <c r="FY164" s="114">
        <v>1117.4554046376793</v>
      </c>
      <c r="FZ164" s="114">
        <v>1645.458632697507</v>
      </c>
      <c r="GA164" s="114">
        <v>3628.9794728235302</v>
      </c>
      <c r="GB164" s="114">
        <v>5391.4021499426926</v>
      </c>
      <c r="GC164" s="114">
        <v>1270.97591357993</v>
      </c>
      <c r="GD164" s="114">
        <v>4292.4546264020273</v>
      </c>
      <c r="GE164" s="114">
        <v>1206.8351111159377</v>
      </c>
      <c r="GF164" s="114">
        <v>9918.5460094930513</v>
      </c>
      <c r="GG164" s="114">
        <v>6782.9811793134322</v>
      </c>
      <c r="GH164" s="114">
        <v>6476.8749557484562</v>
      </c>
      <c r="GI164" s="114">
        <v>7109.4113812191872</v>
      </c>
      <c r="GJ164" s="114">
        <v>11395.831056575769</v>
      </c>
      <c r="GK164" s="114">
        <v>4353.9341809056277</v>
      </c>
      <c r="GL164" s="114">
        <v>8483.3817316341665</v>
      </c>
      <c r="GM164" s="114">
        <v>8428.4902745931759</v>
      </c>
      <c r="GN164" s="114">
        <v>4395.9403096869937</v>
      </c>
      <c r="GO164" s="114">
        <v>6958.6149790887212</v>
      </c>
      <c r="GP164" s="114">
        <v>7254.7227287755277</v>
      </c>
      <c r="GQ164" s="114">
        <v>9319.3149708993442</v>
      </c>
      <c r="GR164" s="114">
        <v>16073.249544247925</v>
      </c>
      <c r="GS164" s="114">
        <v>465.57451628419284</v>
      </c>
      <c r="GT164" s="115">
        <v>8150.9910013135222</v>
      </c>
    </row>
    <row r="165" spans="2:202" x14ac:dyDescent="0.6">
      <c r="B165" s="106" t="s">
        <v>151</v>
      </c>
      <c r="C165" s="63" t="s">
        <v>509</v>
      </c>
      <c r="D165" s="113">
        <v>4357.6709503164775</v>
      </c>
      <c r="E165" s="114">
        <v>5771.6730607373374</v>
      </c>
      <c r="F165" s="114">
        <v>6251.5362602923424</v>
      </c>
      <c r="G165" s="114">
        <v>3745.7504739018377</v>
      </c>
      <c r="H165" s="114">
        <v>11751.32438248482</v>
      </c>
      <c r="I165" s="114">
        <v>11503.923057557249</v>
      </c>
      <c r="J165" s="114">
        <v>4235.3653873578842</v>
      </c>
      <c r="K165" s="114">
        <v>11583.74632769896</v>
      </c>
      <c r="L165" s="114">
        <v>5831.1258270254684</v>
      </c>
      <c r="M165" s="114">
        <v>4277.5561679598677</v>
      </c>
      <c r="N165" s="114">
        <v>13131.074410983882</v>
      </c>
      <c r="O165" s="114">
        <v>2731.462262442255</v>
      </c>
      <c r="P165" s="114">
        <v>5395.6522874446091</v>
      </c>
      <c r="Q165" s="114">
        <v>11529.518091964477</v>
      </c>
      <c r="R165" s="114">
        <v>5958.6637023227831</v>
      </c>
      <c r="S165" s="114">
        <v>6623.2882942947017</v>
      </c>
      <c r="T165" s="114">
        <v>14494.009251071948</v>
      </c>
      <c r="U165" s="114">
        <v>4771.4591246557757</v>
      </c>
      <c r="V165" s="114">
        <v>5476.1968059682986</v>
      </c>
      <c r="W165" s="114">
        <v>12561.398399423178</v>
      </c>
      <c r="X165" s="114">
        <v>5329.6643551133466</v>
      </c>
      <c r="Y165" s="114">
        <v>3629.9785921891798</v>
      </c>
      <c r="Z165" s="114">
        <v>10289.833509599128</v>
      </c>
      <c r="AA165" s="114">
        <v>9933.5354788812165</v>
      </c>
      <c r="AB165" s="114">
        <v>7745.7457604729852</v>
      </c>
      <c r="AC165" s="114">
        <v>5002.3702397993393</v>
      </c>
      <c r="AD165" s="114">
        <v>5249.4771976850789</v>
      </c>
      <c r="AE165" s="114">
        <v>1876.7759710731857</v>
      </c>
      <c r="AF165" s="114">
        <v>7651.1742214530459</v>
      </c>
      <c r="AG165" s="114">
        <v>6613.1108826863028</v>
      </c>
      <c r="AH165" s="114">
        <v>3953.00837532267</v>
      </c>
      <c r="AI165" s="114">
        <v>3768.4924192457202</v>
      </c>
      <c r="AJ165" s="114">
        <v>12535.283858329807</v>
      </c>
      <c r="AK165" s="114">
        <v>12175.268551716596</v>
      </c>
      <c r="AL165" s="114">
        <v>2996.5182101191767</v>
      </c>
      <c r="AM165" s="114">
        <v>3559.2548706748839</v>
      </c>
      <c r="AN165" s="114">
        <v>12498.81068519642</v>
      </c>
      <c r="AO165" s="114">
        <v>8581.2064983929231</v>
      </c>
      <c r="AP165" s="114">
        <v>8239.5405573108819</v>
      </c>
      <c r="AQ165" s="114">
        <v>13228.120266546457</v>
      </c>
      <c r="AR165" s="114">
        <v>1510.0215233551837</v>
      </c>
      <c r="AS165" s="114">
        <v>3400.4313817074094</v>
      </c>
      <c r="AT165" s="114">
        <v>3416.3829141249134</v>
      </c>
      <c r="AU165" s="114">
        <v>14251.615503600287</v>
      </c>
      <c r="AV165" s="114">
        <v>5478.7037248265433</v>
      </c>
      <c r="AW165" s="114">
        <v>5634.3284353933104</v>
      </c>
      <c r="AX165" s="114">
        <v>13683.42171632964</v>
      </c>
      <c r="AY165" s="114">
        <v>3881.9277515584195</v>
      </c>
      <c r="AZ165" s="114">
        <v>6089.7592326337563</v>
      </c>
      <c r="BA165" s="114">
        <v>6632.4889336373481</v>
      </c>
      <c r="BB165" s="114">
        <v>1062.1596954173929</v>
      </c>
      <c r="BC165" s="114">
        <v>11713.007144522991</v>
      </c>
      <c r="BD165" s="114">
        <v>12542.849551177786</v>
      </c>
      <c r="BE165" s="114">
        <v>3415.4550290490088</v>
      </c>
      <c r="BF165" s="114">
        <v>13741.754098238414</v>
      </c>
      <c r="BG165" s="114">
        <v>3450.1012149194553</v>
      </c>
      <c r="BH165" s="114">
        <v>14697.363540244824</v>
      </c>
      <c r="BI165" s="114">
        <v>4084.5814209952382</v>
      </c>
      <c r="BJ165" s="114">
        <v>1638.4792719138543</v>
      </c>
      <c r="BK165" s="114">
        <v>6609.1965060076409</v>
      </c>
      <c r="BL165" s="114">
        <v>3486.7738005284141</v>
      </c>
      <c r="BM165" s="114">
        <v>1084.6927744269206</v>
      </c>
      <c r="BN165" s="114">
        <v>6691.2552995863061</v>
      </c>
      <c r="BO165" s="114">
        <v>6595.5578965654731</v>
      </c>
      <c r="BP165" s="114">
        <v>4005.7709707121062</v>
      </c>
      <c r="BQ165" s="114">
        <v>6890.5027044185226</v>
      </c>
      <c r="BR165" s="114">
        <v>4382.8362214214276</v>
      </c>
      <c r="BS165" s="114">
        <v>6326.4632512792323</v>
      </c>
      <c r="BT165" s="114">
        <v>6055.1498881682164</v>
      </c>
      <c r="BU165" s="114">
        <v>6359.7338881852984</v>
      </c>
      <c r="BV165" s="114">
        <v>5040.1437884311981</v>
      </c>
      <c r="BW165" s="114">
        <v>4537.500975987572</v>
      </c>
      <c r="BX165" s="114">
        <v>11804.701852799823</v>
      </c>
      <c r="BY165" s="114">
        <v>14782.773234571716</v>
      </c>
      <c r="BZ165" s="114">
        <v>6542.2742467725038</v>
      </c>
      <c r="CA165" s="114">
        <v>6771.7220186369877</v>
      </c>
      <c r="CB165" s="114">
        <v>11457.445829867715</v>
      </c>
      <c r="CC165" s="114">
        <v>12811.277325393206</v>
      </c>
      <c r="CD165" s="114">
        <v>14474.108569571776</v>
      </c>
      <c r="CE165" s="114">
        <v>5631.4813614692221</v>
      </c>
      <c r="CF165" s="114">
        <v>8701.6946776793793</v>
      </c>
      <c r="CG165" s="114">
        <v>3555.169839144547</v>
      </c>
      <c r="CH165" s="114">
        <v>4473.4036656078242</v>
      </c>
      <c r="CI165" s="114">
        <v>6848.6424877946674</v>
      </c>
      <c r="CJ165" s="114">
        <v>3768.2692835168655</v>
      </c>
      <c r="CK165" s="114">
        <v>3468.4720464139518</v>
      </c>
      <c r="CL165" s="114">
        <v>7374.4528075094586</v>
      </c>
      <c r="CM165" s="114">
        <v>8977.0447196200294</v>
      </c>
      <c r="CN165" s="114">
        <v>5491.0685522259591</v>
      </c>
      <c r="CO165" s="114">
        <v>5973.255235902694</v>
      </c>
      <c r="CP165" s="114">
        <v>13264.629877081337</v>
      </c>
      <c r="CQ165" s="114">
        <v>10283.260491566249</v>
      </c>
      <c r="CR165" s="114">
        <v>3440.7286060268134</v>
      </c>
      <c r="CS165" s="114">
        <v>5977.1968150785015</v>
      </c>
      <c r="CT165" s="114">
        <v>1037.5438917426609</v>
      </c>
      <c r="CU165" s="114">
        <v>3047.3192084116845</v>
      </c>
      <c r="CV165" s="114">
        <v>5359.5056262667149</v>
      </c>
      <c r="CW165" s="114">
        <v>6457.4968130006346</v>
      </c>
      <c r="CX165" s="114">
        <v>6347.7851064630358</v>
      </c>
      <c r="CY165" s="114">
        <v>3653.3392907380744</v>
      </c>
      <c r="CZ165" s="114">
        <v>3960.8058883544886</v>
      </c>
      <c r="DA165" s="114">
        <v>6194.444265158415</v>
      </c>
      <c r="DB165" s="114">
        <v>4771.6148458572388</v>
      </c>
      <c r="DC165" s="114">
        <v>6090.5338370202971</v>
      </c>
      <c r="DD165" s="114">
        <v>6101.6222683160695</v>
      </c>
      <c r="DE165" s="114">
        <v>6438.5787369091777</v>
      </c>
      <c r="DF165" s="114">
        <v>2298.3569216882479</v>
      </c>
      <c r="DG165" s="114">
        <v>2203.6107830519422</v>
      </c>
      <c r="DH165" s="114">
        <v>6237.8817364400375</v>
      </c>
      <c r="DI165" s="114">
        <v>3120.0270788965408</v>
      </c>
      <c r="DJ165" s="114">
        <v>5925.3254233373946</v>
      </c>
      <c r="DK165" s="114">
        <v>4905.0430921748011</v>
      </c>
      <c r="DL165" s="114">
        <v>2788.7523837411009</v>
      </c>
      <c r="DM165" s="114">
        <v>2805.0094124688167</v>
      </c>
      <c r="DN165" s="114">
        <v>15462.066949496355</v>
      </c>
      <c r="DO165" s="114">
        <v>5247.4981227022672</v>
      </c>
      <c r="DP165" s="114">
        <v>5949.8331348281708</v>
      </c>
      <c r="DQ165" s="114">
        <v>7770.2230875457499</v>
      </c>
      <c r="DR165" s="114">
        <v>5184.7596933257146</v>
      </c>
      <c r="DS165" s="114">
        <v>6458.9050639823163</v>
      </c>
      <c r="DT165" s="114">
        <v>3369.8161056960844</v>
      </c>
      <c r="DU165" s="114">
        <v>5797.036113112752</v>
      </c>
      <c r="DV165" s="114">
        <v>4087.9237925929669</v>
      </c>
      <c r="DW165" s="114">
        <v>5101.995289264747</v>
      </c>
      <c r="DX165" s="114">
        <v>6731.4402656602088</v>
      </c>
      <c r="DY165" s="114">
        <v>13565.594407168985</v>
      </c>
      <c r="DZ165" s="114">
        <v>13328.905804061898</v>
      </c>
      <c r="EA165" s="114">
        <v>14428.786904418426</v>
      </c>
      <c r="EB165" s="114">
        <v>4911.5233492711304</v>
      </c>
      <c r="EC165" s="114">
        <v>4266.7012792919768</v>
      </c>
      <c r="ED165" s="114">
        <v>9007.9580321420144</v>
      </c>
      <c r="EE165" s="114">
        <v>5049.5197599404855</v>
      </c>
      <c r="EF165" s="114">
        <v>7060.3273587268613</v>
      </c>
      <c r="EG165" s="114">
        <v>2762.4018370428812</v>
      </c>
      <c r="EH165" s="114">
        <v>3458.1042409837796</v>
      </c>
      <c r="EI165" s="114">
        <v>4535.7754024966744</v>
      </c>
      <c r="EJ165" s="114">
        <v>13745.066712560423</v>
      </c>
      <c r="EK165" s="114">
        <v>11365.931449234607</v>
      </c>
      <c r="EL165" s="114">
        <v>13558.561699873006</v>
      </c>
      <c r="EM165" s="114">
        <v>8417.2016909777103</v>
      </c>
      <c r="EN165" s="114">
        <v>6009.2707952168212</v>
      </c>
      <c r="EO165" s="114">
        <v>6830.5323870314814</v>
      </c>
      <c r="EP165" s="114">
        <v>2653.7838563544769</v>
      </c>
      <c r="EQ165" s="114">
        <v>5061.9682434609649</v>
      </c>
      <c r="ER165" s="114">
        <v>6014.4305356594859</v>
      </c>
      <c r="ES165" s="114">
        <v>1737.9745456417972</v>
      </c>
      <c r="ET165" s="114">
        <v>11812.805867046445</v>
      </c>
      <c r="EU165" s="114">
        <v>11656.580137572601</v>
      </c>
      <c r="EV165" s="114">
        <v>11723.003349793382</v>
      </c>
      <c r="EW165" s="114">
        <v>5648.1368022919396</v>
      </c>
      <c r="EX165" s="114">
        <v>4325.3339033373213</v>
      </c>
      <c r="EY165" s="114">
        <v>2492.8259361512587</v>
      </c>
      <c r="EZ165" s="114">
        <v>6996.5260198322949</v>
      </c>
      <c r="FA165" s="114">
        <v>5318.2339011911808</v>
      </c>
      <c r="FB165" s="114">
        <v>6501.3827093279742</v>
      </c>
      <c r="FC165" s="114">
        <v>6509.9569841826533</v>
      </c>
      <c r="FD165" s="114">
        <v>5791.1723288501607</v>
      </c>
      <c r="FE165" s="114">
        <v>5742.8494041878212</v>
      </c>
      <c r="FF165" s="114" t="s">
        <v>237</v>
      </c>
      <c r="FG165" s="114">
        <v>3567.2426709592141</v>
      </c>
      <c r="FH165" s="114">
        <v>9097.9663485659767</v>
      </c>
      <c r="FI165" s="114">
        <v>1549.2459890738655</v>
      </c>
      <c r="FJ165" s="114">
        <v>6477.2351899026435</v>
      </c>
      <c r="FK165" s="114">
        <v>6135.7342757607985</v>
      </c>
      <c r="FL165" s="114">
        <v>3873.9141988403653</v>
      </c>
      <c r="FM165" s="114">
        <v>2045.6836671389844</v>
      </c>
      <c r="FN165" s="114">
        <v>11130.465683413075</v>
      </c>
      <c r="FO165" s="114">
        <v>6779.0880495351294</v>
      </c>
      <c r="FP165" s="114">
        <v>6165.0664828299587</v>
      </c>
      <c r="FQ165" s="114">
        <v>3604.2828860803888</v>
      </c>
      <c r="FR165" s="114">
        <v>8534.6337109244705</v>
      </c>
      <c r="FS165" s="114">
        <v>4678.5281103918451</v>
      </c>
      <c r="FT165" s="114">
        <v>1183.9502877714995</v>
      </c>
      <c r="FU165" s="114">
        <v>6182.1670244578227</v>
      </c>
      <c r="FV165" s="114">
        <v>8946.3650535116576</v>
      </c>
      <c r="FW165" s="114">
        <v>4905.1037616865096</v>
      </c>
      <c r="FX165" s="114">
        <v>11792.813793201438</v>
      </c>
      <c r="FY165" s="114">
        <v>5261.6802536007262</v>
      </c>
      <c r="FZ165" s="114">
        <v>4368.9082500567174</v>
      </c>
      <c r="GA165" s="114">
        <v>4191.3443686661776</v>
      </c>
      <c r="GB165" s="114">
        <v>1453.7969017589871</v>
      </c>
      <c r="GC165" s="114">
        <v>5551.1103287946435</v>
      </c>
      <c r="GD165" s="114">
        <v>2656.3120557500702</v>
      </c>
      <c r="GE165" s="114">
        <v>6915.6788010620103</v>
      </c>
      <c r="GF165" s="114">
        <v>15648.263471482267</v>
      </c>
      <c r="GG165" s="114">
        <v>12266.711998172004</v>
      </c>
      <c r="GH165" s="114">
        <v>11972.43481385992</v>
      </c>
      <c r="GI165" s="114">
        <v>12581.245043395558</v>
      </c>
      <c r="GJ165" s="114">
        <v>11174.824708902112</v>
      </c>
      <c r="GK165" s="114">
        <v>4969.0121603697135</v>
      </c>
      <c r="GL165" s="114">
        <v>12345.952210044043</v>
      </c>
      <c r="GM165" s="114">
        <v>6850.6847336608034</v>
      </c>
      <c r="GN165" s="114">
        <v>1488.9205008428651</v>
      </c>
      <c r="GO165" s="114">
        <v>2689.7917809831997</v>
      </c>
      <c r="GP165" s="114">
        <v>2666.6286170083599</v>
      </c>
      <c r="GQ165" s="114">
        <v>6840.948550175618</v>
      </c>
      <c r="GR165" s="114">
        <v>11396.141723270004</v>
      </c>
      <c r="GS165" s="114">
        <v>6155.2716797514358</v>
      </c>
      <c r="GT165" s="115">
        <v>3642.5355622480056</v>
      </c>
    </row>
    <row r="166" spans="2:202" x14ac:dyDescent="0.6">
      <c r="B166" s="106" t="s">
        <v>152</v>
      </c>
      <c r="C166" s="63" t="s">
        <v>558</v>
      </c>
      <c r="D166" s="113">
        <v>7923.6954787551422</v>
      </c>
      <c r="E166" s="114">
        <v>7362.5989991246906</v>
      </c>
      <c r="F166" s="114">
        <v>8020.0995443504698</v>
      </c>
      <c r="G166" s="114">
        <v>2461.2917078413479</v>
      </c>
      <c r="H166" s="114">
        <v>10811.468278920325</v>
      </c>
      <c r="I166" s="114">
        <v>8211.5371278280491</v>
      </c>
      <c r="J166" s="114">
        <v>7478.1811292341981</v>
      </c>
      <c r="K166" s="114">
        <v>11080.837721264654</v>
      </c>
      <c r="L166" s="114">
        <v>8265.3896212883556</v>
      </c>
      <c r="M166" s="114">
        <v>7638.2694626420471</v>
      </c>
      <c r="N166" s="114">
        <v>12615.633640612688</v>
      </c>
      <c r="O166" s="114">
        <v>6205.629410309386</v>
      </c>
      <c r="P166" s="114">
        <v>8617.8837837073006</v>
      </c>
      <c r="Q166" s="114">
        <v>10373.419587089091</v>
      </c>
      <c r="R166" s="114">
        <v>8780.3083109076269</v>
      </c>
      <c r="S166" s="114">
        <v>8767.0219769143696</v>
      </c>
      <c r="T166" s="114">
        <v>13422.826108006217</v>
      </c>
      <c r="U166" s="114">
        <v>4484.9525418648373</v>
      </c>
      <c r="V166" s="114">
        <v>8803.4893521336671</v>
      </c>
      <c r="W166" s="114">
        <v>9842.5844936756694</v>
      </c>
      <c r="X166" s="114">
        <v>7733.8962715714079</v>
      </c>
      <c r="Y166" s="114">
        <v>279.66385411960738</v>
      </c>
      <c r="Z166" s="114">
        <v>7460.1453173578921</v>
      </c>
      <c r="AA166" s="114">
        <v>7147.48201117387</v>
      </c>
      <c r="AB166" s="114">
        <v>9911.0561994645923</v>
      </c>
      <c r="AC166" s="114">
        <v>7565.8975400512663</v>
      </c>
      <c r="AD166" s="114">
        <v>5256.1234713190361</v>
      </c>
      <c r="AE166" s="114">
        <v>2480.0145682265397</v>
      </c>
      <c r="AF166" s="114">
        <v>7160.8599235132888</v>
      </c>
      <c r="AG166" s="114">
        <v>9214.7836658980159</v>
      </c>
      <c r="AH166" s="114">
        <v>3833.9672786438541</v>
      </c>
      <c r="AI166" s="114">
        <v>3691.3368145006689</v>
      </c>
      <c r="AJ166" s="114">
        <v>13294.227524427521</v>
      </c>
      <c r="AK166" s="114">
        <v>13009.651980595516</v>
      </c>
      <c r="AL166" s="114">
        <v>3463.5536588998689</v>
      </c>
      <c r="AM166" s="114">
        <v>4424.1648189827247</v>
      </c>
      <c r="AN166" s="114">
        <v>9218.2831220827156</v>
      </c>
      <c r="AO166" s="114">
        <v>11733.670771409532</v>
      </c>
      <c r="AP166" s="114">
        <v>11618.66922840898</v>
      </c>
      <c r="AQ166" s="114">
        <v>11430.945549810225</v>
      </c>
      <c r="AR166" s="114">
        <v>2221.835836025361</v>
      </c>
      <c r="AS166" s="114">
        <v>2716.3547264302047</v>
      </c>
      <c r="AT166" s="114">
        <v>2749.8685429736738</v>
      </c>
      <c r="AU166" s="114">
        <v>12677.220684669455</v>
      </c>
      <c r="AV166" s="114">
        <v>4874.878327412599</v>
      </c>
      <c r="AW166" s="114">
        <v>7989.6693273003775</v>
      </c>
      <c r="AX166" s="114">
        <v>13032.48362205688</v>
      </c>
      <c r="AY166" s="114">
        <v>6753.3745665103934</v>
      </c>
      <c r="AZ166" s="114">
        <v>8505.6034854905502</v>
      </c>
      <c r="BA166" s="114">
        <v>9114.5984407933138</v>
      </c>
      <c r="BB166" s="114">
        <v>4337.8267504860014</v>
      </c>
      <c r="BC166" s="114">
        <v>10664.24043967664</v>
      </c>
      <c r="BD166" s="114">
        <v>11616.735914067265</v>
      </c>
      <c r="BE166" s="114">
        <v>2737.5619465135869</v>
      </c>
      <c r="BF166" s="114">
        <v>11649.613162003441</v>
      </c>
      <c r="BG166" s="114">
        <v>6174.1553611407053</v>
      </c>
      <c r="BH166" s="114">
        <v>13353.414719298664</v>
      </c>
      <c r="BI166" s="114">
        <v>3846.4744445010988</v>
      </c>
      <c r="BJ166" s="114">
        <v>4656.9759519235058</v>
      </c>
      <c r="BK166" s="114">
        <v>9419.7275638255469</v>
      </c>
      <c r="BL166" s="114">
        <v>305.57848613415058</v>
      </c>
      <c r="BM166" s="114">
        <v>3990.73136868452</v>
      </c>
      <c r="BN166" s="114">
        <v>9521.3493860585641</v>
      </c>
      <c r="BO166" s="114">
        <v>8617.5324771805754</v>
      </c>
      <c r="BP166" s="114">
        <v>3502.2725096968816</v>
      </c>
      <c r="BQ166" s="114">
        <v>6463.8911779869513</v>
      </c>
      <c r="BR166" s="114">
        <v>7624.8135026248101</v>
      </c>
      <c r="BS166" s="114">
        <v>8764.6281621035359</v>
      </c>
      <c r="BT166" s="114">
        <v>8346.1632324673719</v>
      </c>
      <c r="BU166" s="114">
        <v>8617.1372533700414</v>
      </c>
      <c r="BV166" s="114">
        <v>4580.6280663443322</v>
      </c>
      <c r="BW166" s="114">
        <v>7024.4055563755846</v>
      </c>
      <c r="BX166" s="114">
        <v>10566.988879191089</v>
      </c>
      <c r="BY166" s="114">
        <v>13506.717335463383</v>
      </c>
      <c r="BZ166" s="114">
        <v>5931.7952236970796</v>
      </c>
      <c r="CA166" s="114">
        <v>6251.5477790780214</v>
      </c>
      <c r="CB166" s="114">
        <v>9942.4959792375303</v>
      </c>
      <c r="CC166" s="114">
        <v>11876.047522125182</v>
      </c>
      <c r="CD166" s="114">
        <v>13183.470231464102</v>
      </c>
      <c r="CE166" s="114">
        <v>8138.2407831790824</v>
      </c>
      <c r="CF166" s="114">
        <v>10846.105232180325</v>
      </c>
      <c r="CG166" s="114">
        <v>6921.8755174874987</v>
      </c>
      <c r="CH166" s="114">
        <v>7952.0005432627468</v>
      </c>
      <c r="CI166" s="114">
        <v>8542.2596836010453</v>
      </c>
      <c r="CJ166" s="114">
        <v>7195.090100254587</v>
      </c>
      <c r="CK166" s="114">
        <v>6741.4820315579691</v>
      </c>
      <c r="CL166" s="114">
        <v>9350.7220849121895</v>
      </c>
      <c r="CM166" s="114">
        <v>9238.9313161073769</v>
      </c>
      <c r="CN166" s="114">
        <v>7624.264604778421</v>
      </c>
      <c r="CO166" s="114">
        <v>8113.7472329534739</v>
      </c>
      <c r="CP166" s="114">
        <v>12282.364050135053</v>
      </c>
      <c r="CQ166" s="114">
        <v>13499.391203776768</v>
      </c>
      <c r="CR166" s="114">
        <v>6387.7770663995234</v>
      </c>
      <c r="CS166" s="114">
        <v>9502.3841096762044</v>
      </c>
      <c r="CT166" s="114">
        <v>2843.7503263667732</v>
      </c>
      <c r="CU166" s="114">
        <v>6446.0124913435493</v>
      </c>
      <c r="CV166" s="114">
        <v>8926.1737397088509</v>
      </c>
      <c r="CW166" s="114">
        <v>9337.739891890722</v>
      </c>
      <c r="CX166" s="114">
        <v>9122.6098557823425</v>
      </c>
      <c r="CY166" s="114">
        <v>6601.0841814513933</v>
      </c>
      <c r="CZ166" s="114">
        <v>423.68210867330032</v>
      </c>
      <c r="DA166" s="114">
        <v>5453.323965327113</v>
      </c>
      <c r="DB166" s="114">
        <v>6636.1172175947722</v>
      </c>
      <c r="DC166" s="114">
        <v>8282.0909433208035</v>
      </c>
      <c r="DD166" s="114">
        <v>8880.0291302759724</v>
      </c>
      <c r="DE166" s="114">
        <v>8600.3244991823503</v>
      </c>
      <c r="DF166" s="114">
        <v>2118.7935332414768</v>
      </c>
      <c r="DG166" s="114">
        <v>1389.7707286161531</v>
      </c>
      <c r="DH166" s="114">
        <v>8487.9282439414001</v>
      </c>
      <c r="DI166" s="114">
        <v>5865.9574277656529</v>
      </c>
      <c r="DJ166" s="114">
        <v>5707.3933940256129</v>
      </c>
      <c r="DK166" s="114">
        <v>6934.4112931984619</v>
      </c>
      <c r="DL166" s="114">
        <v>3043.6612398886332</v>
      </c>
      <c r="DM166" s="114">
        <v>3061.5799731459206</v>
      </c>
      <c r="DN166" s="114">
        <v>14575.432636650377</v>
      </c>
      <c r="DO166" s="114">
        <v>8056.4747191632405</v>
      </c>
      <c r="DP166" s="114">
        <v>7976.9296099212306</v>
      </c>
      <c r="DQ166" s="114">
        <v>11298.682173770118</v>
      </c>
      <c r="DR166" s="114">
        <v>7602.5705862654131</v>
      </c>
      <c r="DS166" s="114">
        <v>7571.9112939713514</v>
      </c>
      <c r="DT166" s="114">
        <v>421.75880976689899</v>
      </c>
      <c r="DU166" s="114">
        <v>8713.8251373158018</v>
      </c>
      <c r="DV166" s="114">
        <v>1177.1936060621824</v>
      </c>
      <c r="DW166" s="114">
        <v>8479.8482528317982</v>
      </c>
      <c r="DX166" s="114">
        <v>8936.2569753960797</v>
      </c>
      <c r="DY166" s="114">
        <v>12256.731638960913</v>
      </c>
      <c r="DZ166" s="114">
        <v>11831.118439808504</v>
      </c>
      <c r="EA166" s="114">
        <v>13005.892324020315</v>
      </c>
      <c r="EB166" s="114">
        <v>5147.5969867521926</v>
      </c>
      <c r="EC166" s="114">
        <v>4447.2171121708734</v>
      </c>
      <c r="ED166" s="114">
        <v>12343.274851623954</v>
      </c>
      <c r="EE166" s="114">
        <v>7533.1992769835251</v>
      </c>
      <c r="EF166" s="114">
        <v>9588.4236066458507</v>
      </c>
      <c r="EG166" s="114">
        <v>6329.6139587223424</v>
      </c>
      <c r="EH166" s="114">
        <v>6991.1391553306839</v>
      </c>
      <c r="EI166" s="114">
        <v>8087.6778344362074</v>
      </c>
      <c r="EJ166" s="114">
        <v>12173.588128808648</v>
      </c>
      <c r="EK166" s="114">
        <v>8414.0269652060597</v>
      </c>
      <c r="EL166" s="114">
        <v>10909.437921729903</v>
      </c>
      <c r="EM166" s="114">
        <v>10971.811996233766</v>
      </c>
      <c r="EN166" s="114">
        <v>8653.2651005352473</v>
      </c>
      <c r="EO166" s="114">
        <v>8089.9744807979532</v>
      </c>
      <c r="EP166" s="114">
        <v>6154.3765683130823</v>
      </c>
      <c r="EQ166" s="114">
        <v>7754.1274999199386</v>
      </c>
      <c r="ER166" s="114">
        <v>9073.4407900658898</v>
      </c>
      <c r="ES166" s="114">
        <v>2659.9728314433751</v>
      </c>
      <c r="ET166" s="114">
        <v>10870.861916538144</v>
      </c>
      <c r="EU166" s="114">
        <v>10544.551346860386</v>
      </c>
      <c r="EV166" s="114">
        <v>10552.216038399672</v>
      </c>
      <c r="EW166" s="114">
        <v>7839.691084897896</v>
      </c>
      <c r="EX166" s="114">
        <v>3675.9397022120497</v>
      </c>
      <c r="EY166" s="114">
        <v>5882.2535936803479</v>
      </c>
      <c r="EZ166" s="114">
        <v>6614.0750017243809</v>
      </c>
      <c r="FA166" s="114">
        <v>7816.8304319008985</v>
      </c>
      <c r="FB166" s="114">
        <v>5832.5652288193105</v>
      </c>
      <c r="FC166" s="114">
        <v>8640.9982217209072</v>
      </c>
      <c r="FD166" s="114">
        <v>8251.4263976142356</v>
      </c>
      <c r="FE166" s="114">
        <v>8069.2358347237168</v>
      </c>
      <c r="FF166" s="114">
        <v>3567.2426709592141</v>
      </c>
      <c r="FG166" s="114" t="s">
        <v>527</v>
      </c>
      <c r="FH166" s="114">
        <v>12388.278787083256</v>
      </c>
      <c r="FI166" s="114">
        <v>3388.9666050559526</v>
      </c>
      <c r="FJ166" s="114">
        <v>8001.6680820135753</v>
      </c>
      <c r="FK166" s="114">
        <v>7897.0139554376756</v>
      </c>
      <c r="FL166" s="114">
        <v>6647.5195122866162</v>
      </c>
      <c r="FM166" s="114">
        <v>4554.3012690461965</v>
      </c>
      <c r="FN166" s="114">
        <v>9593.4737449030017</v>
      </c>
      <c r="FO166" s="114">
        <v>9457.2857176933849</v>
      </c>
      <c r="FP166" s="114">
        <v>8277.4239279989906</v>
      </c>
      <c r="FQ166" s="114">
        <v>6587.0119811898849</v>
      </c>
      <c r="FR166" s="114">
        <v>11492.255836637212</v>
      </c>
      <c r="FS166" s="114">
        <v>8243.4296149050879</v>
      </c>
      <c r="FT166" s="114">
        <v>2387.1949500473247</v>
      </c>
      <c r="FU166" s="114">
        <v>8926.5647519882114</v>
      </c>
      <c r="FV166" s="114">
        <v>10324.644278006372</v>
      </c>
      <c r="FW166" s="114">
        <v>4555.535972112235</v>
      </c>
      <c r="FX166" s="114">
        <v>10476.66450110927</v>
      </c>
      <c r="FY166" s="114">
        <v>7141.565530028045</v>
      </c>
      <c r="FZ166" s="114">
        <v>7243.3264815610373</v>
      </c>
      <c r="GA166" s="114">
        <v>7691.2455541766458</v>
      </c>
      <c r="GB166" s="114">
        <v>2886.2024319716829</v>
      </c>
      <c r="GC166" s="114">
        <v>8424.5977899977242</v>
      </c>
      <c r="GD166" s="114">
        <v>6200.8200501104138</v>
      </c>
      <c r="GE166" s="114">
        <v>8973.7138605346809</v>
      </c>
      <c r="GF166" s="114">
        <v>16646.636393924473</v>
      </c>
      <c r="GG166" s="114">
        <v>12796.974847536812</v>
      </c>
      <c r="GH166" s="114">
        <v>12600.694465682718</v>
      </c>
      <c r="GI166" s="114">
        <v>13005.05672142523</v>
      </c>
      <c r="GJ166" s="114">
        <v>7944.9008198635029</v>
      </c>
      <c r="GK166" s="114">
        <v>8528.9879780933225</v>
      </c>
      <c r="GL166" s="114">
        <v>10961.302308423925</v>
      </c>
      <c r="GM166" s="114">
        <v>9817.4046452736366</v>
      </c>
      <c r="GN166" s="114">
        <v>4860.2175184475291</v>
      </c>
      <c r="GO166" s="114">
        <v>1129.7481218345704</v>
      </c>
      <c r="GP166" s="114">
        <v>939.77386614561681</v>
      </c>
      <c r="GQ166" s="114">
        <v>9394.7577037065475</v>
      </c>
      <c r="GR166" s="114">
        <v>10854.564263510105</v>
      </c>
      <c r="GS166" s="114">
        <v>8331.3683469302578</v>
      </c>
      <c r="GT166" s="115">
        <v>84.945415847804114</v>
      </c>
    </row>
    <row r="167" spans="2:202" x14ac:dyDescent="0.6">
      <c r="B167" s="106" t="s">
        <v>153</v>
      </c>
      <c r="C167" s="63" t="s">
        <v>329</v>
      </c>
      <c r="D167" s="113">
        <v>5106.8437617824547</v>
      </c>
      <c r="E167" s="114">
        <v>9960.7066410032676</v>
      </c>
      <c r="F167" s="114">
        <v>9566.7757630432061</v>
      </c>
      <c r="G167" s="114">
        <v>12638.844599044798</v>
      </c>
      <c r="H167" s="114">
        <v>13900.005286380634</v>
      </c>
      <c r="I167" s="114">
        <v>19425.714734416848</v>
      </c>
      <c r="J167" s="114">
        <v>6867.9145357350526</v>
      </c>
      <c r="K167" s="114">
        <v>8310.9277477948399</v>
      </c>
      <c r="L167" s="114">
        <v>8283.9342581732908</v>
      </c>
      <c r="M167" s="114">
        <v>6455.8259673199946</v>
      </c>
      <c r="N167" s="114">
        <v>12651.195076340024</v>
      </c>
      <c r="O167" s="114">
        <v>7125.9463681927</v>
      </c>
      <c r="P167" s="114">
        <v>3773.9707542121873</v>
      </c>
      <c r="Q167" s="114">
        <v>14382.563346212923</v>
      </c>
      <c r="R167" s="114">
        <v>7303.7839006144486</v>
      </c>
      <c r="S167" s="114">
        <v>8740.5254286840845</v>
      </c>
      <c r="T167" s="114">
        <v>12945.257537160536</v>
      </c>
      <c r="U167" s="114">
        <v>12472.17998284354</v>
      </c>
      <c r="V167" s="114">
        <v>3628.7731459283459</v>
      </c>
      <c r="W167" s="114">
        <v>17264.294163736275</v>
      </c>
      <c r="X167" s="114">
        <v>8484.0109872470439</v>
      </c>
      <c r="Y167" s="114">
        <v>12547.246218171767</v>
      </c>
      <c r="Z167" s="114">
        <v>18351.586299158451</v>
      </c>
      <c r="AA167" s="114">
        <v>18133.420003071635</v>
      </c>
      <c r="AB167" s="114">
        <v>3829.2752476732003</v>
      </c>
      <c r="AC167" s="114">
        <v>8238.657952386031</v>
      </c>
      <c r="AD167" s="114">
        <v>12278.788859746985</v>
      </c>
      <c r="AE167" s="114">
        <v>10867.670171400769</v>
      </c>
      <c r="AF167" s="114">
        <v>13395.887962341667</v>
      </c>
      <c r="AG167" s="114">
        <v>3628.4099866079523</v>
      </c>
      <c r="AH167" s="114">
        <v>12048.334231032281</v>
      </c>
      <c r="AI167" s="114">
        <v>11951.340284074609</v>
      </c>
      <c r="AJ167" s="114">
        <v>10636.178336908113</v>
      </c>
      <c r="AK167" s="114">
        <v>10573.234443275342</v>
      </c>
      <c r="AL167" s="114">
        <v>11305.864901917914</v>
      </c>
      <c r="AM167" s="114">
        <v>11051.587577248512</v>
      </c>
      <c r="AN167" s="114">
        <v>18418.137355982766</v>
      </c>
      <c r="AO167" s="114">
        <v>820.01195811451396</v>
      </c>
      <c r="AP167" s="114">
        <v>930.52006540875846</v>
      </c>
      <c r="AQ167" s="114">
        <v>14920.838394180086</v>
      </c>
      <c r="AR167" s="114">
        <v>10194.755030587312</v>
      </c>
      <c r="AS167" s="114">
        <v>12166.112398311565</v>
      </c>
      <c r="AT167" s="114">
        <v>12166.644414466748</v>
      </c>
      <c r="AU167" s="114">
        <v>13911.33142125266</v>
      </c>
      <c r="AV167" s="114">
        <v>13039.186887841619</v>
      </c>
      <c r="AW167" s="114">
        <v>8507.5986936373993</v>
      </c>
      <c r="AX167" s="114">
        <v>12657.693327452938</v>
      </c>
      <c r="AY167" s="114">
        <v>7988.4915291887401</v>
      </c>
      <c r="AZ167" s="114">
        <v>8258.9461429849889</v>
      </c>
      <c r="BA167" s="114">
        <v>7971.4155084188778</v>
      </c>
      <c r="BB167" s="114">
        <v>8763.6276418873949</v>
      </c>
      <c r="BC167" s="114">
        <v>14120.2813373884</v>
      </c>
      <c r="BD167" s="114">
        <v>13605.848853340554</v>
      </c>
      <c r="BE167" s="114">
        <v>12171.600774634957</v>
      </c>
      <c r="BF167" s="114">
        <v>15159.029479081282</v>
      </c>
      <c r="BG167" s="114">
        <v>8471.1876133557744</v>
      </c>
      <c r="BH167" s="114">
        <v>13260.125757621076</v>
      </c>
      <c r="BI167" s="114">
        <v>12192.368438416415</v>
      </c>
      <c r="BJ167" s="114">
        <v>8813.8098470339919</v>
      </c>
      <c r="BK167" s="114">
        <v>7133.3903547497703</v>
      </c>
      <c r="BL167" s="114">
        <v>12184.497930986035</v>
      </c>
      <c r="BM167" s="114">
        <v>9232.5338434591213</v>
      </c>
      <c r="BN167" s="114">
        <v>7055.2319952041962</v>
      </c>
      <c r="BO167" s="114">
        <v>9003.3393597572212</v>
      </c>
      <c r="BP167" s="114">
        <v>12363.385882942179</v>
      </c>
      <c r="BQ167" s="114">
        <v>13183.970687694895</v>
      </c>
      <c r="BR167" s="114">
        <v>6788.2664756684317</v>
      </c>
      <c r="BS167" s="114">
        <v>8149.1074840446963</v>
      </c>
      <c r="BT167" s="114">
        <v>8543.6742627109579</v>
      </c>
      <c r="BU167" s="114">
        <v>8548.3353066666041</v>
      </c>
      <c r="BV167" s="114">
        <v>12735.320170932038</v>
      </c>
      <c r="BW167" s="114">
        <v>8545.7592118495941</v>
      </c>
      <c r="BX167" s="114">
        <v>14458.545410679948</v>
      </c>
      <c r="BY167" s="114">
        <v>13101.547320177628</v>
      </c>
      <c r="BZ167" s="114">
        <v>13368.132743531069</v>
      </c>
      <c r="CA167" s="114">
        <v>13295.981801846188</v>
      </c>
      <c r="CB167" s="114">
        <v>15120.051995434425</v>
      </c>
      <c r="CC167" s="114">
        <v>13517.976975788157</v>
      </c>
      <c r="CD167" s="114">
        <v>13308.232690587127</v>
      </c>
      <c r="CE167" s="114">
        <v>8175.5747979863045</v>
      </c>
      <c r="CF167" s="114">
        <v>8395.1212143299545</v>
      </c>
      <c r="CG167" s="114">
        <v>5550.0219268338169</v>
      </c>
      <c r="CH167" s="114">
        <v>4664.6421927855345</v>
      </c>
      <c r="CI167" s="114">
        <v>5257.3877905547088</v>
      </c>
      <c r="CJ167" s="114">
        <v>6545.9609599710848</v>
      </c>
      <c r="CK167" s="114">
        <v>7230.4942844778961</v>
      </c>
      <c r="CL167" s="114">
        <v>8966.4543794212441</v>
      </c>
      <c r="CM167" s="114">
        <v>12105.978678454929</v>
      </c>
      <c r="CN167" s="114">
        <v>8997.8777891716727</v>
      </c>
      <c r="CO167" s="114">
        <v>8879.6144195034012</v>
      </c>
      <c r="CP167" s="114">
        <v>13409.821916271769</v>
      </c>
      <c r="CQ167" s="114">
        <v>1197.9518432380064</v>
      </c>
      <c r="CR167" s="114">
        <v>8027.9640323220128</v>
      </c>
      <c r="CS167" s="114">
        <v>4539.0069845504804</v>
      </c>
      <c r="CT167" s="114">
        <v>10088.164496605374</v>
      </c>
      <c r="CU167" s="114">
        <v>7140.9667545322718</v>
      </c>
      <c r="CV167" s="114">
        <v>4405.6506618641506</v>
      </c>
      <c r="CW167" s="114">
        <v>3224.1030694595629</v>
      </c>
      <c r="CX167" s="114">
        <v>7307.1883613361424</v>
      </c>
      <c r="CY167" s="114">
        <v>7925.3315236805056</v>
      </c>
      <c r="CZ167" s="114">
        <v>12674.895764153731</v>
      </c>
      <c r="DA167" s="114">
        <v>13437.824841626787</v>
      </c>
      <c r="DB167" s="114">
        <v>9632.5757035544902</v>
      </c>
      <c r="DC167" s="114">
        <v>8748.2363912509882</v>
      </c>
      <c r="DD167" s="114">
        <v>7372.7481701637253</v>
      </c>
      <c r="DE167" s="114">
        <v>8738.701717923539</v>
      </c>
      <c r="DF167" s="114">
        <v>10335.190487548834</v>
      </c>
      <c r="DG167" s="114">
        <v>11207.884337271646</v>
      </c>
      <c r="DH167" s="114">
        <v>4586.3444473138834</v>
      </c>
      <c r="DI167" s="114">
        <v>6543.3556792713489</v>
      </c>
      <c r="DJ167" s="114">
        <v>12703.851069382614</v>
      </c>
      <c r="DK167" s="114">
        <v>9318.8302045306282</v>
      </c>
      <c r="DL167" s="114">
        <v>9644.6024175602815</v>
      </c>
      <c r="DM167" s="114">
        <v>9633.7438939714102</v>
      </c>
      <c r="DN167" s="114">
        <v>12124.509132518922</v>
      </c>
      <c r="DO167" s="114">
        <v>7583.9421224021635</v>
      </c>
      <c r="DP167" s="114">
        <v>9113.9753236379947</v>
      </c>
      <c r="DQ167" s="114">
        <v>1980.4444092567801</v>
      </c>
      <c r="DR167" s="114">
        <v>8495.5136092161283</v>
      </c>
      <c r="DS167" s="114">
        <v>10731.143718507215</v>
      </c>
      <c r="DT167" s="114">
        <v>12042.461554564707</v>
      </c>
      <c r="DU167" s="114">
        <v>3766.7928439509778</v>
      </c>
      <c r="DV167" s="114">
        <v>13165.00176367751</v>
      </c>
      <c r="DW167" s="114">
        <v>3995.9734530388437</v>
      </c>
      <c r="DX167" s="114">
        <v>8586.1113153758761</v>
      </c>
      <c r="DY167" s="114">
        <v>9625.5073423752219</v>
      </c>
      <c r="DZ167" s="114">
        <v>9994.1275943467881</v>
      </c>
      <c r="EA167" s="114">
        <v>13550.597299511805</v>
      </c>
      <c r="EB167" s="114">
        <v>11939.883798104163</v>
      </c>
      <c r="EC167" s="114">
        <v>11866.201314336495</v>
      </c>
      <c r="ED167" s="114">
        <v>223.98217601934016</v>
      </c>
      <c r="EE167" s="114">
        <v>8395.6770497768121</v>
      </c>
      <c r="EF167" s="114">
        <v>7759.9693395784116</v>
      </c>
      <c r="EG167" s="114">
        <v>6580.9596950485875</v>
      </c>
      <c r="EH167" s="114">
        <v>5728.4259271537139</v>
      </c>
      <c r="EI167" s="114">
        <v>4798.1027525846785</v>
      </c>
      <c r="EJ167" s="114">
        <v>14209.422813125893</v>
      </c>
      <c r="EK167" s="114">
        <v>18610.493046512478</v>
      </c>
      <c r="EL167" s="114">
        <v>16355.154207928294</v>
      </c>
      <c r="EM167" s="114">
        <v>2604.9086026605123</v>
      </c>
      <c r="EN167" s="114">
        <v>7743.0544924924297</v>
      </c>
      <c r="EO167" s="114">
        <v>10444.712024646637</v>
      </c>
      <c r="EP167" s="114">
        <v>7089.8945833215066</v>
      </c>
      <c r="EQ167" s="114">
        <v>7930.368472742879</v>
      </c>
      <c r="ER167" s="114">
        <v>6599.5074528045552</v>
      </c>
      <c r="ES167" s="114">
        <v>10685.87248014852</v>
      </c>
      <c r="ET167" s="114">
        <v>13885.372754882854</v>
      </c>
      <c r="EU167" s="114">
        <v>14259.581099120591</v>
      </c>
      <c r="EV167" s="114">
        <v>14353.694236672629</v>
      </c>
      <c r="EW167" s="114">
        <v>8845.9983343466902</v>
      </c>
      <c r="EX167" s="114">
        <v>12615.053356565384</v>
      </c>
      <c r="EY167" s="114">
        <v>7556.747480413861</v>
      </c>
      <c r="EZ167" s="114">
        <v>13136.589011070875</v>
      </c>
      <c r="FA167" s="114">
        <v>8284.0428473373013</v>
      </c>
      <c r="FB167" s="114">
        <v>13435.613953809951</v>
      </c>
      <c r="FC167" s="114">
        <v>4624.1443092706768</v>
      </c>
      <c r="FD167" s="114">
        <v>8236.2903776886669</v>
      </c>
      <c r="FE167" s="114">
        <v>8542.304742069764</v>
      </c>
      <c r="FF167" s="114">
        <v>9097.9663485659767</v>
      </c>
      <c r="FG167" s="114">
        <v>12388.278787083256</v>
      </c>
      <c r="FH167" s="114" t="s">
        <v>237</v>
      </c>
      <c r="FI167" s="114">
        <v>10113.80443890252</v>
      </c>
      <c r="FJ167" s="114">
        <v>9995.8539711058456</v>
      </c>
      <c r="FK167" s="114">
        <v>9598.1966014156915</v>
      </c>
      <c r="FL167" s="114">
        <v>5785.7670451586373</v>
      </c>
      <c r="FM167" s="114">
        <v>9340.3875610206414</v>
      </c>
      <c r="FN167" s="114">
        <v>15251.938857295581</v>
      </c>
      <c r="FO167" s="114">
        <v>7443.9415329324665</v>
      </c>
      <c r="FP167" s="114">
        <v>8898.1355008459504</v>
      </c>
      <c r="FQ167" s="114">
        <v>7871.2633028489254</v>
      </c>
      <c r="FR167" s="114">
        <v>1442.9866971967326</v>
      </c>
      <c r="FS167" s="114">
        <v>5010.4922426327166</v>
      </c>
      <c r="FT167" s="114">
        <v>10220.660879959731</v>
      </c>
      <c r="FU167" s="114">
        <v>3711.4495632206422</v>
      </c>
      <c r="FV167" s="114">
        <v>5072.0276885657058</v>
      </c>
      <c r="FW167" s="114">
        <v>12578.736902972971</v>
      </c>
      <c r="FX167" s="114">
        <v>14616.648882780308</v>
      </c>
      <c r="FY167" s="114">
        <v>9520.6085657097847</v>
      </c>
      <c r="FZ167" s="114">
        <v>7771.7479799376242</v>
      </c>
      <c r="GA167" s="114">
        <v>5925.4648140813797</v>
      </c>
      <c r="GB167" s="114">
        <v>10365.368616307154</v>
      </c>
      <c r="GC167" s="114">
        <v>7306.9486253403165</v>
      </c>
      <c r="GD167" s="114">
        <v>6890.944512537113</v>
      </c>
      <c r="GE167" s="114">
        <v>8869.5587505811563</v>
      </c>
      <c r="GF167" s="114">
        <v>9636.3366475025923</v>
      </c>
      <c r="GG167" s="114">
        <v>11091.51143115591</v>
      </c>
      <c r="GH167" s="114">
        <v>10979.26748109533</v>
      </c>
      <c r="GI167" s="114">
        <v>11204.82114462121</v>
      </c>
      <c r="GJ167" s="114">
        <v>19624.116154901105</v>
      </c>
      <c r="GK167" s="114">
        <v>4871.1211658179191</v>
      </c>
      <c r="GL167" s="114">
        <v>14548.861592405909</v>
      </c>
      <c r="GM167" s="114">
        <v>2712.9293707850743</v>
      </c>
      <c r="GN167" s="114">
        <v>8310.1356590253927</v>
      </c>
      <c r="GO167" s="114">
        <v>11756.106959671875</v>
      </c>
      <c r="GP167" s="114">
        <v>11643.888974013715</v>
      </c>
      <c r="GQ167" s="114">
        <v>3552.5362131506449</v>
      </c>
      <c r="GR167" s="114">
        <v>8394.453088528393</v>
      </c>
      <c r="GS167" s="114">
        <v>8766.9784326653062</v>
      </c>
      <c r="GT167" s="115">
        <v>12440.558517161617</v>
      </c>
    </row>
    <row r="168" spans="2:202" x14ac:dyDescent="0.6">
      <c r="B168" s="106" t="s">
        <v>154</v>
      </c>
      <c r="C168" s="63" t="s">
        <v>510</v>
      </c>
      <c r="D168" s="113">
        <v>5062.2476846988411</v>
      </c>
      <c r="E168" s="114">
        <v>4557.7398490794039</v>
      </c>
      <c r="F168" s="114">
        <v>5126.2461728335684</v>
      </c>
      <c r="G168" s="114">
        <v>2526.1437865622065</v>
      </c>
      <c r="H168" s="114">
        <v>10211.088036045674</v>
      </c>
      <c r="I168" s="114">
        <v>10468.190224699722</v>
      </c>
      <c r="J168" s="114">
        <v>4121.6793925803649</v>
      </c>
      <c r="K168" s="114">
        <v>13006.35774499031</v>
      </c>
      <c r="L168" s="114">
        <v>5028.2383952201244</v>
      </c>
      <c r="M168" s="114">
        <v>4331.6883047998253</v>
      </c>
      <c r="N168" s="114">
        <v>11649.156111175118</v>
      </c>
      <c r="O168" s="114">
        <v>3089.7062665930753</v>
      </c>
      <c r="P168" s="114">
        <v>6605.9874188577242</v>
      </c>
      <c r="Q168" s="114">
        <v>9981.0675009461665</v>
      </c>
      <c r="R168" s="114">
        <v>5425.6847624054826</v>
      </c>
      <c r="S168" s="114">
        <v>5681.832246941578</v>
      </c>
      <c r="T168" s="114">
        <v>12976.300974365493</v>
      </c>
      <c r="U168" s="114">
        <v>3230.7389456844276</v>
      </c>
      <c r="V168" s="114">
        <v>6600.1124335018012</v>
      </c>
      <c r="W168" s="114">
        <v>11189.892098250733</v>
      </c>
      <c r="X168" s="114">
        <v>4494.291707661936</v>
      </c>
      <c r="Y168" s="114">
        <v>3322.5658227517019</v>
      </c>
      <c r="Z168" s="114">
        <v>9031.2198035229812</v>
      </c>
      <c r="AA168" s="114">
        <v>8669.8651111558665</v>
      </c>
      <c r="AB168" s="114">
        <v>9237.8111464154881</v>
      </c>
      <c r="AC168" s="114">
        <v>4262.0760678866845</v>
      </c>
      <c r="AD168" s="114">
        <v>3702.4289733859491</v>
      </c>
      <c r="AE168" s="114">
        <v>929.96642274255441</v>
      </c>
      <c r="AF168" s="114">
        <v>6104.7448773945589</v>
      </c>
      <c r="AG168" s="114">
        <v>8042.2918308101225</v>
      </c>
      <c r="AH168" s="114">
        <v>2426.892570423297</v>
      </c>
      <c r="AI168" s="114">
        <v>2248.6366599287348</v>
      </c>
      <c r="AJ168" s="114">
        <v>11287.143171116206</v>
      </c>
      <c r="AK168" s="114">
        <v>10934.358851992998</v>
      </c>
      <c r="AL168" s="114">
        <v>1468.3133523415895</v>
      </c>
      <c r="AM168" s="114">
        <v>2033.8201898475108</v>
      </c>
      <c r="AN168" s="114">
        <v>11416.641995119695</v>
      </c>
      <c r="AO168" s="114">
        <v>9716.3825533120198</v>
      </c>
      <c r="AP168" s="114">
        <v>9203.1831854464763</v>
      </c>
      <c r="AQ168" s="114">
        <v>11686.470668361631</v>
      </c>
      <c r="AR168" s="114">
        <v>2215.0480988550266</v>
      </c>
      <c r="AS168" s="114">
        <v>2075.3493764718824</v>
      </c>
      <c r="AT168" s="114">
        <v>2081.4203341341386</v>
      </c>
      <c r="AU168" s="114">
        <v>12702.97848158803</v>
      </c>
      <c r="AV168" s="114">
        <v>3943.434114530753</v>
      </c>
      <c r="AW168" s="114">
        <v>4778.5107564366672</v>
      </c>
      <c r="AX168" s="114">
        <v>12196.007299727695</v>
      </c>
      <c r="AY168" s="114">
        <v>3367.8236524830459</v>
      </c>
      <c r="AZ168" s="114">
        <v>5282.5025542882249</v>
      </c>
      <c r="BA168" s="114">
        <v>5878.3457973035029</v>
      </c>
      <c r="BB168" s="114">
        <v>1358.4312922942834</v>
      </c>
      <c r="BC168" s="114">
        <v>10167.889882361711</v>
      </c>
      <c r="BD168" s="114">
        <v>11010.270046728694</v>
      </c>
      <c r="BE168" s="114">
        <v>2084.3413478815746</v>
      </c>
      <c r="BF168" s="114">
        <v>12217.096753233192</v>
      </c>
      <c r="BG168" s="114">
        <v>2797.8600587867609</v>
      </c>
      <c r="BH168" s="114">
        <v>13160.973272093761</v>
      </c>
      <c r="BI168" s="114">
        <v>2564.4525847732575</v>
      </c>
      <c r="BJ168" s="114">
        <v>1379.093972751072</v>
      </c>
      <c r="BK168" s="114">
        <v>6076.0926138013392</v>
      </c>
      <c r="BL168" s="114">
        <v>3451.0262099291822</v>
      </c>
      <c r="BM168" s="114">
        <v>885.58285795124027</v>
      </c>
      <c r="BN168" s="114">
        <v>6173.9580559717615</v>
      </c>
      <c r="BO168" s="114">
        <v>5593.9850472374974</v>
      </c>
      <c r="BP168" s="114">
        <v>2531.1885276887697</v>
      </c>
      <c r="BQ168" s="114">
        <v>5342.258597602884</v>
      </c>
      <c r="BR168" s="114">
        <v>4265.3498765713166</v>
      </c>
      <c r="BS168" s="114">
        <v>5538.5608016997812</v>
      </c>
      <c r="BT168" s="114">
        <v>5174.8371371674102</v>
      </c>
      <c r="BU168" s="114">
        <v>5469.8012239304207</v>
      </c>
      <c r="BV168" s="114">
        <v>3504.5596524987968</v>
      </c>
      <c r="BW168" s="114">
        <v>3731.5204150660652</v>
      </c>
      <c r="BX168" s="114">
        <v>10255.721451418931</v>
      </c>
      <c r="BY168" s="114">
        <v>13252.29883873453</v>
      </c>
      <c r="BZ168" s="114">
        <v>4994.7172957611328</v>
      </c>
      <c r="CA168" s="114">
        <v>5222.47849634256</v>
      </c>
      <c r="CB168" s="114">
        <v>9913.7366242955213</v>
      </c>
      <c r="CC168" s="114">
        <v>11280.919476205961</v>
      </c>
      <c r="CD168" s="114">
        <v>12938.436880682231</v>
      </c>
      <c r="CE168" s="114">
        <v>4869.0317072393182</v>
      </c>
      <c r="CF168" s="114">
        <v>7817.0334403487104</v>
      </c>
      <c r="CG168" s="114">
        <v>4746.1925356938473</v>
      </c>
      <c r="CH168" s="114">
        <v>5464.3767640876122</v>
      </c>
      <c r="CI168" s="114">
        <v>8394.4130544679538</v>
      </c>
      <c r="CJ168" s="114">
        <v>3956.9549965691222</v>
      </c>
      <c r="CK168" s="114">
        <v>3416.5655082475623</v>
      </c>
      <c r="CL168" s="114">
        <v>6375.6987981246366</v>
      </c>
      <c r="CM168" s="114">
        <v>7524.2030659075572</v>
      </c>
      <c r="CN168" s="114">
        <v>4507.1970869916968</v>
      </c>
      <c r="CO168" s="114">
        <v>5009.8116052063624</v>
      </c>
      <c r="CP168" s="114">
        <v>11736.057351395128</v>
      </c>
      <c r="CQ168" s="114">
        <v>11310.898619817061</v>
      </c>
      <c r="CR168" s="114">
        <v>2999.2177813787175</v>
      </c>
      <c r="CS168" s="114">
        <v>6319.2520072473053</v>
      </c>
      <c r="CT168" s="114">
        <v>862.77782973972057</v>
      </c>
      <c r="CU168" s="114">
        <v>3220.9139627799718</v>
      </c>
      <c r="CV168" s="114">
        <v>5946.0773975096945</v>
      </c>
      <c r="CW168" s="114">
        <v>7802.6673878348856</v>
      </c>
      <c r="CX168" s="114">
        <v>5784.4725906885151</v>
      </c>
      <c r="CY168" s="114">
        <v>3212.1377017591503</v>
      </c>
      <c r="CZ168" s="114">
        <v>3811.7086219970624</v>
      </c>
      <c r="DA168" s="114">
        <v>4655.5334442037565</v>
      </c>
      <c r="DB168" s="114">
        <v>3625.5060466984628</v>
      </c>
      <c r="DC168" s="114">
        <v>5157.4121117471086</v>
      </c>
      <c r="DD168" s="114">
        <v>5537.4479487583258</v>
      </c>
      <c r="DE168" s="114">
        <v>5500.703907600755</v>
      </c>
      <c r="DF168" s="114">
        <v>3121.2250304120657</v>
      </c>
      <c r="DG168" s="114">
        <v>2106.6468183819657</v>
      </c>
      <c r="DH168" s="114">
        <v>7744.2341486424166</v>
      </c>
      <c r="DI168" s="114">
        <v>4623.0649842766052</v>
      </c>
      <c r="DJ168" s="114">
        <v>4377.0703645786307</v>
      </c>
      <c r="DK168" s="114">
        <v>3844.4467335562003</v>
      </c>
      <c r="DL168" s="114">
        <v>3949.0044575673619</v>
      </c>
      <c r="DM168" s="114">
        <v>3969.0709931853621</v>
      </c>
      <c r="DN168" s="114">
        <v>13993.220104874599</v>
      </c>
      <c r="DO168" s="114">
        <v>4695.0963090858249</v>
      </c>
      <c r="DP168" s="114">
        <v>4929.133218703796</v>
      </c>
      <c r="DQ168" s="114">
        <v>8517.1279083820591</v>
      </c>
      <c r="DR168" s="114">
        <v>4353.4988716160979</v>
      </c>
      <c r="DS168" s="114">
        <v>5117.8467062899044</v>
      </c>
      <c r="DT168" s="114">
        <v>3384.788287777601</v>
      </c>
      <c r="DU168" s="114">
        <v>7150.3731247728347</v>
      </c>
      <c r="DV168" s="114">
        <v>3413.3453288105725</v>
      </c>
      <c r="DW168" s="114">
        <v>6193.8721407336961</v>
      </c>
      <c r="DX168" s="114">
        <v>5824.3001716241361</v>
      </c>
      <c r="DY168" s="114">
        <v>14849.59019629901</v>
      </c>
      <c r="DZ168" s="114">
        <v>14541.649737334348</v>
      </c>
      <c r="EA168" s="114">
        <v>12885.475124678796</v>
      </c>
      <c r="EB168" s="114">
        <v>3370.266030036315</v>
      </c>
      <c r="EC168" s="114">
        <v>2717.455397651257</v>
      </c>
      <c r="ED168" s="114">
        <v>9987.2896946784585</v>
      </c>
      <c r="EE168" s="114">
        <v>4256.5909479116035</v>
      </c>
      <c r="EF168" s="114">
        <v>6343.542972083017</v>
      </c>
      <c r="EG168" s="114">
        <v>3533.1083863631848</v>
      </c>
      <c r="EH168" s="114">
        <v>4394.6808919839705</v>
      </c>
      <c r="EI168" s="114">
        <v>5334.9734216104325</v>
      </c>
      <c r="EJ168" s="114">
        <v>12195.823844906357</v>
      </c>
      <c r="EK168" s="114">
        <v>10123.959327447379</v>
      </c>
      <c r="EL168" s="114">
        <v>12137.758085251126</v>
      </c>
      <c r="EM168" s="114">
        <v>9811.05158092483</v>
      </c>
      <c r="EN168" s="114">
        <v>5346.740325724496</v>
      </c>
      <c r="EO168" s="114">
        <v>5544.9074761161255</v>
      </c>
      <c r="EP168" s="114">
        <v>3088.9522393555885</v>
      </c>
      <c r="EQ168" s="114">
        <v>4415.7557821266528</v>
      </c>
      <c r="ER168" s="114">
        <v>5685.7486803675902</v>
      </c>
      <c r="ES168" s="114">
        <v>736.48344118359921</v>
      </c>
      <c r="ET168" s="114">
        <v>10272.908270202865</v>
      </c>
      <c r="EU168" s="114">
        <v>10109.359296805234</v>
      </c>
      <c r="EV168" s="114">
        <v>10174.751167897079</v>
      </c>
      <c r="EW168" s="114">
        <v>4700.6367368135616</v>
      </c>
      <c r="EX168" s="114">
        <v>2847.210027443386</v>
      </c>
      <c r="EY168" s="114">
        <v>2692.0895074413697</v>
      </c>
      <c r="EZ168" s="114">
        <v>5449.7714101767961</v>
      </c>
      <c r="FA168" s="114">
        <v>4542.4386497296591</v>
      </c>
      <c r="FB168" s="114">
        <v>4955.774929791095</v>
      </c>
      <c r="FC168" s="114">
        <v>8027.003745631273</v>
      </c>
      <c r="FD168" s="114">
        <v>5003.28708158873</v>
      </c>
      <c r="FE168" s="114">
        <v>4873.3680629737701</v>
      </c>
      <c r="FF168" s="114">
        <v>1549.2459890738655</v>
      </c>
      <c r="FG168" s="114">
        <v>3388.9666050559526</v>
      </c>
      <c r="FH168" s="114">
        <v>10113.80443890252</v>
      </c>
      <c r="FI168" s="114" t="s">
        <v>527</v>
      </c>
      <c r="FJ168" s="114">
        <v>5266.3900551598826</v>
      </c>
      <c r="FK168" s="114">
        <v>5003.1569260703172</v>
      </c>
      <c r="FL168" s="114">
        <v>5342.9586989148074</v>
      </c>
      <c r="FM168" s="114">
        <v>1165.9362164390845</v>
      </c>
      <c r="FN168" s="114">
        <v>9589.8729000844251</v>
      </c>
      <c r="FO168" s="114">
        <v>6153.948520758815</v>
      </c>
      <c r="FP168" s="114">
        <v>5193.6056459028314</v>
      </c>
      <c r="FQ168" s="114">
        <v>3198.9688745420003</v>
      </c>
      <c r="FR168" s="114">
        <v>9777.8223377713766</v>
      </c>
      <c r="FS168" s="114">
        <v>5264.9202386036932</v>
      </c>
      <c r="FT168" s="114">
        <v>1553.4307201424629</v>
      </c>
      <c r="FU168" s="114">
        <v>7583.1961287994109</v>
      </c>
      <c r="FV168" s="114">
        <v>10493.056026767556</v>
      </c>
      <c r="FW168" s="114">
        <v>3365.3174927386544</v>
      </c>
      <c r="FX168" s="114">
        <v>10243.601742587116</v>
      </c>
      <c r="FY168" s="114">
        <v>4145.2477460949267</v>
      </c>
      <c r="FZ168" s="114">
        <v>3861.6996408471723</v>
      </c>
      <c r="GA168" s="114">
        <v>4524.1679522464819</v>
      </c>
      <c r="GB168" s="114">
        <v>523.35556740793061</v>
      </c>
      <c r="GC168" s="114">
        <v>5055.089357797815</v>
      </c>
      <c r="GD168" s="114">
        <v>3244.827419081867</v>
      </c>
      <c r="GE168" s="114">
        <v>5941.0718954242011</v>
      </c>
      <c r="GF168" s="114">
        <v>14653.824647944044</v>
      </c>
      <c r="GG168" s="114">
        <v>10952.566262428756</v>
      </c>
      <c r="GH168" s="114">
        <v>10672.223280117327</v>
      </c>
      <c r="GI168" s="114">
        <v>11252.830539978273</v>
      </c>
      <c r="GJ168" s="114">
        <v>10102.06197233433</v>
      </c>
      <c r="GK168" s="114">
        <v>5496.5159745998608</v>
      </c>
      <c r="GL168" s="114">
        <v>10796.718676489436</v>
      </c>
      <c r="GM168" s="114">
        <v>8146.4721693972397</v>
      </c>
      <c r="GN168" s="114">
        <v>1807.4404559624898</v>
      </c>
      <c r="GO168" s="114">
        <v>2270.0545402687462</v>
      </c>
      <c r="GP168" s="114">
        <v>2478.3803165891777</v>
      </c>
      <c r="GQ168" s="114">
        <v>8276.2730525248699</v>
      </c>
      <c r="GR168" s="114">
        <v>12806.520554963752</v>
      </c>
      <c r="GS168" s="114">
        <v>5216.0836064431196</v>
      </c>
      <c r="GT168" s="115">
        <v>3473.898969827972</v>
      </c>
    </row>
    <row r="169" spans="2:202" x14ac:dyDescent="0.6">
      <c r="B169" s="106" t="s">
        <v>155</v>
      </c>
      <c r="C169" s="63" t="s">
        <v>264</v>
      </c>
      <c r="D169" s="113">
        <v>6274.9002579068847</v>
      </c>
      <c r="E169" s="114">
        <v>710.82995267501201</v>
      </c>
      <c r="F169" s="114">
        <v>459.61782586156761</v>
      </c>
      <c r="G169" s="114">
        <v>5682.6944046725757</v>
      </c>
      <c r="H169" s="114">
        <v>6123.9875172738448</v>
      </c>
      <c r="I169" s="114">
        <v>10284.510144655345</v>
      </c>
      <c r="J169" s="114">
        <v>4007.051169167532</v>
      </c>
      <c r="K169" s="114">
        <v>17649.069231627316</v>
      </c>
      <c r="L169" s="114">
        <v>1788.618496243336</v>
      </c>
      <c r="M169" s="114">
        <v>4427.3493691309122</v>
      </c>
      <c r="N169" s="114">
        <v>6911.472419400242</v>
      </c>
      <c r="O169" s="114">
        <v>5160.1344170663488</v>
      </c>
      <c r="P169" s="114">
        <v>8649.1505791413329</v>
      </c>
      <c r="Q169" s="114">
        <v>6195.4588918195568</v>
      </c>
      <c r="R169" s="114">
        <v>2731.3307335707491</v>
      </c>
      <c r="S169" s="114">
        <v>1286.5887818199508</v>
      </c>
      <c r="T169" s="114">
        <v>8356.2144258841781</v>
      </c>
      <c r="U169" s="114">
        <v>3827.9186179991025</v>
      </c>
      <c r="V169" s="114">
        <v>8317.7411613150998</v>
      </c>
      <c r="W169" s="114">
        <v>9154.2266890645242</v>
      </c>
      <c r="X169" s="114">
        <v>1828.0854850871779</v>
      </c>
      <c r="Y169" s="114">
        <v>7796.4718376037172</v>
      </c>
      <c r="Z169" s="114">
        <v>8385.3669449241861</v>
      </c>
      <c r="AA169" s="114">
        <v>8138.0246662476966</v>
      </c>
      <c r="AB169" s="114">
        <v>12026.011707794352</v>
      </c>
      <c r="AC169" s="114">
        <v>2228.7077808486247</v>
      </c>
      <c r="AD169" s="114">
        <v>3131.6747152763628</v>
      </c>
      <c r="AE169" s="114">
        <v>5858.4615069347992</v>
      </c>
      <c r="AF169" s="114">
        <v>3403.9571991419311</v>
      </c>
      <c r="AG169" s="114">
        <v>10669.3872683113</v>
      </c>
      <c r="AH169" s="114">
        <v>4236.2084522006362</v>
      </c>
      <c r="AI169" s="114">
        <v>4348.3967133116612</v>
      </c>
      <c r="AJ169" s="114">
        <v>6062.7589196173858</v>
      </c>
      <c r="AK169" s="114">
        <v>5704.0056714337634</v>
      </c>
      <c r="AL169" s="114">
        <v>4562.2060694852016</v>
      </c>
      <c r="AM169" s="114">
        <v>3594.3714323979434</v>
      </c>
      <c r="AN169" s="114">
        <v>10672.824766317022</v>
      </c>
      <c r="AO169" s="114">
        <v>10253.440451228438</v>
      </c>
      <c r="AP169" s="114">
        <v>9239.3373338766069</v>
      </c>
      <c r="AQ169" s="114">
        <v>8050.9069827403982</v>
      </c>
      <c r="AR169" s="114">
        <v>7481.0048852830541</v>
      </c>
      <c r="AS169" s="114">
        <v>5313.9744261388623</v>
      </c>
      <c r="AT169" s="114">
        <v>5281.9449056448775</v>
      </c>
      <c r="AU169" s="114">
        <v>8525.6102436495567</v>
      </c>
      <c r="AV169" s="114">
        <v>3881.6507069440336</v>
      </c>
      <c r="AW169" s="114">
        <v>1652.0309988615475</v>
      </c>
      <c r="AX169" s="114">
        <v>7454.9002871313414</v>
      </c>
      <c r="AY169" s="114">
        <v>3256.5147826638458</v>
      </c>
      <c r="AZ169" s="114">
        <v>1755.2900266322497</v>
      </c>
      <c r="BA169" s="114">
        <v>2046.5231203064031</v>
      </c>
      <c r="BB169" s="114">
        <v>5518.3092912593902</v>
      </c>
      <c r="BC169" s="114">
        <v>6205.3509173263155</v>
      </c>
      <c r="BD169" s="114">
        <v>6701.1257073698544</v>
      </c>
      <c r="BE169" s="114">
        <v>5294.5894606535039</v>
      </c>
      <c r="BF169" s="114">
        <v>8743.3270910804331</v>
      </c>
      <c r="BG169" s="114">
        <v>3320.2629524271983</v>
      </c>
      <c r="BH169" s="114">
        <v>8685.3132428673543</v>
      </c>
      <c r="BI169" s="114">
        <v>4264.4705414566861</v>
      </c>
      <c r="BJ169" s="114">
        <v>4916.9801459302007</v>
      </c>
      <c r="BK169" s="114">
        <v>2870.6479478402548</v>
      </c>
      <c r="BL169" s="114">
        <v>8203.8744299562713</v>
      </c>
      <c r="BM169" s="114">
        <v>5392.9546361281191</v>
      </c>
      <c r="BN169" s="114">
        <v>2955.4842477097591</v>
      </c>
      <c r="BO169" s="114">
        <v>1020.6714861173965</v>
      </c>
      <c r="BP169" s="114">
        <v>4630.0791415584545</v>
      </c>
      <c r="BQ169" s="114">
        <v>3254.3398281508253</v>
      </c>
      <c r="BR169" s="114">
        <v>3983.4264088591053</v>
      </c>
      <c r="BS169" s="114">
        <v>1846.7855009220059</v>
      </c>
      <c r="BT169" s="114">
        <v>1480.6512443312668</v>
      </c>
      <c r="BU169" s="114">
        <v>1447.6707220154963</v>
      </c>
      <c r="BV169" s="114">
        <v>3895.4850975789059</v>
      </c>
      <c r="BW169" s="114">
        <v>2337.9636239938445</v>
      </c>
      <c r="BX169" s="114">
        <v>6469.8180943667912</v>
      </c>
      <c r="BY169" s="114">
        <v>8709.4907557526658</v>
      </c>
      <c r="BZ169" s="114">
        <v>3582.8806678359892</v>
      </c>
      <c r="CA169" s="114">
        <v>3412.3378213927244</v>
      </c>
      <c r="CB169" s="114">
        <v>6585.4904907157015</v>
      </c>
      <c r="CC169" s="114">
        <v>6916.0067834876172</v>
      </c>
      <c r="CD169" s="114">
        <v>8475.0160344833275</v>
      </c>
      <c r="CE169" s="114">
        <v>1959.9099666562154</v>
      </c>
      <c r="CF169" s="114">
        <v>2901.5172989728221</v>
      </c>
      <c r="CG169" s="114">
        <v>7513.305286237196</v>
      </c>
      <c r="CH169" s="114">
        <v>7267.5980865398042</v>
      </c>
      <c r="CI169" s="114">
        <v>12124.824355520763</v>
      </c>
      <c r="CJ169" s="114">
        <v>4760.9480955910567</v>
      </c>
      <c r="CK169" s="114">
        <v>4274.965519332045</v>
      </c>
      <c r="CL169" s="114">
        <v>1455.4308125227492</v>
      </c>
      <c r="CM169" s="114">
        <v>2983.4657713886868</v>
      </c>
      <c r="CN169" s="114">
        <v>1328.884211825814</v>
      </c>
      <c r="CO169" s="114">
        <v>1180.2850065709922</v>
      </c>
      <c r="CP169" s="114">
        <v>7307.1210685814758</v>
      </c>
      <c r="CQ169" s="114">
        <v>10771.25536241693</v>
      </c>
      <c r="CR169" s="114">
        <v>3608.4603346373083</v>
      </c>
      <c r="CS169" s="114">
        <v>5674.3242997701</v>
      </c>
      <c r="CT169" s="114">
        <v>6128.3327777815666</v>
      </c>
      <c r="CU169" s="114">
        <v>4784.7163511803747</v>
      </c>
      <c r="CV169" s="114">
        <v>6261.906020589362</v>
      </c>
      <c r="CW169" s="114">
        <v>10022.470574432436</v>
      </c>
      <c r="CX169" s="114">
        <v>2689.0276407665547</v>
      </c>
      <c r="CY169" s="114">
        <v>3498.0465177325573</v>
      </c>
      <c r="CZ169" s="114">
        <v>8347.2380301778612</v>
      </c>
      <c r="DA169" s="114">
        <v>3852.624403371984</v>
      </c>
      <c r="DB169" s="114">
        <v>1708.2646813541598</v>
      </c>
      <c r="DC169" s="114">
        <v>1274.1645936670384</v>
      </c>
      <c r="DD169" s="114">
        <v>2640.1485946729804</v>
      </c>
      <c r="DE169" s="114">
        <v>1260.7062276888646</v>
      </c>
      <c r="DF169" s="114">
        <v>8383.4862021886893</v>
      </c>
      <c r="DG169" s="114">
        <v>7135.601039202742</v>
      </c>
      <c r="DH169" s="114">
        <v>11034.498239783497</v>
      </c>
      <c r="DI169" s="114">
        <v>8595.4275086922116</v>
      </c>
      <c r="DJ169" s="114">
        <v>3129.3227553532702</v>
      </c>
      <c r="DK169" s="114">
        <v>1640.6381431879913</v>
      </c>
      <c r="DL169" s="114">
        <v>9188.712542115938</v>
      </c>
      <c r="DM169" s="114">
        <v>9207.7638431173327</v>
      </c>
      <c r="DN169" s="114">
        <v>9102.8374922273069</v>
      </c>
      <c r="DO169" s="114">
        <v>2685.7712862695544</v>
      </c>
      <c r="DP169" s="114">
        <v>977.83759028367558</v>
      </c>
      <c r="DQ169" s="114">
        <v>8056.0378853869679</v>
      </c>
      <c r="DR169" s="114">
        <v>1905.8850562862963</v>
      </c>
      <c r="DS169" s="114">
        <v>754.91401717148767</v>
      </c>
      <c r="DT169" s="114">
        <v>8202.2240682408901</v>
      </c>
      <c r="DU169" s="114">
        <v>9623.3599200910976</v>
      </c>
      <c r="DV169" s="114">
        <v>7277.3379282995475</v>
      </c>
      <c r="DW169" s="114">
        <v>7973.942881884178</v>
      </c>
      <c r="DX169" s="114">
        <v>1464.8929459666447</v>
      </c>
      <c r="DY169" s="114">
        <v>19608.190453094263</v>
      </c>
      <c r="DZ169" s="114">
        <v>19805.917832967712</v>
      </c>
      <c r="EA169" s="114">
        <v>8534.2667667731639</v>
      </c>
      <c r="EB169" s="114">
        <v>3047.8875012777471</v>
      </c>
      <c r="EC169" s="114">
        <v>3629.2677877400592</v>
      </c>
      <c r="ED169" s="114">
        <v>9774.1992190112833</v>
      </c>
      <c r="EE169" s="114">
        <v>2071.555362349507</v>
      </c>
      <c r="EF169" s="114">
        <v>2354.6811309287204</v>
      </c>
      <c r="EG169" s="114">
        <v>6008.6109875119973</v>
      </c>
      <c r="EH169" s="114">
        <v>6650.9800103537355</v>
      </c>
      <c r="EI169" s="114">
        <v>6643.0744523406456</v>
      </c>
      <c r="EJ169" s="114">
        <v>8159.6520383915695</v>
      </c>
      <c r="EK169" s="114">
        <v>9153.6295388196104</v>
      </c>
      <c r="EL169" s="114">
        <v>9516.0345925512793</v>
      </c>
      <c r="EM169" s="114">
        <v>11666.780822860084</v>
      </c>
      <c r="EN169" s="114">
        <v>2281.4502815501678</v>
      </c>
      <c r="EO169" s="114">
        <v>526.67879486896993</v>
      </c>
      <c r="EP169" s="114">
        <v>5305.4874289602976</v>
      </c>
      <c r="EQ169" s="114">
        <v>2458.7130509074923</v>
      </c>
      <c r="ER169" s="114">
        <v>3437.6817418940577</v>
      </c>
      <c r="ES169" s="114">
        <v>5760.3782499832541</v>
      </c>
      <c r="ET169" s="114">
        <v>6170.3321039923267</v>
      </c>
      <c r="EU169" s="114">
        <v>6232.8255028293634</v>
      </c>
      <c r="EV169" s="114">
        <v>6341.3347125303908</v>
      </c>
      <c r="EW169" s="114">
        <v>1351.8287527283719</v>
      </c>
      <c r="EX169" s="114">
        <v>4574.3006610032298</v>
      </c>
      <c r="EY169" s="114">
        <v>4932.534268730381</v>
      </c>
      <c r="EZ169" s="114">
        <v>3179.7701343559661</v>
      </c>
      <c r="FA169" s="114">
        <v>2005.1536871719009</v>
      </c>
      <c r="FB169" s="114">
        <v>3681.1382856366527</v>
      </c>
      <c r="FC169" s="114">
        <v>11363.782212556031</v>
      </c>
      <c r="FD169" s="114">
        <v>1846.6116200044439</v>
      </c>
      <c r="FE169" s="114">
        <v>1575.1320287440956</v>
      </c>
      <c r="FF169" s="114">
        <v>6477.2351899026435</v>
      </c>
      <c r="FG169" s="114">
        <v>8001.6680820135753</v>
      </c>
      <c r="FH169" s="114">
        <v>9995.8539711058456</v>
      </c>
      <c r="FI169" s="114">
        <v>5266.3900551598826</v>
      </c>
      <c r="FJ169" s="114" t="s">
        <v>237</v>
      </c>
      <c r="FK169" s="114">
        <v>489.65952143361665</v>
      </c>
      <c r="FL169" s="114">
        <v>8943.8988951900683</v>
      </c>
      <c r="FM169" s="114">
        <v>4431.7089867660634</v>
      </c>
      <c r="FN169" s="114">
        <v>6423.8303172154883</v>
      </c>
      <c r="FO169" s="114">
        <v>2587.4158457721742</v>
      </c>
      <c r="FP169" s="114">
        <v>1114.1216873911196</v>
      </c>
      <c r="FQ169" s="114">
        <v>3582.2353580626645</v>
      </c>
      <c r="FR169" s="114">
        <v>10795.739738773418</v>
      </c>
      <c r="FS169" s="114">
        <v>6015.1966298388188</v>
      </c>
      <c r="FT169" s="114">
        <v>6817.9609469147008</v>
      </c>
      <c r="FU169" s="114">
        <v>10174.150013367798</v>
      </c>
      <c r="FV169" s="114">
        <v>13839.807498325838</v>
      </c>
      <c r="FW169" s="114">
        <v>3826.669399304787</v>
      </c>
      <c r="FX169" s="114">
        <v>6550.6275823176466</v>
      </c>
      <c r="FY169" s="114">
        <v>1251.8747036264681</v>
      </c>
      <c r="FZ169" s="114">
        <v>3049.336017463962</v>
      </c>
      <c r="GA169" s="114">
        <v>5157.5554955524549</v>
      </c>
      <c r="GB169" s="114">
        <v>5733.4016901964969</v>
      </c>
      <c r="GC169" s="114">
        <v>2835.4448936088838</v>
      </c>
      <c r="GD169" s="114">
        <v>5601.5087255704329</v>
      </c>
      <c r="GE169" s="114">
        <v>1262.8102561593284</v>
      </c>
      <c r="GF169" s="114">
        <v>9391.0506993638592</v>
      </c>
      <c r="GG169" s="114">
        <v>5795.3384905934527</v>
      </c>
      <c r="GH169" s="114">
        <v>5497.9940773053531</v>
      </c>
      <c r="GI169" s="114">
        <v>6114.0460208937293</v>
      </c>
      <c r="GJ169" s="114">
        <v>9908.4882593613347</v>
      </c>
      <c r="GK169" s="114">
        <v>5925.2793674873128</v>
      </c>
      <c r="GL169" s="114">
        <v>6996.0812531299689</v>
      </c>
      <c r="GM169" s="114">
        <v>10002.688166091992</v>
      </c>
      <c r="GN169" s="114">
        <v>5354.7045522458502</v>
      </c>
      <c r="GO169" s="114">
        <v>6985.5978791948446</v>
      </c>
      <c r="GP169" s="114">
        <v>7338.4643362615152</v>
      </c>
      <c r="GQ169" s="114">
        <v>10876.964231589387</v>
      </c>
      <c r="GR169" s="114">
        <v>17549.699591035092</v>
      </c>
      <c r="GS169" s="114">
        <v>1244.0766754413851</v>
      </c>
      <c r="GT169" s="115">
        <v>8074.7957247750437</v>
      </c>
    </row>
    <row r="170" spans="2:202" x14ac:dyDescent="0.6">
      <c r="B170" s="106" t="s">
        <v>155</v>
      </c>
      <c r="C170" s="63" t="s">
        <v>298</v>
      </c>
      <c r="D170" s="113">
        <v>5785.6002328840505</v>
      </c>
      <c r="E170" s="114">
        <v>557.62970668155151</v>
      </c>
      <c r="F170" s="114">
        <v>124.79334890318211</v>
      </c>
      <c r="G170" s="114">
        <v>5659.238140732753</v>
      </c>
      <c r="H170" s="114">
        <v>6606.812139923165</v>
      </c>
      <c r="I170" s="114">
        <v>10704.195102571834</v>
      </c>
      <c r="J170" s="114">
        <v>3517.4826017229898</v>
      </c>
      <c r="K170" s="114">
        <v>17162.87312590743</v>
      </c>
      <c r="L170" s="114">
        <v>1335.100312745521</v>
      </c>
      <c r="M170" s="114">
        <v>3937.8002067390657</v>
      </c>
      <c r="N170" s="114">
        <v>7349.1134767755211</v>
      </c>
      <c r="O170" s="114">
        <v>4694.4887184315012</v>
      </c>
      <c r="P170" s="114">
        <v>8160.5374721220824</v>
      </c>
      <c r="Q170" s="114">
        <v>6683.9209603032787</v>
      </c>
      <c r="R170" s="114">
        <v>2301.733857444488</v>
      </c>
      <c r="S170" s="114">
        <v>1026.6798324729489</v>
      </c>
      <c r="T170" s="114">
        <v>8793.8370975457165</v>
      </c>
      <c r="U170" s="114">
        <v>3909.1452022803792</v>
      </c>
      <c r="V170" s="114">
        <v>7831.1823906968548</v>
      </c>
      <c r="W170" s="114">
        <v>9633.0720650605435</v>
      </c>
      <c r="X170" s="114">
        <v>1338.7679947273305</v>
      </c>
      <c r="Y170" s="114">
        <v>7707.6345034188125</v>
      </c>
      <c r="Z170" s="114">
        <v>8798.136651296707</v>
      </c>
      <c r="AA170" s="114">
        <v>8539.4427377507345</v>
      </c>
      <c r="AB170" s="114">
        <v>11538.937388157305</v>
      </c>
      <c r="AC170" s="114">
        <v>1739.3232584041277</v>
      </c>
      <c r="AD170" s="114">
        <v>3268.327900952072</v>
      </c>
      <c r="AE170" s="114">
        <v>5657.0964585666943</v>
      </c>
      <c r="AF170" s="114">
        <v>3822.8000479061493</v>
      </c>
      <c r="AG170" s="114">
        <v>10180.659727034074</v>
      </c>
      <c r="AH170" s="114">
        <v>4219.0129371213952</v>
      </c>
      <c r="AI170" s="114">
        <v>4311.0959166921539</v>
      </c>
      <c r="AJ170" s="114">
        <v>6401.5915101033697</v>
      </c>
      <c r="AK170" s="114">
        <v>6041.1666778182043</v>
      </c>
      <c r="AL170" s="114">
        <v>4434.5547339155892</v>
      </c>
      <c r="AM170" s="114">
        <v>3473.3008810693523</v>
      </c>
      <c r="AN170" s="114">
        <v>11124.721439174022</v>
      </c>
      <c r="AO170" s="114">
        <v>9823.7257064125515</v>
      </c>
      <c r="AP170" s="114">
        <v>8819.3804772946642</v>
      </c>
      <c r="AQ170" s="114">
        <v>8536.689576279814</v>
      </c>
      <c r="AR170" s="114">
        <v>7214.346753861586</v>
      </c>
      <c r="AS170" s="114">
        <v>5255.1118346799103</v>
      </c>
      <c r="AT170" s="114">
        <v>5224.448190666305</v>
      </c>
      <c r="AU170" s="114">
        <v>8991.4963279968651</v>
      </c>
      <c r="AV170" s="114">
        <v>4054.4852241435051</v>
      </c>
      <c r="AW170" s="114">
        <v>1173.2463000333157</v>
      </c>
      <c r="AX170" s="114">
        <v>7887.8719546571965</v>
      </c>
      <c r="AY170" s="114">
        <v>2786.1745448877114</v>
      </c>
      <c r="AZ170" s="114">
        <v>1339.5600348964706</v>
      </c>
      <c r="BA170" s="114">
        <v>1726.5634119129816</v>
      </c>
      <c r="BB170" s="114">
        <v>5148.4350274326716</v>
      </c>
      <c r="BC170" s="114">
        <v>6690.9551947687423</v>
      </c>
      <c r="BD170" s="114">
        <v>7172.1096076429103</v>
      </c>
      <c r="BE170" s="114">
        <v>5237.1169305925941</v>
      </c>
      <c r="BF170" s="114">
        <v>9229.6306478694514</v>
      </c>
      <c r="BG170" s="114">
        <v>2886.8935888146452</v>
      </c>
      <c r="BH170" s="114">
        <v>9132.0098834219643</v>
      </c>
      <c r="BI170" s="114">
        <v>4265.2351981582979</v>
      </c>
      <c r="BJ170" s="114">
        <v>4544.4893315457357</v>
      </c>
      <c r="BK170" s="114">
        <v>2513.0032793547221</v>
      </c>
      <c r="BL170" s="114">
        <v>8080.6460042118015</v>
      </c>
      <c r="BM170" s="114">
        <v>5056.2830654340814</v>
      </c>
      <c r="BN170" s="114">
        <v>2605.658096462897</v>
      </c>
      <c r="BO170" s="114">
        <v>791.14353943043238</v>
      </c>
      <c r="BP170" s="114">
        <v>4629.2492114461857</v>
      </c>
      <c r="BQ170" s="114">
        <v>3605.9896868073974</v>
      </c>
      <c r="BR170" s="114">
        <v>3493.8888870964056</v>
      </c>
      <c r="BS170" s="114">
        <v>1473.804830500254</v>
      </c>
      <c r="BT170" s="114">
        <v>1054.5371313316891</v>
      </c>
      <c r="BU170" s="114">
        <v>1092.8298436840557</v>
      </c>
      <c r="BV170" s="114">
        <v>4013.0616990281624</v>
      </c>
      <c r="BW170" s="114">
        <v>1870.0556602252695</v>
      </c>
      <c r="BX170" s="114">
        <v>6957.6668001097623</v>
      </c>
      <c r="BY170" s="114">
        <v>9150.8346411736511</v>
      </c>
      <c r="BZ170" s="114">
        <v>3886.0588237879297</v>
      </c>
      <c r="CA170" s="114">
        <v>3745.8343538423951</v>
      </c>
      <c r="CB170" s="114">
        <v>7074.6670716697017</v>
      </c>
      <c r="CC170" s="114">
        <v>7382.6405273876517</v>
      </c>
      <c r="CD170" s="114">
        <v>8924.2290955082881</v>
      </c>
      <c r="CE170" s="114">
        <v>1489.9951139457705</v>
      </c>
      <c r="CF170" s="114">
        <v>2950.0334803549017</v>
      </c>
      <c r="CG170" s="114">
        <v>7031.7017963420749</v>
      </c>
      <c r="CH170" s="114">
        <v>6777.9574156141498</v>
      </c>
      <c r="CI170" s="114">
        <v>11640.312809478788</v>
      </c>
      <c r="CJ170" s="114">
        <v>4273.3099497756248</v>
      </c>
      <c r="CK170" s="114">
        <v>3796.660920249325</v>
      </c>
      <c r="CL170" s="114">
        <v>1454.6978768544877</v>
      </c>
      <c r="CM170" s="114">
        <v>3468.7084954140237</v>
      </c>
      <c r="CN170" s="114">
        <v>842.69257929971093</v>
      </c>
      <c r="CO170" s="114">
        <v>725.35038856373239</v>
      </c>
      <c r="CP170" s="114">
        <v>7767.2254379142669</v>
      </c>
      <c r="CQ170" s="114">
        <v>10417.512933802365</v>
      </c>
      <c r="CR170" s="114">
        <v>3151.6347460820984</v>
      </c>
      <c r="CS170" s="114">
        <v>5222.8156716178764</v>
      </c>
      <c r="CT170" s="114">
        <v>5858.8360329173011</v>
      </c>
      <c r="CU170" s="114">
        <v>4312.9656370066141</v>
      </c>
      <c r="CV170" s="114">
        <v>5786.0223973820057</v>
      </c>
      <c r="CW170" s="114">
        <v>9536.1353233980954</v>
      </c>
      <c r="CX170" s="114">
        <v>2302.7014285046566</v>
      </c>
      <c r="CY170" s="114">
        <v>3031.6573957234659</v>
      </c>
      <c r="CZ170" s="114">
        <v>8260.8076345281879</v>
      </c>
      <c r="DA170" s="114">
        <v>4110.2897744721322</v>
      </c>
      <c r="DB170" s="114">
        <v>1382.063904001905</v>
      </c>
      <c r="DC170" s="114">
        <v>850.33436594234422</v>
      </c>
      <c r="DD170" s="114">
        <v>2225.5559219814568</v>
      </c>
      <c r="DE170" s="114">
        <v>938.76371539504544</v>
      </c>
      <c r="DF170" s="114">
        <v>8123.4077176103556</v>
      </c>
      <c r="DG170" s="114">
        <v>6947.4406552162036</v>
      </c>
      <c r="DH170" s="114">
        <v>10546.458094804535</v>
      </c>
      <c r="DI170" s="114">
        <v>8143.1848798340361</v>
      </c>
      <c r="DJ170" s="114">
        <v>3365.2498559831356</v>
      </c>
      <c r="DK170" s="114">
        <v>1238.7989312412888</v>
      </c>
      <c r="DL170" s="114">
        <v>8882.5849403221491</v>
      </c>
      <c r="DM170" s="114">
        <v>8900.9495588073514</v>
      </c>
      <c r="DN170" s="114">
        <v>9504.3210713225108</v>
      </c>
      <c r="DO170" s="114">
        <v>2205.5773070572623</v>
      </c>
      <c r="DP170" s="114">
        <v>503.27726565355795</v>
      </c>
      <c r="DQ170" s="114">
        <v>7642.7060594238119</v>
      </c>
      <c r="DR170" s="114">
        <v>1416.6142802163822</v>
      </c>
      <c r="DS170" s="114">
        <v>1138.7044963481753</v>
      </c>
      <c r="DT170" s="114">
        <v>8067.9645025718355</v>
      </c>
      <c r="DU170" s="114">
        <v>9133.9820945140818</v>
      </c>
      <c r="DV170" s="114">
        <v>7251.0222473504618</v>
      </c>
      <c r="DW170" s="114">
        <v>7485.5798669965598</v>
      </c>
      <c r="DX170" s="114">
        <v>1219.0985965667219</v>
      </c>
      <c r="DY170" s="114">
        <v>19202.808580326888</v>
      </c>
      <c r="DZ170" s="114">
        <v>19365.453985091037</v>
      </c>
      <c r="EA170" s="114">
        <v>8990.5060009029567</v>
      </c>
      <c r="EB170" s="114">
        <v>3126.2758188066341</v>
      </c>
      <c r="EC170" s="114">
        <v>3630.9246328335275</v>
      </c>
      <c r="ED170" s="114">
        <v>9378.2190256841513</v>
      </c>
      <c r="EE170" s="114">
        <v>1582.9141789866073</v>
      </c>
      <c r="EF170" s="114">
        <v>2099.2699018483972</v>
      </c>
      <c r="EG170" s="114">
        <v>5537.0239557569039</v>
      </c>
      <c r="EH170" s="114">
        <v>6166.7936137122224</v>
      </c>
      <c r="EI170" s="114">
        <v>6154.2087640399532</v>
      </c>
      <c r="EJ170" s="114">
        <v>8633.9482622881696</v>
      </c>
      <c r="EK170" s="114">
        <v>9595.2772339755284</v>
      </c>
      <c r="EL170" s="114">
        <v>10005.01049043786</v>
      </c>
      <c r="EM170" s="114">
        <v>11199.351293887001</v>
      </c>
      <c r="EN170" s="114">
        <v>1856.8802342855067</v>
      </c>
      <c r="EO170" s="114">
        <v>1015.6708607764975</v>
      </c>
      <c r="EP170" s="114">
        <v>4840.892515221437</v>
      </c>
      <c r="EQ170" s="114">
        <v>1970.1751822226829</v>
      </c>
      <c r="ER170" s="114">
        <v>3009.7886296633233</v>
      </c>
      <c r="ES170" s="114">
        <v>5543.9965118863174</v>
      </c>
      <c r="ET170" s="114">
        <v>6652.4890767491252</v>
      </c>
      <c r="EU170" s="114">
        <v>6719.9552738051116</v>
      </c>
      <c r="EV170" s="114">
        <v>6828.8381172000345</v>
      </c>
      <c r="EW170" s="114">
        <v>864.16318701530065</v>
      </c>
      <c r="EX170" s="114">
        <v>4610.2690655742044</v>
      </c>
      <c r="EY170" s="114">
        <v>4481.504952057483</v>
      </c>
      <c r="EZ170" s="114">
        <v>3545.4565463611675</v>
      </c>
      <c r="FA170" s="114">
        <v>1517.6725462239976</v>
      </c>
      <c r="FB170" s="114">
        <v>3977.1299521489232</v>
      </c>
      <c r="FC170" s="114">
        <v>10875.524691900751</v>
      </c>
      <c r="FD170" s="114">
        <v>1389.8130705886144</v>
      </c>
      <c r="FE170" s="114">
        <v>1104.0355001943506</v>
      </c>
      <c r="FF170" s="114">
        <v>6135.7342757607985</v>
      </c>
      <c r="FG170" s="114">
        <v>7897.0139554376756</v>
      </c>
      <c r="FH170" s="114">
        <v>9598.1966014156915</v>
      </c>
      <c r="FI170" s="114">
        <v>5003.1569260703172</v>
      </c>
      <c r="FJ170" s="114">
        <v>489.65952143361665</v>
      </c>
      <c r="FK170" s="114" t="s">
        <v>237</v>
      </c>
      <c r="FL170" s="114">
        <v>8472.9041017176678</v>
      </c>
      <c r="FM170" s="114">
        <v>4098.1644867129462</v>
      </c>
      <c r="FN170" s="114">
        <v>6911.0124037911673</v>
      </c>
      <c r="FO170" s="114">
        <v>2265.6446577379875</v>
      </c>
      <c r="FP170" s="114">
        <v>706.30961025419549</v>
      </c>
      <c r="FQ170" s="114">
        <v>3115.3153408004018</v>
      </c>
      <c r="FR170" s="114">
        <v>10351.048467733686</v>
      </c>
      <c r="FS170" s="114">
        <v>5528.5864331349567</v>
      </c>
      <c r="FT170" s="114">
        <v>6555.7583901933067</v>
      </c>
      <c r="FU170" s="114">
        <v>9684.893683065362</v>
      </c>
      <c r="FV170" s="114">
        <v>13351.196134803824</v>
      </c>
      <c r="FW170" s="114">
        <v>3925.8230432732385</v>
      </c>
      <c r="FX170" s="114">
        <v>7039.3581688357826</v>
      </c>
      <c r="FY170" s="114">
        <v>874.67713788714639</v>
      </c>
      <c r="FZ170" s="114">
        <v>2563.212834582866</v>
      </c>
      <c r="GA170" s="114">
        <v>4668.0027532117247</v>
      </c>
      <c r="GB170" s="114">
        <v>5489.1415039839349</v>
      </c>
      <c r="GC170" s="114">
        <v>2373.517546066093</v>
      </c>
      <c r="GD170" s="114">
        <v>5134.2999223225979</v>
      </c>
      <c r="GE170" s="114">
        <v>1122.0566916263165</v>
      </c>
      <c r="GF170" s="114">
        <v>9653.9940388256946</v>
      </c>
      <c r="GG170" s="114">
        <v>6166.1151345649669</v>
      </c>
      <c r="GH170" s="114">
        <v>5864.7373993699402</v>
      </c>
      <c r="GI170" s="114">
        <v>6488.5233921644776</v>
      </c>
      <c r="GJ170" s="114">
        <v>10322.363759080215</v>
      </c>
      <c r="GK170" s="114">
        <v>5443.0259746856073</v>
      </c>
      <c r="GL170" s="114">
        <v>7482.2346379619994</v>
      </c>
      <c r="GM170" s="114">
        <v>9522.4899895368872</v>
      </c>
      <c r="GN170" s="114">
        <v>4953.1474039146851</v>
      </c>
      <c r="GO170" s="114">
        <v>6844.2976589659447</v>
      </c>
      <c r="GP170" s="114">
        <v>7182.8959236047976</v>
      </c>
      <c r="GQ170" s="114">
        <v>10388.882565550999</v>
      </c>
      <c r="GR170" s="114">
        <v>17069.677409630771</v>
      </c>
      <c r="GS170" s="114">
        <v>836.07163185099421</v>
      </c>
      <c r="GT170" s="115">
        <v>7973.3275981162869</v>
      </c>
    </row>
    <row r="171" spans="2:202" x14ac:dyDescent="0.6">
      <c r="B171" s="106" t="s">
        <v>156</v>
      </c>
      <c r="C171" s="63" t="s">
        <v>550</v>
      </c>
      <c r="D171" s="113">
        <v>3235.4753825933026</v>
      </c>
      <c r="E171" s="114">
        <v>8369.6133377095994</v>
      </c>
      <c r="F171" s="114">
        <v>8548.4326889510467</v>
      </c>
      <c r="G171" s="114">
        <v>7590.5304842754986</v>
      </c>
      <c r="H171" s="114">
        <v>15028.733712256435</v>
      </c>
      <c r="I171" s="114">
        <v>14797.859177369568</v>
      </c>
      <c r="J171" s="114">
        <v>5107.6872980616554</v>
      </c>
      <c r="K171" s="114">
        <v>8729.5478373690403</v>
      </c>
      <c r="L171" s="114">
        <v>7496.3722290236256</v>
      </c>
      <c r="M171" s="114">
        <v>4777.6090731112436</v>
      </c>
      <c r="N171" s="114">
        <v>15678.451322697072</v>
      </c>
      <c r="O171" s="114">
        <v>3786.8824716036424</v>
      </c>
      <c r="P171" s="114">
        <v>2145.2148669020303</v>
      </c>
      <c r="Q171" s="114">
        <v>14986.975697243974</v>
      </c>
      <c r="R171" s="114">
        <v>6992.5690992235541</v>
      </c>
      <c r="S171" s="114">
        <v>8400.8227719442366</v>
      </c>
      <c r="T171" s="114">
        <v>17035.400095284389</v>
      </c>
      <c r="U171" s="114">
        <v>8544.2411904096116</v>
      </c>
      <c r="V171" s="114">
        <v>2482.1173852905904</v>
      </c>
      <c r="W171" s="114">
        <v>16381.674931282889</v>
      </c>
      <c r="X171" s="114">
        <v>7208.0244077506068</v>
      </c>
      <c r="Y171" s="114">
        <v>6835.8173994020817</v>
      </c>
      <c r="Z171" s="114">
        <v>14023.964191306617</v>
      </c>
      <c r="AA171" s="114">
        <v>13682.960619701464</v>
      </c>
      <c r="AB171" s="114">
        <v>3896.0561754792079</v>
      </c>
      <c r="AC171" s="114">
        <v>6789.0351003830574</v>
      </c>
      <c r="AD171" s="114">
        <v>8890.0773458523709</v>
      </c>
      <c r="AE171" s="114">
        <v>5735.5693038854515</v>
      </c>
      <c r="AF171" s="114">
        <v>11210.535711853268</v>
      </c>
      <c r="AG171" s="114">
        <v>2747.7242668936738</v>
      </c>
      <c r="AH171" s="114">
        <v>7765.8658853218531</v>
      </c>
      <c r="AI171" s="114">
        <v>7590.6141823257321</v>
      </c>
      <c r="AJ171" s="114">
        <v>14011.116439627151</v>
      </c>
      <c r="AK171" s="114">
        <v>13709.64472438231</v>
      </c>
      <c r="AL171" s="114">
        <v>6809.7988580716083</v>
      </c>
      <c r="AM171" s="114">
        <v>7166.3231549943757</v>
      </c>
      <c r="AN171" s="114">
        <v>15779.600070599656</v>
      </c>
      <c r="AO171" s="114">
        <v>5090.89411003029</v>
      </c>
      <c r="AP171" s="114">
        <v>5126.2827492453589</v>
      </c>
      <c r="AQ171" s="114">
        <v>16855.082452553601</v>
      </c>
      <c r="AR171" s="114">
        <v>4542.8492731940596</v>
      </c>
      <c r="AS171" s="114">
        <v>7271.965403359929</v>
      </c>
      <c r="AT171" s="114">
        <v>7288.7362854386074</v>
      </c>
      <c r="AU171" s="114">
        <v>17456.694276098086</v>
      </c>
      <c r="AV171" s="114">
        <v>9263.5551320908398</v>
      </c>
      <c r="AW171" s="114">
        <v>7469.1916149362087</v>
      </c>
      <c r="AX171" s="114">
        <v>16151.267386149149</v>
      </c>
      <c r="AY171" s="114">
        <v>5687.7241893891278</v>
      </c>
      <c r="AZ171" s="114">
        <v>7692.9246746775652</v>
      </c>
      <c r="BA171" s="114">
        <v>7967.5359903368299</v>
      </c>
      <c r="BB171" s="114">
        <v>4158.9658731052914</v>
      </c>
      <c r="BC171" s="114">
        <v>15073.058481799419</v>
      </c>
      <c r="BD171" s="114">
        <v>15644.762115375479</v>
      </c>
      <c r="BE171" s="114">
        <v>7287.4832117500173</v>
      </c>
      <c r="BF171" s="114">
        <v>17483.622230187728</v>
      </c>
      <c r="BG171" s="114">
        <v>5686.4138002930413</v>
      </c>
      <c r="BH171" s="114">
        <v>17447.069809670538</v>
      </c>
      <c r="BI171" s="114">
        <v>7905.7338341054283</v>
      </c>
      <c r="BJ171" s="114">
        <v>4592.9493972591763</v>
      </c>
      <c r="BK171" s="114">
        <v>7439.7263964351241</v>
      </c>
      <c r="BL171" s="114">
        <v>6421.793264330051</v>
      </c>
      <c r="BM171" s="114">
        <v>4567.1457741090771</v>
      </c>
      <c r="BN171" s="114">
        <v>7460.6553334889195</v>
      </c>
      <c r="BO171" s="114">
        <v>8523.1374463348966</v>
      </c>
      <c r="BP171" s="114">
        <v>7863.3335730200697</v>
      </c>
      <c r="BQ171" s="114">
        <v>10502.849008749648</v>
      </c>
      <c r="BR171" s="114">
        <v>5184.287430626011</v>
      </c>
      <c r="BS171" s="114">
        <v>7821.6294873279903</v>
      </c>
      <c r="BT171" s="114">
        <v>7831.1728985116697</v>
      </c>
      <c r="BU171" s="114">
        <v>8080.2258285632097</v>
      </c>
      <c r="BV171" s="114">
        <v>8827.1781606032946</v>
      </c>
      <c r="BW171" s="114">
        <v>6606.0015840974183</v>
      </c>
      <c r="BX171" s="114">
        <v>15274.664240050519</v>
      </c>
      <c r="BY171" s="114">
        <v>17403.402297724599</v>
      </c>
      <c r="BZ171" s="114">
        <v>10248.415826672897</v>
      </c>
      <c r="CA171" s="114">
        <v>10429.094320414695</v>
      </c>
      <c r="CB171" s="114">
        <v>15120.387913402479</v>
      </c>
      <c r="CC171" s="114">
        <v>15853.042174985649</v>
      </c>
      <c r="CD171" s="114">
        <v>17276.789878443167</v>
      </c>
      <c r="CE171" s="114">
        <v>7267.1076243023726</v>
      </c>
      <c r="CF171" s="114">
        <v>9863.8389990860887</v>
      </c>
      <c r="CG171" s="114">
        <v>1546.9707311323029</v>
      </c>
      <c r="CH171" s="114">
        <v>2401.5738641444436</v>
      </c>
      <c r="CI171" s="114">
        <v>3281.0441932970184</v>
      </c>
      <c r="CJ171" s="114">
        <v>4304.7024061415104</v>
      </c>
      <c r="CK171" s="114">
        <v>4683.2225972578581</v>
      </c>
      <c r="CL171" s="114">
        <v>9125.9097120718179</v>
      </c>
      <c r="CM171" s="114">
        <v>11902.000645389224</v>
      </c>
      <c r="CN171" s="114">
        <v>7637.5888865524885</v>
      </c>
      <c r="CO171" s="114">
        <v>7956.4082177710825</v>
      </c>
      <c r="CP171" s="114">
        <v>16218.400981377898</v>
      </c>
      <c r="CQ171" s="114">
        <v>6855.9157025068389</v>
      </c>
      <c r="CR171" s="114">
        <v>5346.7232098567783</v>
      </c>
      <c r="CS171" s="114">
        <v>4974.9878844376663</v>
      </c>
      <c r="CT171" s="114">
        <v>4896.7771383191566</v>
      </c>
      <c r="CU171" s="114">
        <v>4159.9967120580823</v>
      </c>
      <c r="CV171" s="114">
        <v>3995.3680159122209</v>
      </c>
      <c r="CW171" s="114">
        <v>2706.4844696526329</v>
      </c>
      <c r="CX171" s="114">
        <v>7326.6900449110854</v>
      </c>
      <c r="CY171" s="114">
        <v>5446.3109091125407</v>
      </c>
      <c r="CZ171" s="114">
        <v>6904.0634437469034</v>
      </c>
      <c r="DA171" s="114">
        <v>9961.1710140081977</v>
      </c>
      <c r="DB171" s="114">
        <v>7422.1435533280719</v>
      </c>
      <c r="DC171" s="114">
        <v>7976.607855244195</v>
      </c>
      <c r="DD171" s="114">
        <v>7158.9500491127119</v>
      </c>
      <c r="DE171" s="114">
        <v>8251.2687567849407</v>
      </c>
      <c r="DF171" s="114">
        <v>4556.9802302631815</v>
      </c>
      <c r="DG171" s="114">
        <v>5621.7500946780747</v>
      </c>
      <c r="DH171" s="114">
        <v>2423.1536190076267</v>
      </c>
      <c r="DI171" s="114">
        <v>797.79893947766186</v>
      </c>
      <c r="DJ171" s="114">
        <v>9563.9087498948375</v>
      </c>
      <c r="DK171" s="114">
        <v>7354.978234499159</v>
      </c>
      <c r="DL171" s="114">
        <v>3888.5377445074973</v>
      </c>
      <c r="DM171" s="114">
        <v>3879.939625171357</v>
      </c>
      <c r="DN171" s="114">
        <v>17107.657489669095</v>
      </c>
      <c r="DO171" s="114">
        <v>6566.5522346209718</v>
      </c>
      <c r="DP171" s="114">
        <v>8067.5804206404873</v>
      </c>
      <c r="DQ171" s="114">
        <v>5226.4500317850052</v>
      </c>
      <c r="DR171" s="114">
        <v>7097.510306494517</v>
      </c>
      <c r="DS171" s="114">
        <v>9274.5282463391559</v>
      </c>
      <c r="DT171" s="114">
        <v>6279.1759589429821</v>
      </c>
      <c r="DU171" s="114">
        <v>2068.1866543808501</v>
      </c>
      <c r="DV171" s="114">
        <v>7568.7912174565454</v>
      </c>
      <c r="DW171" s="114">
        <v>2350.5090069037524</v>
      </c>
      <c r="DX171" s="114">
        <v>8401.6039751048029</v>
      </c>
      <c r="DY171" s="114">
        <v>10904.16369095273</v>
      </c>
      <c r="DZ171" s="114">
        <v>10893.045626737656</v>
      </c>
      <c r="EA171" s="114">
        <v>17401.134784124304</v>
      </c>
      <c r="EB171" s="114">
        <v>8516.8948967671131</v>
      </c>
      <c r="EC171" s="114">
        <v>7978.7090051317682</v>
      </c>
      <c r="ED171" s="114">
        <v>5773.9130837338716</v>
      </c>
      <c r="EE171" s="114">
        <v>6926.2872440118008</v>
      </c>
      <c r="EF171" s="114">
        <v>8193.608900837633</v>
      </c>
      <c r="EG171" s="114">
        <v>2935.8936079331238</v>
      </c>
      <c r="EH171" s="114">
        <v>2417.4555337842289</v>
      </c>
      <c r="EI171" s="114">
        <v>3024.9851561522601</v>
      </c>
      <c r="EJ171" s="114">
        <v>17100.488527824284</v>
      </c>
      <c r="EK171" s="114">
        <v>15040.514151822421</v>
      </c>
      <c r="EL171" s="114">
        <v>17416.596866133117</v>
      </c>
      <c r="EM171" s="114">
        <v>4564.6532391644369</v>
      </c>
      <c r="EN171" s="114">
        <v>7313.7737173179657</v>
      </c>
      <c r="EO171" s="114">
        <v>9439.467913400531</v>
      </c>
      <c r="EP171" s="114">
        <v>3643.6297325606251</v>
      </c>
      <c r="EQ171" s="114">
        <v>6639.2970363018685</v>
      </c>
      <c r="ER171" s="114">
        <v>6573.8954280435273</v>
      </c>
      <c r="ES171" s="114">
        <v>5608.7834977041866</v>
      </c>
      <c r="ET171" s="114">
        <v>15080.556661484148</v>
      </c>
      <c r="EU171" s="114">
        <v>15067.606583394159</v>
      </c>
      <c r="EV171" s="114">
        <v>15162.154486374984</v>
      </c>
      <c r="EW171" s="114">
        <v>7676.8693147406584</v>
      </c>
      <c r="EX171" s="114">
        <v>8182.0261387014161</v>
      </c>
      <c r="EY171" s="114">
        <v>4055.3992716020907</v>
      </c>
      <c r="EZ171" s="114">
        <v>10580.801124565744</v>
      </c>
      <c r="FA171" s="114">
        <v>7076.6045408166519</v>
      </c>
      <c r="FB171" s="114">
        <v>10227.600936589139</v>
      </c>
      <c r="FC171" s="114">
        <v>2727.3393359753841</v>
      </c>
      <c r="FD171" s="114">
        <v>7435.0701023910451</v>
      </c>
      <c r="FE171" s="114">
        <v>7577.5462388299829</v>
      </c>
      <c r="FF171" s="114">
        <v>3873.9141988403653</v>
      </c>
      <c r="FG171" s="114">
        <v>6647.5195122866162</v>
      </c>
      <c r="FH171" s="114">
        <v>5785.7670451586373</v>
      </c>
      <c r="FI171" s="114">
        <v>5342.9586989148074</v>
      </c>
      <c r="FJ171" s="114">
        <v>8943.8988951900683</v>
      </c>
      <c r="FK171" s="114">
        <v>8472.9041017176678</v>
      </c>
      <c r="FL171" s="114" t="s">
        <v>237</v>
      </c>
      <c r="FM171" s="114">
        <v>5256.005512260982</v>
      </c>
      <c r="FN171" s="114">
        <v>14829.836527621244</v>
      </c>
      <c r="FO171" s="114">
        <v>7773.2555395171921</v>
      </c>
      <c r="FP171" s="114">
        <v>8120.5046078563701</v>
      </c>
      <c r="FQ171" s="114">
        <v>5361.9739469734259</v>
      </c>
      <c r="FR171" s="114">
        <v>4863.0315294228376</v>
      </c>
      <c r="FS171" s="114">
        <v>3674.798552523142</v>
      </c>
      <c r="FT171" s="114">
        <v>4752.6565270485735</v>
      </c>
      <c r="FU171" s="114">
        <v>2349.8861487741847</v>
      </c>
      <c r="FV171" s="114">
        <v>5313.7369759438498</v>
      </c>
      <c r="FW171" s="114">
        <v>8679.9968204297202</v>
      </c>
      <c r="FX171" s="114">
        <v>15312.649512869481</v>
      </c>
      <c r="FY171" s="114">
        <v>7743.5892420542632</v>
      </c>
      <c r="FZ171" s="114">
        <v>5943.0681156451919</v>
      </c>
      <c r="GA171" s="114">
        <v>4124.2273133535818</v>
      </c>
      <c r="GB171" s="114">
        <v>5327.3804554307726</v>
      </c>
      <c r="GC171" s="114">
        <v>6642.753166453851</v>
      </c>
      <c r="GD171" s="114">
        <v>3344.146084513709</v>
      </c>
      <c r="GE171" s="114">
        <v>8706.5545438232748</v>
      </c>
      <c r="GF171" s="114">
        <v>15075.776086195385</v>
      </c>
      <c r="GG171" s="114">
        <v>14082.387961732225</v>
      </c>
      <c r="GH171" s="114">
        <v>13792.844345613383</v>
      </c>
      <c r="GI171" s="114">
        <v>14388.369555578893</v>
      </c>
      <c r="GJ171" s="114">
        <v>14570.477158829575</v>
      </c>
      <c r="GK171" s="114">
        <v>3957.1323976420713</v>
      </c>
      <c r="GL171" s="114">
        <v>15831.73615691628</v>
      </c>
      <c r="GM171" s="114">
        <v>3172.5458738099114</v>
      </c>
      <c r="GN171" s="114">
        <v>3996.8973888162477</v>
      </c>
      <c r="GO171" s="114">
        <v>6207.5879742307143</v>
      </c>
      <c r="GP171" s="114">
        <v>6008.9891976483696</v>
      </c>
      <c r="GQ171" s="114">
        <v>2971.2953407388231</v>
      </c>
      <c r="GR171" s="114">
        <v>8609.9665599356886</v>
      </c>
      <c r="GS171" s="114">
        <v>8039.2555429283784</v>
      </c>
      <c r="GT171" s="115">
        <v>6691.9739556374325</v>
      </c>
    </row>
    <row r="172" spans="2:202" x14ac:dyDescent="0.6">
      <c r="B172" s="106" t="s">
        <v>157</v>
      </c>
      <c r="C172" s="63" t="s">
        <v>511</v>
      </c>
      <c r="D172" s="113">
        <v>4233.6788699688996</v>
      </c>
      <c r="E172" s="114">
        <v>3726.0358284585682</v>
      </c>
      <c r="F172" s="114">
        <v>4215.8242205898005</v>
      </c>
      <c r="G172" s="114">
        <v>3388.9372128815521</v>
      </c>
      <c r="H172" s="114">
        <v>9941.4222070212363</v>
      </c>
      <c r="I172" s="114">
        <v>11213.68949413987</v>
      </c>
      <c r="J172" s="114">
        <v>2990.6098844065168</v>
      </c>
      <c r="K172" s="114">
        <v>13574.82337701187</v>
      </c>
      <c r="L172" s="114">
        <v>3936.3323342763133</v>
      </c>
      <c r="M172" s="114">
        <v>3239.1395351217307</v>
      </c>
      <c r="N172" s="114">
        <v>11164.479037439156</v>
      </c>
      <c r="O172" s="114">
        <v>2215.1681034362737</v>
      </c>
      <c r="P172" s="114">
        <v>6103.5616883209095</v>
      </c>
      <c r="Q172" s="114">
        <v>9800.0284260209573</v>
      </c>
      <c r="R172" s="114">
        <v>4271.633293026237</v>
      </c>
      <c r="S172" s="114">
        <v>4655.9077274194233</v>
      </c>
      <c r="T172" s="114">
        <v>12572.221971843623</v>
      </c>
      <c r="U172" s="114">
        <v>3416.8664150752252</v>
      </c>
      <c r="V172" s="114">
        <v>6013.4915394594782</v>
      </c>
      <c r="W172" s="114">
        <v>11562.549662340603</v>
      </c>
      <c r="X172" s="114">
        <v>3409.6026310495108</v>
      </c>
      <c r="Y172" s="114">
        <v>4481.9265390922183</v>
      </c>
      <c r="Z172" s="114">
        <v>9603.757932145827</v>
      </c>
      <c r="AA172" s="114">
        <v>9245.4604782052393</v>
      </c>
      <c r="AB172" s="114">
        <v>9088.1120654713432</v>
      </c>
      <c r="AC172" s="114">
        <v>3141.9568758470082</v>
      </c>
      <c r="AD172" s="114">
        <v>3648.1622043577991</v>
      </c>
      <c r="AE172" s="114">
        <v>2083.200888994993</v>
      </c>
      <c r="AF172" s="114">
        <v>5959.2464179838789</v>
      </c>
      <c r="AG172" s="114">
        <v>7785.4103386610568</v>
      </c>
      <c r="AH172" s="114">
        <v>2775.9148928194872</v>
      </c>
      <c r="AI172" s="114">
        <v>2647.5588181902804</v>
      </c>
      <c r="AJ172" s="114">
        <v>10491.928698811236</v>
      </c>
      <c r="AK172" s="114">
        <v>10132.305716110828</v>
      </c>
      <c r="AL172" s="114">
        <v>1965.5027098103208</v>
      </c>
      <c r="AM172" s="114">
        <v>1950.7962963636737</v>
      </c>
      <c r="AN172" s="114">
        <v>12101.403252386888</v>
      </c>
      <c r="AO172" s="114">
        <v>9050.1558749278429</v>
      </c>
      <c r="AP172" s="114">
        <v>8412.1685194589081</v>
      </c>
      <c r="AQ172" s="114">
        <v>11622.331951734317</v>
      </c>
      <c r="AR172" s="114">
        <v>3199.6589026136244</v>
      </c>
      <c r="AS172" s="114">
        <v>2878.8366588814883</v>
      </c>
      <c r="AT172" s="114">
        <v>2872.7770025240566</v>
      </c>
      <c r="AU172" s="114">
        <v>12481.705207638734</v>
      </c>
      <c r="AV172" s="114">
        <v>4122.9932801319892</v>
      </c>
      <c r="AW172" s="114">
        <v>3705.0656827748899</v>
      </c>
      <c r="AX172" s="114">
        <v>11719.173371500901</v>
      </c>
      <c r="AY172" s="114">
        <v>2202.3787398993431</v>
      </c>
      <c r="AZ172" s="114">
        <v>4194.3932004790959</v>
      </c>
      <c r="BA172" s="114">
        <v>4776.5828712203274</v>
      </c>
      <c r="BB172" s="114">
        <v>1165.1587827757435</v>
      </c>
      <c r="BC172" s="114">
        <v>9937.7959000118553</v>
      </c>
      <c r="BD172" s="114">
        <v>10687.640213444263</v>
      </c>
      <c r="BE172" s="114">
        <v>2879.8501611661072</v>
      </c>
      <c r="BF172" s="114">
        <v>12228.733205310518</v>
      </c>
      <c r="BG172" s="114">
        <v>1639.2347597992659</v>
      </c>
      <c r="BH172" s="114">
        <v>12827.745035309787</v>
      </c>
      <c r="BI172" s="114">
        <v>2925.0997854659072</v>
      </c>
      <c r="BJ172" s="114">
        <v>665.24383426947713</v>
      </c>
      <c r="BK172" s="114">
        <v>4925.1284222353061</v>
      </c>
      <c r="BL172" s="114">
        <v>4615.5867789716112</v>
      </c>
      <c r="BM172" s="114">
        <v>961.24836269028015</v>
      </c>
      <c r="BN172" s="114">
        <v>5021.2332253101313</v>
      </c>
      <c r="BO172" s="114">
        <v>4600.7087701274477</v>
      </c>
      <c r="BP172" s="114">
        <v>3038.8048175546328</v>
      </c>
      <c r="BQ172" s="114">
        <v>5247.0771260269994</v>
      </c>
      <c r="BR172" s="114">
        <v>3130.6812713050581</v>
      </c>
      <c r="BS172" s="114">
        <v>4445.560599037437</v>
      </c>
      <c r="BT172" s="114">
        <v>4115.5981512586313</v>
      </c>
      <c r="BU172" s="114">
        <v>4417.2959555218449</v>
      </c>
      <c r="BV172" s="114">
        <v>3708.1468895594298</v>
      </c>
      <c r="BW172" s="114">
        <v>2626.3801758403724</v>
      </c>
      <c r="BX172" s="114">
        <v>10085.672143841104</v>
      </c>
      <c r="BY172" s="114">
        <v>12890.653889558442</v>
      </c>
      <c r="BZ172" s="114">
        <v>5015.9653325093159</v>
      </c>
      <c r="CA172" s="114">
        <v>5178.9099870801028</v>
      </c>
      <c r="CB172" s="114">
        <v>9867.1830609557237</v>
      </c>
      <c r="CC172" s="114">
        <v>10944.761647853866</v>
      </c>
      <c r="CD172" s="114">
        <v>12604.984117352229</v>
      </c>
      <c r="CE172" s="114">
        <v>3761.8030978279808</v>
      </c>
      <c r="CF172" s="114">
        <v>6776.9113119893982</v>
      </c>
      <c r="CG172" s="114">
        <v>4316.7606052850069</v>
      </c>
      <c r="CH172" s="114">
        <v>4813.895057905338</v>
      </c>
      <c r="CI172" s="114">
        <v>8492.6967669151763</v>
      </c>
      <c r="CJ172" s="114">
        <v>2926.7451755119741</v>
      </c>
      <c r="CK172" s="114">
        <v>2324.8077770829368</v>
      </c>
      <c r="CL172" s="114">
        <v>5385.3627220032158</v>
      </c>
      <c r="CM172" s="114">
        <v>7009.1477034306345</v>
      </c>
      <c r="CN172" s="114">
        <v>3495.4362104182683</v>
      </c>
      <c r="CO172" s="114">
        <v>3990.6070491164069</v>
      </c>
      <c r="CP172" s="114">
        <v>11386.653674147714</v>
      </c>
      <c r="CQ172" s="114">
        <v>10520.246191648268</v>
      </c>
      <c r="CR172" s="114">
        <v>1836.4237831338351</v>
      </c>
      <c r="CS172" s="114">
        <v>5273.7139541572124</v>
      </c>
      <c r="CT172" s="114">
        <v>1887.9163943870847</v>
      </c>
      <c r="CU172" s="114">
        <v>2233.8821658247352</v>
      </c>
      <c r="CV172" s="114">
        <v>5016.1913029923662</v>
      </c>
      <c r="CW172" s="114">
        <v>7420.6257452339132</v>
      </c>
      <c r="CX172" s="114">
        <v>4636.6813420298859</v>
      </c>
      <c r="CY172" s="114">
        <v>2047.7164054439709</v>
      </c>
      <c r="CZ172" s="114">
        <v>4976.7099800988408</v>
      </c>
      <c r="DA172" s="114">
        <v>4777.4419922299776</v>
      </c>
      <c r="DB172" s="114">
        <v>2727.4499482067072</v>
      </c>
      <c r="DC172" s="114">
        <v>4123.3027020909058</v>
      </c>
      <c r="DD172" s="114">
        <v>4388.4774883575474</v>
      </c>
      <c r="DE172" s="114">
        <v>4471.6481445847949</v>
      </c>
      <c r="DF172" s="114">
        <v>4106.016944855859</v>
      </c>
      <c r="DG172" s="114">
        <v>3261.4911786732232</v>
      </c>
      <c r="DH172" s="114">
        <v>7670.8958989572693</v>
      </c>
      <c r="DI172" s="114">
        <v>4649.2284452669364</v>
      </c>
      <c r="DJ172" s="114">
        <v>4315.0204123601306</v>
      </c>
      <c r="DK172" s="114">
        <v>2877.4332297236328</v>
      </c>
      <c r="DL172" s="114">
        <v>4789.3785799192383</v>
      </c>
      <c r="DM172" s="114">
        <v>4807.2987759654688</v>
      </c>
      <c r="DN172" s="114">
        <v>13462.669967048862</v>
      </c>
      <c r="DO172" s="114">
        <v>3539.6626852982727</v>
      </c>
      <c r="DP172" s="114">
        <v>3943.1451711443738</v>
      </c>
      <c r="DQ172" s="114">
        <v>7606.8151660725998</v>
      </c>
      <c r="DR172" s="114">
        <v>3265.661418693935</v>
      </c>
      <c r="DS172" s="114">
        <v>4435.242661658699</v>
      </c>
      <c r="DT172" s="114">
        <v>4546.7617111392374</v>
      </c>
      <c r="DU172" s="114">
        <v>6800.0434793358045</v>
      </c>
      <c r="DV172" s="114">
        <v>4507.4498586444279</v>
      </c>
      <c r="DW172" s="114">
        <v>5594.4127755070449</v>
      </c>
      <c r="DX172" s="114">
        <v>4782.4218009336537</v>
      </c>
      <c r="DY172" s="114">
        <v>15605.775019743174</v>
      </c>
      <c r="DZ172" s="114">
        <v>15374.380565393098</v>
      </c>
      <c r="EA172" s="114">
        <v>12598.923085077338</v>
      </c>
      <c r="EB172" s="114">
        <v>3269.1759592252602</v>
      </c>
      <c r="EC172" s="114">
        <v>2805.7442485931979</v>
      </c>
      <c r="ED172" s="114">
        <v>9190.0570674173905</v>
      </c>
      <c r="EE172" s="114">
        <v>3153.3771779628323</v>
      </c>
      <c r="EF172" s="114">
        <v>5233.5478169886183</v>
      </c>
      <c r="EG172" s="114">
        <v>2866.9401087482952</v>
      </c>
      <c r="EH172" s="114">
        <v>3768.0534237869833</v>
      </c>
      <c r="EI172" s="114">
        <v>4552.7075445322052</v>
      </c>
      <c r="EJ172" s="114">
        <v>12011.509100743895</v>
      </c>
      <c r="EK172" s="114">
        <v>10688.438217104567</v>
      </c>
      <c r="EL172" s="114">
        <v>12405.026023465307</v>
      </c>
      <c r="EM172" s="114">
        <v>9448.2531136870548</v>
      </c>
      <c r="EN172" s="114">
        <v>4215.7511651515333</v>
      </c>
      <c r="EO172" s="114">
        <v>4789.5137493192678</v>
      </c>
      <c r="EP172" s="114">
        <v>2260.3111140460619</v>
      </c>
      <c r="EQ172" s="114">
        <v>3273.8106137429795</v>
      </c>
      <c r="ER172" s="114">
        <v>4519.8295360233069</v>
      </c>
      <c r="ES172" s="114">
        <v>1896.289539962477</v>
      </c>
      <c r="ET172" s="114">
        <v>10000.176452233232</v>
      </c>
      <c r="EU172" s="114">
        <v>9904.7515601693267</v>
      </c>
      <c r="EV172" s="114">
        <v>9986.4301945403513</v>
      </c>
      <c r="EW172" s="114">
        <v>3670.1827118367014</v>
      </c>
      <c r="EX172" s="114">
        <v>3315.0687807371628</v>
      </c>
      <c r="EY172" s="114">
        <v>1783.6720342492235</v>
      </c>
      <c r="EZ172" s="114">
        <v>5325.2477561490641</v>
      </c>
      <c r="FA172" s="114">
        <v>3436.4306965981791</v>
      </c>
      <c r="FB172" s="114">
        <v>5006.2437527082693</v>
      </c>
      <c r="FC172" s="114">
        <v>7981.541044171644</v>
      </c>
      <c r="FD172" s="114">
        <v>3905.8106115096607</v>
      </c>
      <c r="FE172" s="114">
        <v>3806.6812396701316</v>
      </c>
      <c r="FF172" s="114">
        <v>2045.6836671389844</v>
      </c>
      <c r="FG172" s="114">
        <v>4554.3012690461965</v>
      </c>
      <c r="FH172" s="114">
        <v>9340.3875610206414</v>
      </c>
      <c r="FI172" s="114">
        <v>1165.9362164390845</v>
      </c>
      <c r="FJ172" s="114">
        <v>4431.7089867660634</v>
      </c>
      <c r="FK172" s="114">
        <v>4098.1644867129462</v>
      </c>
      <c r="FL172" s="114">
        <v>5256.005512260982</v>
      </c>
      <c r="FM172" s="114" t="s">
        <v>237</v>
      </c>
      <c r="FN172" s="114">
        <v>9573.8406061043861</v>
      </c>
      <c r="FO172" s="114">
        <v>5019.7848575838816</v>
      </c>
      <c r="FP172" s="114">
        <v>4180.2576227628178</v>
      </c>
      <c r="FQ172" s="114">
        <v>2037.2086414441815</v>
      </c>
      <c r="FR172" s="114">
        <v>9217.4696623585533</v>
      </c>
      <c r="FS172" s="114">
        <v>4359.7166054502759</v>
      </c>
      <c r="FT172" s="114">
        <v>2575.7242823977804</v>
      </c>
      <c r="FU172" s="114">
        <v>7291.0826881361418</v>
      </c>
      <c r="FV172" s="114">
        <v>10563.735865735878</v>
      </c>
      <c r="FW172" s="114">
        <v>3549.2102070086485</v>
      </c>
      <c r="FX172" s="114">
        <v>10102.201455028027</v>
      </c>
      <c r="FY172" s="114">
        <v>3223.4987277595765</v>
      </c>
      <c r="FZ172" s="114">
        <v>2697.6523069239543</v>
      </c>
      <c r="GA172" s="114">
        <v>3528.0216554952403</v>
      </c>
      <c r="GB172" s="114">
        <v>1680.1643175367838</v>
      </c>
      <c r="GC172" s="114">
        <v>3895.1750141349698</v>
      </c>
      <c r="GD172" s="114">
        <v>2491.6104866733613</v>
      </c>
      <c r="GE172" s="114">
        <v>4934.5481553986483</v>
      </c>
      <c r="GF172" s="114">
        <v>13704.945615782726</v>
      </c>
      <c r="GG172" s="114">
        <v>10221.982635233779</v>
      </c>
      <c r="GH172" s="114">
        <v>9927.0551825379571</v>
      </c>
      <c r="GI172" s="114">
        <v>10537.573109662384</v>
      </c>
      <c r="GJ172" s="114">
        <v>10826.511079008804</v>
      </c>
      <c r="GK172" s="114">
        <v>4552.2699728686757</v>
      </c>
      <c r="GL172" s="114">
        <v>10643.174873171885</v>
      </c>
      <c r="GM172" s="114">
        <v>7690.2238667381207</v>
      </c>
      <c r="GN172" s="114">
        <v>1269.610641835362</v>
      </c>
      <c r="GO172" s="114">
        <v>3432.4581489645957</v>
      </c>
      <c r="GP172" s="114">
        <v>3643.4413163832382</v>
      </c>
      <c r="GQ172" s="114">
        <v>8024.4321642488921</v>
      </c>
      <c r="GR172" s="114">
        <v>13397.417089013383</v>
      </c>
      <c r="GS172" s="114">
        <v>4185.5547227427569</v>
      </c>
      <c r="GT172" s="115">
        <v>4639.2442934327464</v>
      </c>
    </row>
    <row r="173" spans="2:202" x14ac:dyDescent="0.6">
      <c r="B173" s="106" t="s">
        <v>158</v>
      </c>
      <c r="C173" s="63" t="s">
        <v>512</v>
      </c>
      <c r="D173" s="113">
        <v>12688.128160064551</v>
      </c>
      <c r="E173" s="114">
        <v>6823.5114527695396</v>
      </c>
      <c r="F173" s="114">
        <v>6878.282357722409</v>
      </c>
      <c r="G173" s="114">
        <v>7725.1518988642047</v>
      </c>
      <c r="H173" s="114">
        <v>1485.7528493385284</v>
      </c>
      <c r="I173" s="114">
        <v>4675.9034728193019</v>
      </c>
      <c r="J173" s="114">
        <v>10407.592556927611</v>
      </c>
      <c r="K173" s="114">
        <v>15869.201428314233</v>
      </c>
      <c r="L173" s="114">
        <v>8171.6743053116579</v>
      </c>
      <c r="M173" s="114">
        <v>10839.271842843265</v>
      </c>
      <c r="N173" s="114">
        <v>3205.2027682835583</v>
      </c>
      <c r="O173" s="114">
        <v>11259.280082929494</v>
      </c>
      <c r="P173" s="114">
        <v>15067.504801880954</v>
      </c>
      <c r="Q173" s="114">
        <v>957.55041742208539</v>
      </c>
      <c r="R173" s="114">
        <v>9013.8729956750703</v>
      </c>
      <c r="S173" s="114">
        <v>7406.2318163474101</v>
      </c>
      <c r="T173" s="114">
        <v>3836.9789443399</v>
      </c>
      <c r="U173" s="114">
        <v>6359.8262945317019</v>
      </c>
      <c r="V173" s="114">
        <v>14741.324512326508</v>
      </c>
      <c r="W173" s="114">
        <v>2805.005166291397</v>
      </c>
      <c r="X173" s="114">
        <v>8247.9396881598459</v>
      </c>
      <c r="Y173" s="114">
        <v>9323.0515625027074</v>
      </c>
      <c r="Z173" s="114">
        <v>3358.8318399301884</v>
      </c>
      <c r="AA173" s="114">
        <v>3414.3675118937981</v>
      </c>
      <c r="AB173" s="114">
        <v>18449.830553461314</v>
      </c>
      <c r="AC173" s="114">
        <v>8635.9234558293701</v>
      </c>
      <c r="AD173" s="114">
        <v>5948.3898081634125</v>
      </c>
      <c r="AE173" s="114">
        <v>9409.2305174679368</v>
      </c>
      <c r="AF173" s="114">
        <v>3627.111958468161</v>
      </c>
      <c r="AG173" s="114">
        <v>17083.033485566491</v>
      </c>
      <c r="AH173" s="114">
        <v>7179.4834615218415</v>
      </c>
      <c r="AI173" s="114">
        <v>7366.1592326246473</v>
      </c>
      <c r="AJ173" s="114">
        <v>4867.1515708093357</v>
      </c>
      <c r="AK173" s="114">
        <v>4840.2283119537269</v>
      </c>
      <c r="AL173" s="114">
        <v>8134.1038635216701</v>
      </c>
      <c r="AM173" s="114">
        <v>7675.5305374616282</v>
      </c>
      <c r="AN173" s="114">
        <v>4599.8504334724585</v>
      </c>
      <c r="AO173" s="114">
        <v>15915.453478097434</v>
      </c>
      <c r="AP173" s="114">
        <v>14926.743364389053</v>
      </c>
      <c r="AQ173" s="114">
        <v>2097.7028248095057</v>
      </c>
      <c r="AR173" s="114">
        <v>11025.671134924169</v>
      </c>
      <c r="AS173" s="114">
        <v>7895.2931674298225</v>
      </c>
      <c r="AT173" s="114">
        <v>7870.6379815012378</v>
      </c>
      <c r="AU173" s="114">
        <v>3218.4279765998108</v>
      </c>
      <c r="AV173" s="114">
        <v>5652.1403910457047</v>
      </c>
      <c r="AW173" s="114">
        <v>8071.7825506653371</v>
      </c>
      <c r="AX173" s="114">
        <v>3502.9369712395678</v>
      </c>
      <c r="AY173" s="114">
        <v>9506.5142201631406</v>
      </c>
      <c r="AZ173" s="114">
        <v>8071.7217533776893</v>
      </c>
      <c r="BA173" s="114">
        <v>8095.0479816225688</v>
      </c>
      <c r="BB173" s="114">
        <v>10682.234047523318</v>
      </c>
      <c r="BC173" s="114">
        <v>1270.1345534626321</v>
      </c>
      <c r="BD173" s="114">
        <v>2121.105125874737</v>
      </c>
      <c r="BE173" s="114">
        <v>7875.4913842345841</v>
      </c>
      <c r="BF173" s="114">
        <v>2656.7210111069453</v>
      </c>
      <c r="BG173" s="114">
        <v>9340.8008556425902</v>
      </c>
      <c r="BH173" s="114">
        <v>3826.7573330090477</v>
      </c>
      <c r="BI173" s="114">
        <v>7051.2208524511825</v>
      </c>
      <c r="BJ173" s="114">
        <v>10237.209261350712</v>
      </c>
      <c r="BK173" s="114">
        <v>8890.2526862083978</v>
      </c>
      <c r="BL173" s="114">
        <v>9895.8093544481817</v>
      </c>
      <c r="BM173" s="114">
        <v>10296.452000159385</v>
      </c>
      <c r="BN173" s="114">
        <v>8931.76036290917</v>
      </c>
      <c r="BO173" s="114">
        <v>7189.0086976724451</v>
      </c>
      <c r="BP173" s="114">
        <v>7167.652541447068</v>
      </c>
      <c r="BQ173" s="114">
        <v>4327.1287816875438</v>
      </c>
      <c r="BR173" s="114">
        <v>10396.67180008592</v>
      </c>
      <c r="BS173" s="114">
        <v>8063.6017542736399</v>
      </c>
      <c r="BT173" s="114">
        <v>7835.6898970491193</v>
      </c>
      <c r="BU173" s="114">
        <v>7691.6287128432659</v>
      </c>
      <c r="BV173" s="114">
        <v>6090.471709235424</v>
      </c>
      <c r="BW173" s="114">
        <v>8627.5482056084311</v>
      </c>
      <c r="BX173" s="114">
        <v>1031.8255886958718</v>
      </c>
      <c r="BY173" s="114">
        <v>3965.7644112855464</v>
      </c>
      <c r="BZ173" s="114">
        <v>4605.0115430828318</v>
      </c>
      <c r="CA173" s="114">
        <v>4406.5921077139546</v>
      </c>
      <c r="CB173" s="114">
        <v>351.98927946581682</v>
      </c>
      <c r="CC173" s="114">
        <v>2345.2601709571695</v>
      </c>
      <c r="CD173" s="114">
        <v>3632.6437001467375</v>
      </c>
      <c r="CE173" s="114">
        <v>8365.9281896770008</v>
      </c>
      <c r="CF173" s="114">
        <v>7043.3446518025776</v>
      </c>
      <c r="CG173" s="114">
        <v>13699.805801999468</v>
      </c>
      <c r="CH173" s="114">
        <v>13665.454269940477</v>
      </c>
      <c r="CI173" s="114">
        <v>17967.543074335797</v>
      </c>
      <c r="CJ173" s="114">
        <v>11117.854488758796</v>
      </c>
      <c r="CK173" s="114">
        <v>10540.490766718078</v>
      </c>
      <c r="CL173" s="114">
        <v>6902.9435055226895</v>
      </c>
      <c r="CM173" s="114">
        <v>3581.4369080599436</v>
      </c>
      <c r="CN173" s="114">
        <v>7729.4745561095451</v>
      </c>
      <c r="CO173" s="114">
        <v>7584.7933929456385</v>
      </c>
      <c r="CP173" s="114">
        <v>2707.839878818128</v>
      </c>
      <c r="CQ173" s="114">
        <v>15179.953422456754</v>
      </c>
      <c r="CR173" s="114">
        <v>9746.2454063225396</v>
      </c>
      <c r="CS173" s="114">
        <v>11924.299559945823</v>
      </c>
      <c r="CT173" s="114">
        <v>10194.859396661994</v>
      </c>
      <c r="CU173" s="114">
        <v>10965.785712864687</v>
      </c>
      <c r="CV173" s="114">
        <v>12645.30637450105</v>
      </c>
      <c r="CW173" s="114">
        <v>16445.370957714324</v>
      </c>
      <c r="CX173" s="114">
        <v>8835.0078173469883</v>
      </c>
      <c r="CY173" s="114">
        <v>9707.9636670098498</v>
      </c>
      <c r="CZ173" s="114">
        <v>9572.6375061107028</v>
      </c>
      <c r="DA173" s="114">
        <v>4936.0474009660174</v>
      </c>
      <c r="DB173" s="114">
        <v>7636.0697972412027</v>
      </c>
      <c r="DC173" s="114">
        <v>7641.0330157058243</v>
      </c>
      <c r="DD173" s="114">
        <v>8882.3819811939866</v>
      </c>
      <c r="DE173" s="114">
        <v>7488.9874286537606</v>
      </c>
      <c r="DF173" s="114">
        <v>11507.685046770406</v>
      </c>
      <c r="DG173" s="114">
        <v>10002.783318315092</v>
      </c>
      <c r="DH173" s="114">
        <v>17235.765773524799</v>
      </c>
      <c r="DI173" s="114">
        <v>14185.894366670318</v>
      </c>
      <c r="DJ173" s="114">
        <v>5271.2892072772474</v>
      </c>
      <c r="DK173" s="114">
        <v>7793.5482717462583</v>
      </c>
      <c r="DL173" s="114">
        <v>12554.099838806029</v>
      </c>
      <c r="DM173" s="114">
        <v>12574.537287576317</v>
      </c>
      <c r="DN173" s="114">
        <v>4998.2397923412509</v>
      </c>
      <c r="DO173" s="114">
        <v>9103.1290211203868</v>
      </c>
      <c r="DP173" s="114">
        <v>7399.1798540122645</v>
      </c>
      <c r="DQ173" s="114">
        <v>13820.141658037592</v>
      </c>
      <c r="DR173" s="114">
        <v>8314.1999054724965</v>
      </c>
      <c r="DS173" s="114">
        <v>5884.6778364323491</v>
      </c>
      <c r="DT173" s="114">
        <v>10013.711836395465</v>
      </c>
      <c r="DU173" s="114">
        <v>16025.211620527974</v>
      </c>
      <c r="DV173" s="114">
        <v>8424.6777836032052</v>
      </c>
      <c r="DW173" s="114">
        <v>14394.555399751773</v>
      </c>
      <c r="DX173" s="114">
        <v>7497.1837213702302</v>
      </c>
      <c r="DY173" s="114">
        <v>13877.849894794754</v>
      </c>
      <c r="DZ173" s="114">
        <v>13714.727720351057</v>
      </c>
      <c r="EA173" s="114">
        <v>3491.6619818919944</v>
      </c>
      <c r="EB173" s="114">
        <v>6317.2234921580612</v>
      </c>
      <c r="EC173" s="114">
        <v>6888.8688197104138</v>
      </c>
      <c r="ED173" s="114">
        <v>15056.73415906312</v>
      </c>
      <c r="EE173" s="114">
        <v>8472.876672585875</v>
      </c>
      <c r="EF173" s="114">
        <v>8123.5786870588081</v>
      </c>
      <c r="EG173" s="114">
        <v>12121.455798759527</v>
      </c>
      <c r="EH173" s="114">
        <v>12913.654820537644</v>
      </c>
      <c r="EI173" s="114">
        <v>13061.025009640545</v>
      </c>
      <c r="EJ173" s="114">
        <v>2691.419199173567</v>
      </c>
      <c r="EK173" s="114">
        <v>3410.8711072823394</v>
      </c>
      <c r="EL173" s="114">
        <v>3106.5634484900756</v>
      </c>
      <c r="EM173" s="114">
        <v>17760.890237003514</v>
      </c>
      <c r="EN173" s="114">
        <v>8578.3479889600967</v>
      </c>
      <c r="EO173" s="114">
        <v>5897.4103322775572</v>
      </c>
      <c r="EP173" s="114">
        <v>11384.298091023111</v>
      </c>
      <c r="EQ173" s="114">
        <v>8880.7215076527973</v>
      </c>
      <c r="ER173" s="114">
        <v>9671.7900072715202</v>
      </c>
      <c r="ES173" s="114">
        <v>9486.8395034386413</v>
      </c>
      <c r="ET173" s="114">
        <v>1523.1641871197658</v>
      </c>
      <c r="EU173" s="114">
        <v>1121.3533100906463</v>
      </c>
      <c r="EV173" s="114">
        <v>1070.9602421282923</v>
      </c>
      <c r="EW173" s="114">
        <v>7775.0926270578202</v>
      </c>
      <c r="EX173" s="114">
        <v>6852.0912022285247</v>
      </c>
      <c r="EY173" s="114">
        <v>10911.505693367671</v>
      </c>
      <c r="EZ173" s="114">
        <v>4249.8051445631436</v>
      </c>
      <c r="FA173" s="114">
        <v>8428.6204611180201</v>
      </c>
      <c r="FB173" s="114">
        <v>4637.0398602342757</v>
      </c>
      <c r="FC173" s="114">
        <v>17553.167029427899</v>
      </c>
      <c r="FD173" s="114">
        <v>8233.4179102761536</v>
      </c>
      <c r="FE173" s="114">
        <v>7987.6373936552072</v>
      </c>
      <c r="FF173" s="114">
        <v>11130.465683413075</v>
      </c>
      <c r="FG173" s="114">
        <v>9593.4737449030017</v>
      </c>
      <c r="FH173" s="114">
        <v>15251.938857295581</v>
      </c>
      <c r="FI173" s="114">
        <v>9589.8729000844251</v>
      </c>
      <c r="FJ173" s="114">
        <v>6423.8303172154883</v>
      </c>
      <c r="FK173" s="114">
        <v>6911.0124037911673</v>
      </c>
      <c r="FL173" s="114">
        <v>14829.836527621244</v>
      </c>
      <c r="FM173" s="114">
        <v>9573.8406061043861</v>
      </c>
      <c r="FN173" s="114" t="s">
        <v>527</v>
      </c>
      <c r="FO173" s="114">
        <v>8527.4118792303052</v>
      </c>
      <c r="FP173" s="114">
        <v>7476.8907559997697</v>
      </c>
      <c r="FQ173" s="114">
        <v>9790.6524276651835</v>
      </c>
      <c r="FR173" s="114">
        <v>16600.871051155325</v>
      </c>
      <c r="FS173" s="114">
        <v>12438.956884605388</v>
      </c>
      <c r="FT173" s="114">
        <v>10562.541109911299</v>
      </c>
      <c r="FU173" s="114">
        <v>16577.542266174347</v>
      </c>
      <c r="FV173" s="114">
        <v>19701.726914820603</v>
      </c>
      <c r="FW173" s="114">
        <v>6225.7739041708501</v>
      </c>
      <c r="FX173" s="114">
        <v>908.25611763843301</v>
      </c>
      <c r="FY173" s="114">
        <v>7437.7321150116959</v>
      </c>
      <c r="FZ173" s="114">
        <v>9416.412240772017</v>
      </c>
      <c r="GA173" s="114">
        <v>11567.583510291443</v>
      </c>
      <c r="GB173" s="114">
        <v>9717.6365411807601</v>
      </c>
      <c r="GC173" s="114">
        <v>9209.3523533546995</v>
      </c>
      <c r="GD173" s="114">
        <v>11688.403643079393</v>
      </c>
      <c r="GE173" s="114">
        <v>7169.1450524404427</v>
      </c>
      <c r="GF173" s="114">
        <v>7202.2113543417781</v>
      </c>
      <c r="GG173" s="114">
        <v>4345.0383419265963</v>
      </c>
      <c r="GH173" s="114">
        <v>4390.8938983572916</v>
      </c>
      <c r="GI173" s="114">
        <v>4320.0222560390903</v>
      </c>
      <c r="GJ173" s="114">
        <v>4449.0601570774279</v>
      </c>
      <c r="GK173" s="114">
        <v>12339.036340132327</v>
      </c>
      <c r="GL173" s="114">
        <v>1368.9991340732731</v>
      </c>
      <c r="GM173" s="114">
        <v>16382.426600306973</v>
      </c>
      <c r="GN173" s="114">
        <v>10835.265902687863</v>
      </c>
      <c r="GO173" s="114">
        <v>9449.781960225584</v>
      </c>
      <c r="GP173" s="114">
        <v>9780.9867981570987</v>
      </c>
      <c r="GQ173" s="114">
        <v>17297.583875896853</v>
      </c>
      <c r="GR173" s="114">
        <v>15883.285783247451</v>
      </c>
      <c r="GS173" s="114">
        <v>7594.2875904381417</v>
      </c>
      <c r="GT173" s="115">
        <v>9596.6164341080512</v>
      </c>
    </row>
    <row r="174" spans="2:202" x14ac:dyDescent="0.6">
      <c r="B174" s="106" t="s">
        <v>159</v>
      </c>
      <c r="C174" s="63" t="s">
        <v>513</v>
      </c>
      <c r="D174" s="113">
        <v>4608.3561248429905</v>
      </c>
      <c r="E174" s="114">
        <v>2753.4683085002416</v>
      </c>
      <c r="F174" s="114">
        <v>2201.781911981197</v>
      </c>
      <c r="G174" s="114">
        <v>7540.5323270496892</v>
      </c>
      <c r="H174" s="114">
        <v>7804.6228920428402</v>
      </c>
      <c r="I174" s="114">
        <v>12789.59450979603</v>
      </c>
      <c r="J174" s="114">
        <v>2807.5091195957743</v>
      </c>
      <c r="K174" s="114">
        <v>15591.473504643742</v>
      </c>
      <c r="L174" s="114">
        <v>1237.6809770915938</v>
      </c>
      <c r="M174" s="114">
        <v>3039.101190131069</v>
      </c>
      <c r="N174" s="114">
        <v>7922.8577286884465</v>
      </c>
      <c r="O174" s="114">
        <v>4441.3523059888157</v>
      </c>
      <c r="P174" s="114">
        <v>6781.9748638776655</v>
      </c>
      <c r="Q174" s="114">
        <v>8043.8751979431245</v>
      </c>
      <c r="R174" s="114">
        <v>849.94114982561803</v>
      </c>
      <c r="S174" s="114">
        <v>1305.034326026316</v>
      </c>
      <c r="T174" s="114">
        <v>9265.7624207161862</v>
      </c>
      <c r="U174" s="114">
        <v>6038.5352855206311</v>
      </c>
      <c r="V174" s="114">
        <v>6380.3946115182143</v>
      </c>
      <c r="W174" s="114">
        <v>11332.396996543859</v>
      </c>
      <c r="X174" s="114">
        <v>1743.6069701700153</v>
      </c>
      <c r="Y174" s="114">
        <v>9327.2856992932575</v>
      </c>
      <c r="Z174" s="114">
        <v>10918.275541897921</v>
      </c>
      <c r="AA174" s="114">
        <v>10691.390090544797</v>
      </c>
      <c r="AB174" s="114">
        <v>9970.9152973320379</v>
      </c>
      <c r="AC174" s="114">
        <v>1896.1986324823465</v>
      </c>
      <c r="AD174" s="114">
        <v>5473.1394148451236</v>
      </c>
      <c r="AE174" s="114">
        <v>7003.3236839496894</v>
      </c>
      <c r="AF174" s="114">
        <v>5957.4841351525465</v>
      </c>
      <c r="AG174" s="114">
        <v>8726.8796900476536</v>
      </c>
      <c r="AH174" s="114">
        <v>6174.287207450765</v>
      </c>
      <c r="AI174" s="114">
        <v>6220.2774804102</v>
      </c>
      <c r="AJ174" s="114">
        <v>6330.9759084340612</v>
      </c>
      <c r="AK174" s="114">
        <v>5998.5305463152445</v>
      </c>
      <c r="AL174" s="114">
        <v>6112.4470826107272</v>
      </c>
      <c r="AM174" s="114">
        <v>5245.1223154931095</v>
      </c>
      <c r="AN174" s="114">
        <v>13046.41527840987</v>
      </c>
      <c r="AO174" s="114">
        <v>7773.1997644788698</v>
      </c>
      <c r="AP174" s="114">
        <v>6738.9104346492204</v>
      </c>
      <c r="AQ174" s="114">
        <v>9708.5336170763421</v>
      </c>
      <c r="AR174" s="114">
        <v>8168.6049607784853</v>
      </c>
      <c r="AS174" s="114">
        <v>7068.0272294282076</v>
      </c>
      <c r="AT174" s="114">
        <v>7042.2231381111142</v>
      </c>
      <c r="AU174" s="114">
        <v>9771.1680699597982</v>
      </c>
      <c r="AV174" s="114">
        <v>6277.9769306220596</v>
      </c>
      <c r="AW174" s="114">
        <v>1532.1705681837843</v>
      </c>
      <c r="AX174" s="114">
        <v>8378.6000591223874</v>
      </c>
      <c r="AY174" s="114">
        <v>2900.5554409005758</v>
      </c>
      <c r="AZ174" s="114">
        <v>1046.1454166040944</v>
      </c>
      <c r="BA174" s="114">
        <v>542.20249801094235</v>
      </c>
      <c r="BB174" s="114">
        <v>5718.3419878359982</v>
      </c>
      <c r="BC174" s="114">
        <v>7951.0891913979031</v>
      </c>
      <c r="BD174" s="114">
        <v>8133.7226482391616</v>
      </c>
      <c r="BE174" s="114">
        <v>7054.3532221401274</v>
      </c>
      <c r="BF174" s="114">
        <v>10384.594095474806</v>
      </c>
      <c r="BG174" s="114">
        <v>3393.685069497561</v>
      </c>
      <c r="BH174" s="114">
        <v>9673.8655388395164</v>
      </c>
      <c r="BI174" s="114">
        <v>6253.3290004388255</v>
      </c>
      <c r="BJ174" s="114">
        <v>5174.8673339234811</v>
      </c>
      <c r="BK174" s="114">
        <v>366.99696999498707</v>
      </c>
      <c r="BL174" s="114">
        <v>9569.4125090260695</v>
      </c>
      <c r="BM174" s="114">
        <v>5838.2957779400294</v>
      </c>
      <c r="BN174" s="114">
        <v>406.73059893697109</v>
      </c>
      <c r="BO174" s="114">
        <v>1571.1581393589468</v>
      </c>
      <c r="BP174" s="114">
        <v>6599.3672945746021</v>
      </c>
      <c r="BQ174" s="114">
        <v>5840.9579006652775</v>
      </c>
      <c r="BR174" s="114">
        <v>2692.1148078820402</v>
      </c>
      <c r="BS174" s="114">
        <v>822.98478095337464</v>
      </c>
      <c r="BT174" s="114">
        <v>1300.1660780843417</v>
      </c>
      <c r="BU174" s="114">
        <v>1173.5363793204911</v>
      </c>
      <c r="BV174" s="114">
        <v>6184.490161386705</v>
      </c>
      <c r="BW174" s="114">
        <v>2435.3278982552379</v>
      </c>
      <c r="BX174" s="114">
        <v>8277.1699921253276</v>
      </c>
      <c r="BY174" s="114">
        <v>9635.908851203214</v>
      </c>
      <c r="BZ174" s="114">
        <v>6147.8897163147922</v>
      </c>
      <c r="CA174" s="114">
        <v>5994.1766999300153</v>
      </c>
      <c r="CB174" s="114">
        <v>8600.7477025837215</v>
      </c>
      <c r="CC174" s="114">
        <v>8271.1849066517498</v>
      </c>
      <c r="CD174" s="114">
        <v>9506.6261570348324</v>
      </c>
      <c r="CE174" s="114">
        <v>1326.0294693706785</v>
      </c>
      <c r="CF174" s="114">
        <v>2122.4774616607519</v>
      </c>
      <c r="CG174" s="114">
        <v>6226.2953908308036</v>
      </c>
      <c r="CH174" s="114">
        <v>5586.8738012443737</v>
      </c>
      <c r="CI174" s="114">
        <v>10496.325687483128</v>
      </c>
      <c r="CJ174" s="114">
        <v>3572.4448288099411</v>
      </c>
      <c r="CK174" s="114">
        <v>3479.3805013829465</v>
      </c>
      <c r="CL174" s="114">
        <v>1625.3131775940849</v>
      </c>
      <c r="CM174" s="114">
        <v>4951.8120537745599</v>
      </c>
      <c r="CN174" s="114">
        <v>2003.6658293682153</v>
      </c>
      <c r="CO174" s="114">
        <v>1637.8941373953462</v>
      </c>
      <c r="CP174" s="114">
        <v>8548.7994483588809</v>
      </c>
      <c r="CQ174" s="114">
        <v>8184.239612594456</v>
      </c>
      <c r="CR174" s="114">
        <v>3338.8171728386333</v>
      </c>
      <c r="CS174" s="114">
        <v>3402.1220450081805</v>
      </c>
      <c r="CT174" s="114">
        <v>6904.0959110363092</v>
      </c>
      <c r="CU174" s="114">
        <v>4022.7887287240537</v>
      </c>
      <c r="CV174" s="114">
        <v>4211.3872731761348</v>
      </c>
      <c r="CW174" s="114">
        <v>8011.6883193646645</v>
      </c>
      <c r="CX174" s="114">
        <v>464.65636538114791</v>
      </c>
      <c r="CY174" s="114">
        <v>3125.7729234996914</v>
      </c>
      <c r="CZ174" s="114">
        <v>9864.616869652551</v>
      </c>
      <c r="DA174" s="114">
        <v>6374.4543677949096</v>
      </c>
      <c r="DB174" s="114">
        <v>2992.8598042567892</v>
      </c>
      <c r="DC174" s="114">
        <v>1464.9632340476744</v>
      </c>
      <c r="DD174" s="114">
        <v>690.16821515430433</v>
      </c>
      <c r="DE174" s="114">
        <v>1335.6481583638233</v>
      </c>
      <c r="DF174" s="114">
        <v>9047.2558775645357</v>
      </c>
      <c r="DG174" s="114">
        <v>8258.6231538077536</v>
      </c>
      <c r="DH174" s="114">
        <v>9335.2072017046976</v>
      </c>
      <c r="DI174" s="114">
        <v>7722.1802684667882</v>
      </c>
      <c r="DJ174" s="114">
        <v>5626.2685400197342</v>
      </c>
      <c r="DK174" s="114">
        <v>2644.7741636799642</v>
      </c>
      <c r="DL174" s="114">
        <v>9516.0070844574966</v>
      </c>
      <c r="DM174" s="114">
        <v>9529.2788317107552</v>
      </c>
      <c r="DN174" s="114">
        <v>9612.4534606016514</v>
      </c>
      <c r="DO174" s="114">
        <v>1531.8870228268411</v>
      </c>
      <c r="DP174" s="114">
        <v>1864.3170292722075</v>
      </c>
      <c r="DQ174" s="114">
        <v>5548.0213443322873</v>
      </c>
      <c r="DR174" s="114">
        <v>1865.4498673479059</v>
      </c>
      <c r="DS174" s="114">
        <v>3341.0039008534432</v>
      </c>
      <c r="DT174" s="114">
        <v>9518.4718730738441</v>
      </c>
      <c r="DU174" s="114">
        <v>7770.7911541211915</v>
      </c>
      <c r="DV174" s="114">
        <v>9068.4015921013633</v>
      </c>
      <c r="DW174" s="114">
        <v>6125.9347827236597</v>
      </c>
      <c r="DX174" s="114">
        <v>1142.7344590408652</v>
      </c>
      <c r="DY174" s="114">
        <v>17022.333593536983</v>
      </c>
      <c r="DZ174" s="114">
        <v>17428.236308622669</v>
      </c>
      <c r="EA174" s="114">
        <v>9648.1702469444335</v>
      </c>
      <c r="EB174" s="114">
        <v>5275.6011170239944</v>
      </c>
      <c r="EC174" s="114">
        <v>5649.1786876207507</v>
      </c>
      <c r="ED174" s="114">
        <v>7220.6037395646881</v>
      </c>
      <c r="EE174" s="114">
        <v>1924.4271527231667</v>
      </c>
      <c r="EF174" s="114">
        <v>430.88875847215888</v>
      </c>
      <c r="EG174" s="114">
        <v>5076.0113633472865</v>
      </c>
      <c r="EH174" s="114">
        <v>5363.2855765871227</v>
      </c>
      <c r="EI174" s="114">
        <v>4908.4748010709263</v>
      </c>
      <c r="EJ174" s="114">
        <v>9559.3910872192955</v>
      </c>
      <c r="EK174" s="114">
        <v>11597.243630136432</v>
      </c>
      <c r="EL174" s="114">
        <v>11437.06418728626</v>
      </c>
      <c r="EM174" s="114">
        <v>9354.6361627750066</v>
      </c>
      <c r="EN174" s="114">
        <v>807.70838323223484</v>
      </c>
      <c r="EO174" s="114">
        <v>3005.0181522525086</v>
      </c>
      <c r="EP174" s="114">
        <v>4581.7903031084825</v>
      </c>
      <c r="EQ174" s="114">
        <v>1747.6730979014999</v>
      </c>
      <c r="ER174" s="114">
        <v>1226.7250632096645</v>
      </c>
      <c r="ES174" s="114">
        <v>6841.0278941305096</v>
      </c>
      <c r="ET174" s="114">
        <v>7833.5188804738846</v>
      </c>
      <c r="EU174" s="114">
        <v>8024.887899938135</v>
      </c>
      <c r="EV174" s="114">
        <v>8141.4560435787107</v>
      </c>
      <c r="EW174" s="114">
        <v>1783.4700004548426</v>
      </c>
      <c r="EX174" s="114">
        <v>6649.5231664868752</v>
      </c>
      <c r="EY174" s="114">
        <v>4456.4473464553848</v>
      </c>
      <c r="EZ174" s="114">
        <v>5767.0945529827559</v>
      </c>
      <c r="FA174" s="114">
        <v>1642.1939814421391</v>
      </c>
      <c r="FB174" s="114">
        <v>6240.7467250695909</v>
      </c>
      <c r="FC174" s="114">
        <v>9638.7757604240705</v>
      </c>
      <c r="FD174" s="114">
        <v>1235.8510719091691</v>
      </c>
      <c r="FE174" s="114">
        <v>1483.914930779715</v>
      </c>
      <c r="FF174" s="114">
        <v>6779.0880495351294</v>
      </c>
      <c r="FG174" s="114">
        <v>9457.2857176933849</v>
      </c>
      <c r="FH174" s="114">
        <v>7443.9415329324665</v>
      </c>
      <c r="FI174" s="114">
        <v>6153.948520758815</v>
      </c>
      <c r="FJ174" s="114">
        <v>2587.4158457721742</v>
      </c>
      <c r="FK174" s="114">
        <v>2265.6446577379875</v>
      </c>
      <c r="FL174" s="114">
        <v>7773.2555395171921</v>
      </c>
      <c r="FM174" s="114">
        <v>5019.7848575838816</v>
      </c>
      <c r="FN174" s="114">
        <v>8527.4118792303052</v>
      </c>
      <c r="FO174" s="114" t="s">
        <v>237</v>
      </c>
      <c r="FP174" s="114">
        <v>1574.3026881958738</v>
      </c>
      <c r="FQ174" s="114">
        <v>3176.4346476784376</v>
      </c>
      <c r="FR174" s="114">
        <v>8365.6111291799625</v>
      </c>
      <c r="FS174" s="114">
        <v>4220.5076792721138</v>
      </c>
      <c r="FT174" s="114">
        <v>7579.2999413256994</v>
      </c>
      <c r="FU174" s="114">
        <v>8287.0876581689627</v>
      </c>
      <c r="FV174" s="114">
        <v>11777.615752252228</v>
      </c>
      <c r="FW174" s="114">
        <v>6077.5604332923685</v>
      </c>
      <c r="FX174" s="114">
        <v>8396.1130275262149</v>
      </c>
      <c r="FY174" s="114">
        <v>2588.1741068587512</v>
      </c>
      <c r="FZ174" s="114">
        <v>2410.1798149503084</v>
      </c>
      <c r="GA174" s="114">
        <v>3650.2134524752646</v>
      </c>
      <c r="GB174" s="114">
        <v>6677.2921742075769</v>
      </c>
      <c r="GC174" s="114">
        <v>1259.8135898216524</v>
      </c>
      <c r="GD174" s="114">
        <v>4794.9581480018769</v>
      </c>
      <c r="GE174" s="114">
        <v>1431.4267742341335</v>
      </c>
      <c r="GF174" s="114">
        <v>8890.7650359181298</v>
      </c>
      <c r="GG174" s="114">
        <v>6324.0942028148575</v>
      </c>
      <c r="GH174" s="114">
        <v>6028.2141472447574</v>
      </c>
      <c r="GI174" s="114">
        <v>6639.2404699511226</v>
      </c>
      <c r="GJ174" s="114">
        <v>12430.414567810356</v>
      </c>
      <c r="GK174" s="114">
        <v>4015.3325381743439</v>
      </c>
      <c r="GL174" s="114">
        <v>8717.083662984136</v>
      </c>
      <c r="GM174" s="114">
        <v>7867.5321529930025</v>
      </c>
      <c r="GN174" s="114">
        <v>5322.9267154501722</v>
      </c>
      <c r="GO174" s="114">
        <v>8332.6551153330984</v>
      </c>
      <c r="GP174" s="114">
        <v>8602.6130612441193</v>
      </c>
      <c r="GQ174" s="114">
        <v>8895.9815836823454</v>
      </c>
      <c r="GR174" s="114">
        <v>15608.560238351267</v>
      </c>
      <c r="GS174" s="114">
        <v>1454.8086902491098</v>
      </c>
      <c r="GT174" s="115">
        <v>9540.6824278247113</v>
      </c>
    </row>
    <row r="175" spans="2:202" x14ac:dyDescent="0.6">
      <c r="B175" s="106" t="s">
        <v>160</v>
      </c>
      <c r="C175" s="63" t="s">
        <v>514</v>
      </c>
      <c r="D175" s="113">
        <v>5267.813672013619</v>
      </c>
      <c r="E175" s="114">
        <v>1181.1296739836794</v>
      </c>
      <c r="F175" s="114">
        <v>669.16009149909758</v>
      </c>
      <c r="G175" s="114">
        <v>6151.1671549304765</v>
      </c>
      <c r="H175" s="114">
        <v>7048.4436638325351</v>
      </c>
      <c r="I175" s="114">
        <v>11394.214460381352</v>
      </c>
      <c r="J175" s="114">
        <v>3050.0543635433983</v>
      </c>
      <c r="K175" s="114">
        <v>16664.477958350843</v>
      </c>
      <c r="L175" s="114">
        <v>694.8250776943371</v>
      </c>
      <c r="M175" s="114">
        <v>3441.8332367663797</v>
      </c>
      <c r="N175" s="114">
        <v>7610.7286778508424</v>
      </c>
      <c r="O175" s="114">
        <v>4399.896303729598</v>
      </c>
      <c r="P175" s="114">
        <v>7621.2744547602906</v>
      </c>
      <c r="Q175" s="114">
        <v>7174.4815279186596</v>
      </c>
      <c r="R175" s="114">
        <v>1617.2475336920752</v>
      </c>
      <c r="S175" s="114">
        <v>492.86796437425556</v>
      </c>
      <c r="T175" s="114">
        <v>9044.1376984124945</v>
      </c>
      <c r="U175" s="114">
        <v>4509.7322547157482</v>
      </c>
      <c r="V175" s="114">
        <v>7271.2554892176258</v>
      </c>
      <c r="W175" s="114">
        <v>10236.793369070216</v>
      </c>
      <c r="X175" s="114">
        <v>925.91850966064544</v>
      </c>
      <c r="Y175" s="114">
        <v>8108.8987567876884</v>
      </c>
      <c r="Z175" s="114">
        <v>9491.5788226295317</v>
      </c>
      <c r="AA175" s="114">
        <v>9237.7534459694725</v>
      </c>
      <c r="AB175" s="114">
        <v>10975.577972654977</v>
      </c>
      <c r="AC175" s="114">
        <v>1340.0713506060333</v>
      </c>
      <c r="AD175" s="114">
        <v>3911.2985955015806</v>
      </c>
      <c r="AE175" s="114">
        <v>5932.8028202263131</v>
      </c>
      <c r="AF175" s="114">
        <v>4511.2831014538096</v>
      </c>
      <c r="AG175" s="114">
        <v>9638.1051723830769</v>
      </c>
      <c r="AH175" s="114">
        <v>4733.9832422948502</v>
      </c>
      <c r="AI175" s="114">
        <v>4805.2883293379382</v>
      </c>
      <c r="AJ175" s="114">
        <v>6444.7593589416874</v>
      </c>
      <c r="AK175" s="114">
        <v>6085.921668335598</v>
      </c>
      <c r="AL175" s="114">
        <v>4827.4382325596889</v>
      </c>
      <c r="AM175" s="114">
        <v>3893.9637539896062</v>
      </c>
      <c r="AN175" s="114">
        <v>11785.004040580947</v>
      </c>
      <c r="AO175" s="114">
        <v>9140.6440073692484</v>
      </c>
      <c r="AP175" s="114">
        <v>8129.4333854088645</v>
      </c>
      <c r="AQ175" s="114">
        <v>8991.0014733079715</v>
      </c>
      <c r="AR175" s="114">
        <v>7368.4695367463928</v>
      </c>
      <c r="AS175" s="114">
        <v>5714.5908702662628</v>
      </c>
      <c r="AT175" s="114">
        <v>5685.7568256320947</v>
      </c>
      <c r="AU175" s="114">
        <v>9336.6844654622146</v>
      </c>
      <c r="AV175" s="114">
        <v>4710.9184542649355</v>
      </c>
      <c r="AW175" s="114">
        <v>651.33615309495553</v>
      </c>
      <c r="AX175" s="114">
        <v>8131.6470688352656</v>
      </c>
      <c r="AY175" s="114">
        <v>2512.6021385629724</v>
      </c>
      <c r="AZ175" s="114">
        <v>642.33820744698596</v>
      </c>
      <c r="BA175" s="114">
        <v>1044.1307325083587</v>
      </c>
      <c r="BB175" s="114">
        <v>5131.873910456352</v>
      </c>
      <c r="BC175" s="114">
        <v>7152.1346814139688</v>
      </c>
      <c r="BD175" s="114">
        <v>7549.6559554872401</v>
      </c>
      <c r="BE175" s="114">
        <v>5698.300194574038</v>
      </c>
      <c r="BF175" s="114">
        <v>9685.788631289819</v>
      </c>
      <c r="BG175" s="114">
        <v>2759.6454340379155</v>
      </c>
      <c r="BH175" s="114">
        <v>9407.8756873010225</v>
      </c>
      <c r="BI175" s="114">
        <v>4796.1749789985142</v>
      </c>
      <c r="BJ175" s="114">
        <v>4533.2538260923375</v>
      </c>
      <c r="BK175" s="114">
        <v>1808.2196040840251</v>
      </c>
      <c r="BL175" s="114">
        <v>8436.0918627596639</v>
      </c>
      <c r="BM175" s="114">
        <v>5112.0554777980951</v>
      </c>
      <c r="BN175" s="114">
        <v>1902.2762869586163</v>
      </c>
      <c r="BO175" s="114">
        <v>437.47140306960267</v>
      </c>
      <c r="BP175" s="114">
        <v>5154.1638229133587</v>
      </c>
      <c r="BQ175" s="114">
        <v>4312.0219915426542</v>
      </c>
      <c r="BR175" s="114">
        <v>3002.4455770009895</v>
      </c>
      <c r="BS175" s="114">
        <v>769.0450915242119</v>
      </c>
      <c r="BT175" s="114">
        <v>367.77690362543927</v>
      </c>
      <c r="BU175" s="114">
        <v>407.11940426562666</v>
      </c>
      <c r="BV175" s="114">
        <v>4637.4237658282782</v>
      </c>
      <c r="BW175" s="114">
        <v>1662.7459590333094</v>
      </c>
      <c r="BX175" s="114">
        <v>7439.1444175627357</v>
      </c>
      <c r="BY175" s="114">
        <v>9409.7751660086305</v>
      </c>
      <c r="BZ175" s="114">
        <v>4589.1707710381752</v>
      </c>
      <c r="CA175" s="114">
        <v>4452.0026292234306</v>
      </c>
      <c r="CB175" s="114">
        <v>7616.519129057684</v>
      </c>
      <c r="CC175" s="114">
        <v>7740.8182943072998</v>
      </c>
      <c r="CD175" s="114">
        <v>9209.6836559798558</v>
      </c>
      <c r="CE175" s="114">
        <v>896.45984324548783</v>
      </c>
      <c r="CF175" s="114">
        <v>2625.3652435800964</v>
      </c>
      <c r="CG175" s="114">
        <v>6629.8035148713961</v>
      </c>
      <c r="CH175" s="114">
        <v>6270.9724934374253</v>
      </c>
      <c r="CI175" s="114">
        <v>11195.568675236322</v>
      </c>
      <c r="CJ175" s="114">
        <v>3839.2266754921666</v>
      </c>
      <c r="CK175" s="114">
        <v>3449.8338405681866</v>
      </c>
      <c r="CL175" s="114">
        <v>1209.4944891010873</v>
      </c>
      <c r="CM175" s="114">
        <v>3951.6406510254528</v>
      </c>
      <c r="CN175" s="114">
        <v>687.51509914734856</v>
      </c>
      <c r="CO175" s="114">
        <v>192.0095967049709</v>
      </c>
      <c r="CP175" s="114">
        <v>8098.0330919115868</v>
      </c>
      <c r="CQ175" s="114">
        <v>9711.2117878666832</v>
      </c>
      <c r="CR175" s="114">
        <v>2928.4115279810717</v>
      </c>
      <c r="CS175" s="114">
        <v>4563.1328973022055</v>
      </c>
      <c r="CT175" s="114">
        <v>6025.2367402154623</v>
      </c>
      <c r="CU175" s="114">
        <v>3994.7758241423157</v>
      </c>
      <c r="CV175" s="114">
        <v>5178.5167493432227</v>
      </c>
      <c r="CW175" s="114">
        <v>8970.8887555295878</v>
      </c>
      <c r="CX175" s="114">
        <v>1597.0065563804305</v>
      </c>
      <c r="CY175" s="114">
        <v>2769.53291773505</v>
      </c>
      <c r="CZ175" s="114">
        <v>8660.356973720427</v>
      </c>
      <c r="DA175" s="114">
        <v>4802.2561432055545</v>
      </c>
      <c r="DB175" s="114">
        <v>1641.3069651152782</v>
      </c>
      <c r="DC175" s="114">
        <v>164.52398129726865</v>
      </c>
      <c r="DD175" s="114">
        <v>1529.4752009983806</v>
      </c>
      <c r="DE175" s="114">
        <v>323.69319786643268</v>
      </c>
      <c r="DF175" s="114">
        <v>8278.8611849606914</v>
      </c>
      <c r="DG175" s="114">
        <v>7226.2074108286133</v>
      </c>
      <c r="DH175" s="114">
        <v>10072.359671340706</v>
      </c>
      <c r="DI175" s="114">
        <v>7867.6836991187038</v>
      </c>
      <c r="DJ175" s="114">
        <v>4052.6294428572419</v>
      </c>
      <c r="DK175" s="114">
        <v>1359.4152012707277</v>
      </c>
      <c r="DL175" s="114">
        <v>8949.9591091443908</v>
      </c>
      <c r="DM175" s="114">
        <v>8966.8802315380162</v>
      </c>
      <c r="DN175" s="114">
        <v>9652.2323450790955</v>
      </c>
      <c r="DO175" s="114">
        <v>1638.7402984909941</v>
      </c>
      <c r="DP175" s="114">
        <v>315.06348767789444</v>
      </c>
      <c r="DQ175" s="114">
        <v>6948.7661085104437</v>
      </c>
      <c r="DR175" s="114">
        <v>1053.9324116151572</v>
      </c>
      <c r="DS175" s="114">
        <v>1833.1174055288582</v>
      </c>
      <c r="DT175" s="114">
        <v>8409.256683142823</v>
      </c>
      <c r="DU175" s="114">
        <v>8606.928051282388</v>
      </c>
      <c r="DV175" s="114">
        <v>7726.2711363880535</v>
      </c>
      <c r="DW175" s="114">
        <v>6944.7173438215441</v>
      </c>
      <c r="DX175" s="114">
        <v>659.73009182574469</v>
      </c>
      <c r="DY175" s="114">
        <v>18521.027611951031</v>
      </c>
      <c r="DZ175" s="114">
        <v>18824.107419398457</v>
      </c>
      <c r="EA175" s="114">
        <v>9299.389603663707</v>
      </c>
      <c r="EB175" s="114">
        <v>3734.8701298014798</v>
      </c>
      <c r="EC175" s="114">
        <v>4172.0353783956389</v>
      </c>
      <c r="ED175" s="114">
        <v>8677.5695304085384</v>
      </c>
      <c r="EE175" s="114">
        <v>1220.5581475082458</v>
      </c>
      <c r="EF175" s="114">
        <v>1458.3543085039114</v>
      </c>
      <c r="EG175" s="114">
        <v>5204.1112189081168</v>
      </c>
      <c r="EH175" s="114">
        <v>5751.377747016114</v>
      </c>
      <c r="EI175" s="114">
        <v>5625.4609074648442</v>
      </c>
      <c r="EJ175" s="114">
        <v>9017.9603163731554</v>
      </c>
      <c r="EK175" s="114">
        <v>10267.745515147513</v>
      </c>
      <c r="EL175" s="114">
        <v>10543.133618467751</v>
      </c>
      <c r="EM175" s="114">
        <v>10564.155455111724</v>
      </c>
      <c r="EN175" s="114">
        <v>1167.5921788618477</v>
      </c>
      <c r="EO175" s="114">
        <v>1615.0816226271577</v>
      </c>
      <c r="EP175" s="114">
        <v>4548.9125959868261</v>
      </c>
      <c r="EQ175" s="114">
        <v>1487.2521624546789</v>
      </c>
      <c r="ER175" s="114">
        <v>2324.0017839603811</v>
      </c>
      <c r="ES175" s="114">
        <v>5799.2490251780746</v>
      </c>
      <c r="ET175" s="114">
        <v>7089.6308276572536</v>
      </c>
      <c r="EU175" s="114">
        <v>7194.7050817642112</v>
      </c>
      <c r="EV175" s="114">
        <v>7306.9866575497017</v>
      </c>
      <c r="EW175" s="114">
        <v>517.7254963227607</v>
      </c>
      <c r="EX175" s="114">
        <v>5167.9570027371565</v>
      </c>
      <c r="EY175" s="114">
        <v>4249.6760539209281</v>
      </c>
      <c r="EZ175" s="114">
        <v>4250.2305113605689</v>
      </c>
      <c r="FA175" s="114">
        <v>1043.9000673131015</v>
      </c>
      <c r="FB175" s="114">
        <v>4678.9039244721098</v>
      </c>
      <c r="FC175" s="114">
        <v>10397.310473504143</v>
      </c>
      <c r="FD175" s="114">
        <v>756.54636325114495</v>
      </c>
      <c r="FE175" s="114">
        <v>544.56134116452654</v>
      </c>
      <c r="FF175" s="114">
        <v>6165.0664828299587</v>
      </c>
      <c r="FG175" s="114">
        <v>8277.4239279989906</v>
      </c>
      <c r="FH175" s="114">
        <v>8898.1355008459504</v>
      </c>
      <c r="FI175" s="114">
        <v>5193.6056459028314</v>
      </c>
      <c r="FJ175" s="114">
        <v>1114.1216873911196</v>
      </c>
      <c r="FK175" s="114">
        <v>706.30961025419549</v>
      </c>
      <c r="FL175" s="114">
        <v>8120.5046078563701</v>
      </c>
      <c r="FM175" s="114">
        <v>4180.2576227628178</v>
      </c>
      <c r="FN175" s="114">
        <v>7476.8907559997697</v>
      </c>
      <c r="FO175" s="114">
        <v>1574.3026881958738</v>
      </c>
      <c r="FP175" s="114" t="s">
        <v>237</v>
      </c>
      <c r="FQ175" s="114">
        <v>2847.9206442455366</v>
      </c>
      <c r="FR175" s="114">
        <v>9681.7978206265016</v>
      </c>
      <c r="FS175" s="114">
        <v>4975.8970798646951</v>
      </c>
      <c r="FT175" s="114">
        <v>6725.099514929846</v>
      </c>
      <c r="FU175" s="114">
        <v>9153.2490073878926</v>
      </c>
      <c r="FV175" s="114">
        <v>12799.187771307137</v>
      </c>
      <c r="FW175" s="114">
        <v>4538.7771259647416</v>
      </c>
      <c r="FX175" s="114">
        <v>7532.4826598902055</v>
      </c>
      <c r="FY175" s="114">
        <v>1144.0293234834726</v>
      </c>
      <c r="FZ175" s="114">
        <v>2182.8950410891575</v>
      </c>
      <c r="GA175" s="114">
        <v>4165.9172824555844</v>
      </c>
      <c r="GB175" s="114">
        <v>5702.3033377382808</v>
      </c>
      <c r="GC175" s="114">
        <v>1739.1309011770431</v>
      </c>
      <c r="GD175" s="114">
        <v>4826.7654372436609</v>
      </c>
      <c r="GE175" s="114">
        <v>754.30289139832212</v>
      </c>
      <c r="GF175" s="114">
        <v>9524.8586020753792</v>
      </c>
      <c r="GG175" s="114">
        <v>6277.1919941856095</v>
      </c>
      <c r="GH175" s="114">
        <v>5971.347863547534</v>
      </c>
      <c r="GI175" s="114">
        <v>6603.5125721469813</v>
      </c>
      <c r="GJ175" s="114">
        <v>11015.569411126024</v>
      </c>
      <c r="GK175" s="114">
        <v>4862.3909190247614</v>
      </c>
      <c r="GL175" s="114">
        <v>7944.3183795101759</v>
      </c>
      <c r="GM175" s="114">
        <v>8924.9247851344917</v>
      </c>
      <c r="GN175" s="114">
        <v>4863.5524137557068</v>
      </c>
      <c r="GO175" s="114">
        <v>7188.159372925471</v>
      </c>
      <c r="GP175" s="114">
        <v>7504.3717109719646</v>
      </c>
      <c r="GQ175" s="114">
        <v>9837.5808508554146</v>
      </c>
      <c r="GR175" s="114">
        <v>16608.073381108195</v>
      </c>
      <c r="GS175" s="114">
        <v>131.20691704541719</v>
      </c>
      <c r="GT175" s="115">
        <v>8357.0065862856045</v>
      </c>
    </row>
    <row r="176" spans="2:202" x14ac:dyDescent="0.6">
      <c r="B176" s="106" t="s">
        <v>161</v>
      </c>
      <c r="C176" s="63" t="s">
        <v>515</v>
      </c>
      <c r="D176" s="113">
        <v>3031.761455392365</v>
      </c>
      <c r="E176" s="114">
        <v>3025.1016414062874</v>
      </c>
      <c r="F176" s="114">
        <v>3196.6086196512188</v>
      </c>
      <c r="G176" s="114">
        <v>5247.0748510889434</v>
      </c>
      <c r="H176" s="114">
        <v>9687.7493511873708</v>
      </c>
      <c r="I176" s="114">
        <v>12612.250783862492</v>
      </c>
      <c r="J176" s="114">
        <v>1046.4818285057627</v>
      </c>
      <c r="K176" s="114">
        <v>14085.622807868658</v>
      </c>
      <c r="L176" s="114">
        <v>2341.5276977431795</v>
      </c>
      <c r="M176" s="114">
        <v>1420.0369325119586</v>
      </c>
      <c r="N176" s="114">
        <v>10441.187006101563</v>
      </c>
      <c r="O176" s="114">
        <v>1579.1737595190893</v>
      </c>
      <c r="P176" s="114">
        <v>5345.2596073138848</v>
      </c>
      <c r="Q176" s="114">
        <v>9713.0135071449095</v>
      </c>
      <c r="R176" s="114">
        <v>2355.7036357162206</v>
      </c>
      <c r="S176" s="114">
        <v>3224.8103509854391</v>
      </c>
      <c r="T176" s="114">
        <v>11881.308374649647</v>
      </c>
      <c r="U176" s="114">
        <v>4601.2296930260654</v>
      </c>
      <c r="V176" s="114">
        <v>5102.8090809587702</v>
      </c>
      <c r="W176" s="114">
        <v>12293.434789135274</v>
      </c>
      <c r="X176" s="114">
        <v>1924.3024183147304</v>
      </c>
      <c r="Y176" s="114">
        <v>6519.0323318472902</v>
      </c>
      <c r="Z176" s="114">
        <v>10797.333268051574</v>
      </c>
      <c r="AA176" s="114">
        <v>10463.156749427222</v>
      </c>
      <c r="AB176" s="114">
        <v>8693.3401811099484</v>
      </c>
      <c r="AC176" s="114">
        <v>1524.2221264579227</v>
      </c>
      <c r="AD176" s="114">
        <v>4468.3711162999643</v>
      </c>
      <c r="AE176" s="114">
        <v>4120.391660052509</v>
      </c>
      <c r="AF176" s="114">
        <v>6283.9312347573923</v>
      </c>
      <c r="AG176" s="114">
        <v>7311.8305327603075</v>
      </c>
      <c r="AH176" s="114">
        <v>4256.0210590802853</v>
      </c>
      <c r="AI176" s="114">
        <v>4198.065695006072</v>
      </c>
      <c r="AJ176" s="114">
        <v>9251.3105305918507</v>
      </c>
      <c r="AK176" s="114">
        <v>8896.5070613853113</v>
      </c>
      <c r="AL176" s="114">
        <v>3723.8088036123472</v>
      </c>
      <c r="AM176" s="114">
        <v>3219.8236370564687</v>
      </c>
      <c r="AN176" s="114">
        <v>13346.504359903744</v>
      </c>
      <c r="AO176" s="114">
        <v>7774.0951538471945</v>
      </c>
      <c r="AP176" s="114">
        <v>6953.0504638145876</v>
      </c>
      <c r="AQ176" s="114">
        <v>11590.767368928231</v>
      </c>
      <c r="AR176" s="114">
        <v>5025.1756373869248</v>
      </c>
      <c r="AS176" s="114">
        <v>4725.2455393492273</v>
      </c>
      <c r="AT176" s="114">
        <v>4711.0791487329552</v>
      </c>
      <c r="AU176" s="114">
        <v>12106.409305012434</v>
      </c>
      <c r="AV176" s="114">
        <v>5184.9514263416613</v>
      </c>
      <c r="AW176" s="114">
        <v>2218.9505580471091</v>
      </c>
      <c r="AX176" s="114">
        <v>10969.942631743601</v>
      </c>
      <c r="AY176" s="114">
        <v>335.63649405042139</v>
      </c>
      <c r="AZ176" s="114">
        <v>2587.8493137450951</v>
      </c>
      <c r="BA176" s="114">
        <v>3072.0728497593786</v>
      </c>
      <c r="BB176" s="114">
        <v>2545.8732423035494</v>
      </c>
      <c r="BC176" s="114">
        <v>9753.9982452526001</v>
      </c>
      <c r="BD176" s="114">
        <v>10283.338040706823</v>
      </c>
      <c r="BE176" s="114">
        <v>4720.5519906922109</v>
      </c>
      <c r="BF176" s="114">
        <v>12275.008690902763</v>
      </c>
      <c r="BG176" s="114">
        <v>601.02408775227423</v>
      </c>
      <c r="BH176" s="114">
        <v>12233.763022828767</v>
      </c>
      <c r="BI176" s="114">
        <v>4389.9262324769152</v>
      </c>
      <c r="BJ176" s="114">
        <v>2027.8337400848627</v>
      </c>
      <c r="BK176" s="114">
        <v>3009.1049510755593</v>
      </c>
      <c r="BL176" s="114">
        <v>6635.9851811328735</v>
      </c>
      <c r="BM176" s="114">
        <v>2709.569220920539</v>
      </c>
      <c r="BN176" s="114">
        <v>3094.5149062178866</v>
      </c>
      <c r="BO176" s="114">
        <v>3279.1375115928431</v>
      </c>
      <c r="BP176" s="114">
        <v>4627.3470485153412</v>
      </c>
      <c r="BQ176" s="114">
        <v>5743.6066475835714</v>
      </c>
      <c r="BR176" s="114">
        <v>1164.0642148360776</v>
      </c>
      <c r="BS176" s="114">
        <v>2797.564396963829</v>
      </c>
      <c r="BT176" s="114">
        <v>2629.2218491105123</v>
      </c>
      <c r="BU176" s="114">
        <v>2921.200726675032</v>
      </c>
      <c r="BV176" s="114">
        <v>4864.6990664414325</v>
      </c>
      <c r="BW176" s="114">
        <v>1245.3896463447359</v>
      </c>
      <c r="BX176" s="114">
        <v>9995.2417762047262</v>
      </c>
      <c r="BY176" s="114">
        <v>12243.955707161702</v>
      </c>
      <c r="BZ176" s="114">
        <v>5726.9823270293791</v>
      </c>
      <c r="CA176" s="114">
        <v>5767.4240949221612</v>
      </c>
      <c r="CB176" s="114">
        <v>10008.268334456428</v>
      </c>
      <c r="CC176" s="114">
        <v>10497.145591346802</v>
      </c>
      <c r="CD176" s="114">
        <v>12029.720365988014</v>
      </c>
      <c r="CE176" s="114">
        <v>2119.1466810709421</v>
      </c>
      <c r="CF176" s="114">
        <v>5167.6096469968443</v>
      </c>
      <c r="CG176" s="114">
        <v>3962.6501510790595</v>
      </c>
      <c r="CH176" s="114">
        <v>3923.0743666826879</v>
      </c>
      <c r="CI176" s="114">
        <v>8574.7454799904535</v>
      </c>
      <c r="CJ176" s="114">
        <v>1406.5252249037981</v>
      </c>
      <c r="CK176" s="114">
        <v>754.97656629171377</v>
      </c>
      <c r="CL176" s="114">
        <v>3995.3454383631511</v>
      </c>
      <c r="CM176" s="114">
        <v>6547.5427115424591</v>
      </c>
      <c r="CN176" s="114">
        <v>2290.2762607386881</v>
      </c>
      <c r="CO176" s="114">
        <v>2666.2175749067501</v>
      </c>
      <c r="CP176" s="114">
        <v>10882.116554410724</v>
      </c>
      <c r="CQ176" s="114">
        <v>8978.3379043594396</v>
      </c>
      <c r="CR176" s="114">
        <v>202.09171702122276</v>
      </c>
      <c r="CS176" s="114">
        <v>3454.3157741190571</v>
      </c>
      <c r="CT176" s="114">
        <v>3833.0180609788626</v>
      </c>
      <c r="CU176" s="114">
        <v>1206.9575270242678</v>
      </c>
      <c r="CV176" s="114">
        <v>3478.4612235138802</v>
      </c>
      <c r="CW176" s="114">
        <v>6756.8792183568439</v>
      </c>
      <c r="CX176" s="114">
        <v>2743.7691025992676</v>
      </c>
      <c r="CY176" s="114">
        <v>84.701815356963564</v>
      </c>
      <c r="CZ176" s="114">
        <v>7010.1349172907858</v>
      </c>
      <c r="DA176" s="114">
        <v>5669.3705617862097</v>
      </c>
      <c r="DB176" s="114">
        <v>2155.1860239897646</v>
      </c>
      <c r="DC176" s="114">
        <v>2727.2562321659207</v>
      </c>
      <c r="DD176" s="114">
        <v>2497.3487248958627</v>
      </c>
      <c r="DE176" s="114">
        <v>3049.9985325594726</v>
      </c>
      <c r="DF176" s="114">
        <v>5885.3182994276112</v>
      </c>
      <c r="DG176" s="114">
        <v>5267.3202671257523</v>
      </c>
      <c r="DH176" s="114">
        <v>7528.2710997969789</v>
      </c>
      <c r="DI176" s="114">
        <v>5037.9740619832592</v>
      </c>
      <c r="DJ176" s="114">
        <v>5001.6850010724393</v>
      </c>
      <c r="DK176" s="114">
        <v>2017.2581660780352</v>
      </c>
      <c r="DL176" s="114">
        <v>6346.7498716793343</v>
      </c>
      <c r="DM176" s="114">
        <v>6360.649361718808</v>
      </c>
      <c r="DN176" s="114">
        <v>12492.979871678421</v>
      </c>
      <c r="DO176" s="114">
        <v>1644.6271186925176</v>
      </c>
      <c r="DP176" s="114">
        <v>2739.2913320476387</v>
      </c>
      <c r="DQ176" s="114">
        <v>5969.1473159671732</v>
      </c>
      <c r="DR176" s="114">
        <v>1794.0854667998115</v>
      </c>
      <c r="DS176" s="114">
        <v>3952.6418566457241</v>
      </c>
      <c r="DT176" s="114">
        <v>6559.876728477695</v>
      </c>
      <c r="DU176" s="114">
        <v>6251.2153252334519</v>
      </c>
      <c r="DV176" s="114">
        <v>6512.2545251722458</v>
      </c>
      <c r="DW176" s="114">
        <v>4704.848775241494</v>
      </c>
      <c r="DX176" s="114">
        <v>3287.1311533074681</v>
      </c>
      <c r="DY176" s="114">
        <v>16255.33381985581</v>
      </c>
      <c r="DZ176" s="114">
        <v>16252.203432201211</v>
      </c>
      <c r="EA176" s="114">
        <v>12103.032600814335</v>
      </c>
      <c r="EB176" s="114">
        <v>4105.2335486429583</v>
      </c>
      <c r="EC176" s="114">
        <v>4000.5081557434419</v>
      </c>
      <c r="ED176" s="114">
        <v>7687.6182614649215</v>
      </c>
      <c r="EE176" s="114">
        <v>1627.9610084361982</v>
      </c>
      <c r="EF176" s="114">
        <v>3475.2924879260972</v>
      </c>
      <c r="EG176" s="114">
        <v>2428.1727187072315</v>
      </c>
      <c r="EH176" s="114">
        <v>3130.6852356455443</v>
      </c>
      <c r="EI176" s="114">
        <v>3410.8692955871752</v>
      </c>
      <c r="EJ176" s="114">
        <v>11740.053250687046</v>
      </c>
      <c r="EK176" s="114">
        <v>11807.885030479441</v>
      </c>
      <c r="EL176" s="114">
        <v>12881.463395403236</v>
      </c>
      <c r="EM176" s="114">
        <v>8662.0330420004957</v>
      </c>
      <c r="EN176" s="114">
        <v>2422.4671455118028</v>
      </c>
      <c r="EO176" s="114">
        <v>4079.0507757175269</v>
      </c>
      <c r="EP176" s="114">
        <v>1725.7582370511477</v>
      </c>
      <c r="EQ176" s="114">
        <v>1497.8805810928418</v>
      </c>
      <c r="ER176" s="114">
        <v>2499.438041995415</v>
      </c>
      <c r="ES176" s="114">
        <v>3932.6566252892248</v>
      </c>
      <c r="ET176" s="114">
        <v>9736.5324495683235</v>
      </c>
      <c r="EU176" s="114">
        <v>9768.2317139215229</v>
      </c>
      <c r="EV176" s="114">
        <v>9871.9528111628442</v>
      </c>
      <c r="EW176" s="114">
        <v>2359.7964702977424</v>
      </c>
      <c r="EX176" s="114">
        <v>4828.2730625552049</v>
      </c>
      <c r="EY176" s="114">
        <v>1402.5985142317536</v>
      </c>
      <c r="EZ176" s="114">
        <v>5763.3078844052543</v>
      </c>
      <c r="FA176" s="114">
        <v>1844.0313025849327</v>
      </c>
      <c r="FB176" s="114">
        <v>5762.9856243593476</v>
      </c>
      <c r="FC176" s="114">
        <v>7859.3439476216818</v>
      </c>
      <c r="FD176" s="114">
        <v>2290.5505590795569</v>
      </c>
      <c r="FE176" s="114">
        <v>2332.9409476483825</v>
      </c>
      <c r="FF176" s="114">
        <v>3604.2828860803888</v>
      </c>
      <c r="FG176" s="114">
        <v>6587.0119811898849</v>
      </c>
      <c r="FH176" s="114">
        <v>7871.2633028489254</v>
      </c>
      <c r="FI176" s="114">
        <v>3198.9688745420003</v>
      </c>
      <c r="FJ176" s="114">
        <v>3582.2353580626645</v>
      </c>
      <c r="FK176" s="114">
        <v>3115.3153408004018</v>
      </c>
      <c r="FL176" s="114">
        <v>5361.9739469734259</v>
      </c>
      <c r="FM176" s="114">
        <v>2037.2086414441815</v>
      </c>
      <c r="FN176" s="114">
        <v>9790.6524276651835</v>
      </c>
      <c r="FO176" s="114">
        <v>3176.4346476784376</v>
      </c>
      <c r="FP176" s="114">
        <v>2847.9206442455366</v>
      </c>
      <c r="FQ176" s="114" t="s">
        <v>237</v>
      </c>
      <c r="FR176" s="114">
        <v>8111.4426800931487</v>
      </c>
      <c r="FS176" s="114">
        <v>2950.0847984742059</v>
      </c>
      <c r="FT176" s="114">
        <v>4472.0941833264096</v>
      </c>
      <c r="FU176" s="114">
        <v>6799.5947510182987</v>
      </c>
      <c r="FV176" s="114">
        <v>10431.256947473574</v>
      </c>
      <c r="FW176" s="114">
        <v>4707.6066553473811</v>
      </c>
      <c r="FX176" s="114">
        <v>10060.347856795619</v>
      </c>
      <c r="FY176" s="114">
        <v>2396.4951024224206</v>
      </c>
      <c r="FZ176" s="114">
        <v>769.30006547099561</v>
      </c>
      <c r="GA176" s="114">
        <v>1991.0201718379235</v>
      </c>
      <c r="GB176" s="114">
        <v>3702.8413856717339</v>
      </c>
      <c r="GC176" s="114">
        <v>1950.9957850543442</v>
      </c>
      <c r="GD176" s="114">
        <v>2019.4977168061732</v>
      </c>
      <c r="GE176" s="114">
        <v>3536.8325626224691</v>
      </c>
      <c r="GF176" s="114">
        <v>12064.007939299914</v>
      </c>
      <c r="GG176" s="114">
        <v>9115.8966041598396</v>
      </c>
      <c r="GH176" s="114">
        <v>8809.7887136648442</v>
      </c>
      <c r="GI176" s="114">
        <v>9442.3205688233083</v>
      </c>
      <c r="GJ176" s="114">
        <v>12207.54482217549</v>
      </c>
      <c r="GK176" s="114">
        <v>3022.8996345695623</v>
      </c>
      <c r="GL176" s="114">
        <v>10537.210659115217</v>
      </c>
      <c r="GM176" s="114">
        <v>6871.0115024249335</v>
      </c>
      <c r="GN176" s="114">
        <v>2150.5970813999052</v>
      </c>
      <c r="GO176" s="114">
        <v>5468.5398660551173</v>
      </c>
      <c r="GP176" s="114">
        <v>5667.4680789734994</v>
      </c>
      <c r="GQ176" s="114">
        <v>7539.1782980176004</v>
      </c>
      <c r="GR176" s="114">
        <v>13971.362655708759</v>
      </c>
      <c r="GS176" s="114">
        <v>2793.7175356533166</v>
      </c>
      <c r="GT176" s="115">
        <v>6671.9039413964547</v>
      </c>
    </row>
    <row r="177" spans="2:202" x14ac:dyDescent="0.6">
      <c r="B177" s="106" t="s">
        <v>162</v>
      </c>
      <c r="C177" s="63" t="s">
        <v>551</v>
      </c>
      <c r="D177" s="113">
        <v>5115.8736600052316</v>
      </c>
      <c r="E177" s="114">
        <v>10623.391725351185</v>
      </c>
      <c r="F177" s="114">
        <v>10343.274805362806</v>
      </c>
      <c r="G177" s="114">
        <v>12255.930056738069</v>
      </c>
      <c r="H177" s="114">
        <v>15313.390112086212</v>
      </c>
      <c r="I177" s="114">
        <v>18753.397996998236</v>
      </c>
      <c r="J177" s="114">
        <v>7207.7552990209451</v>
      </c>
      <c r="K177" s="114">
        <v>7250.2328605414141</v>
      </c>
      <c r="L177" s="114">
        <v>9016.1875136751332</v>
      </c>
      <c r="M177" s="114">
        <v>6765.9392048774789</v>
      </c>
      <c r="N177" s="114">
        <v>14091.729941277352</v>
      </c>
      <c r="O177" s="114">
        <v>7051.6419984961067</v>
      </c>
      <c r="P177" s="114">
        <v>3172.3345735399653</v>
      </c>
      <c r="Q177" s="114">
        <v>15779.410575760725</v>
      </c>
      <c r="R177" s="114">
        <v>8065.2389124467663</v>
      </c>
      <c r="S177" s="114">
        <v>9613.686473373531</v>
      </c>
      <c r="T177" s="114">
        <v>14314.468442261756</v>
      </c>
      <c r="U177" s="114">
        <v>12579.027630142818</v>
      </c>
      <c r="V177" s="114">
        <v>3206.2348965041651</v>
      </c>
      <c r="W177" s="114">
        <v>18610.311250330946</v>
      </c>
      <c r="X177" s="114">
        <v>9111.5664996398118</v>
      </c>
      <c r="Y177" s="114">
        <v>11691.755245721924</v>
      </c>
      <c r="Z177" s="114">
        <v>18808.868121176874</v>
      </c>
      <c r="AA177" s="114">
        <v>18447.389370694502</v>
      </c>
      <c r="AB177" s="114">
        <v>2386.3127276714458</v>
      </c>
      <c r="AC177" s="114">
        <v>8800.4718804372787</v>
      </c>
      <c r="AD177" s="114">
        <v>12571.169401714458</v>
      </c>
      <c r="AE177" s="114">
        <v>10396.284206632561</v>
      </c>
      <c r="AF177" s="114">
        <v>14158.075936591044</v>
      </c>
      <c r="AG177" s="114">
        <v>2355.627739931942</v>
      </c>
      <c r="AH177" s="114">
        <v>11993.310574534002</v>
      </c>
      <c r="AI177" s="114">
        <v>11859.938196389794</v>
      </c>
      <c r="AJ177" s="114">
        <v>12078.417779264282</v>
      </c>
      <c r="AK177" s="114">
        <v>12010.484597693865</v>
      </c>
      <c r="AL177" s="114">
        <v>11130.584290142559</v>
      </c>
      <c r="AM177" s="114">
        <v>11095.642790234848</v>
      </c>
      <c r="AN177" s="114">
        <v>18539.378209147017</v>
      </c>
      <c r="AO177" s="114">
        <v>688.26584091414725</v>
      </c>
      <c r="AP177" s="114">
        <v>1690.2646955226976</v>
      </c>
      <c r="AQ177" s="114">
        <v>16341.441311803823</v>
      </c>
      <c r="AR177" s="114">
        <v>9402.1755691465187</v>
      </c>
      <c r="AS177" s="114">
        <v>11847.321582919334</v>
      </c>
      <c r="AT177" s="114">
        <v>11855.681517268244</v>
      </c>
      <c r="AU177" s="114">
        <v>15274.35079773347</v>
      </c>
      <c r="AV177" s="114">
        <v>13237.93861345679</v>
      </c>
      <c r="AW177" s="114">
        <v>9196.8018912713487</v>
      </c>
      <c r="AX177" s="114">
        <v>14082.356833617225</v>
      </c>
      <c r="AY177" s="114">
        <v>8298.1545219391191</v>
      </c>
      <c r="AZ177" s="114">
        <v>9042.290337064338</v>
      </c>
      <c r="BA177" s="114">
        <v>8861.1579352273111</v>
      </c>
      <c r="BB177" s="114">
        <v>8427.8909123163157</v>
      </c>
      <c r="BC177" s="114">
        <v>15531.054895150533</v>
      </c>
      <c r="BD177" s="114">
        <v>15047.616345361041</v>
      </c>
      <c r="BE177" s="114">
        <v>11857.814765351684</v>
      </c>
      <c r="BF177" s="114">
        <v>16516.633644650468</v>
      </c>
      <c r="BG177" s="114">
        <v>8686.898185712078</v>
      </c>
      <c r="BH177" s="114">
        <v>14600.569459331366</v>
      </c>
      <c r="BI177" s="114">
        <v>12142.52502194672</v>
      </c>
      <c r="BJ177" s="114">
        <v>8612.6325571320904</v>
      </c>
      <c r="BK177" s="114">
        <v>8023.940895680993</v>
      </c>
      <c r="BL177" s="114">
        <v>11250.486428479686</v>
      </c>
      <c r="BM177" s="114">
        <v>8898.8736347783597</v>
      </c>
      <c r="BN177" s="114">
        <v>7961.3892335314713</v>
      </c>
      <c r="BO177" s="114">
        <v>9864.1698230060447</v>
      </c>
      <c r="BP177" s="114">
        <v>12231.583965977446</v>
      </c>
      <c r="BQ177" s="114">
        <v>13777.28335618159</v>
      </c>
      <c r="BR177" s="114">
        <v>7161.1687338221573</v>
      </c>
      <c r="BS177" s="114">
        <v>8979.3988656895672</v>
      </c>
      <c r="BT177" s="114">
        <v>9315.1119301612634</v>
      </c>
      <c r="BU177" s="114">
        <v>9377.5670992716532</v>
      </c>
      <c r="BV177" s="114">
        <v>12864.721255538516</v>
      </c>
      <c r="BW177" s="114">
        <v>9004.3175402939196</v>
      </c>
      <c r="BX177" s="114">
        <v>15875.305879109386</v>
      </c>
      <c r="BY177" s="114">
        <v>14438.427373754248</v>
      </c>
      <c r="BZ177" s="114">
        <v>13829.690189786448</v>
      </c>
      <c r="CA177" s="114">
        <v>13837.766104390654</v>
      </c>
      <c r="CB177" s="114">
        <v>16508.611861997048</v>
      </c>
      <c r="CC177" s="114">
        <v>14960.866079852418</v>
      </c>
      <c r="CD177" s="114">
        <v>14669.844675075428</v>
      </c>
      <c r="CE177" s="114">
        <v>8869.095532643194</v>
      </c>
      <c r="CF177" s="114">
        <v>9599.5159786484764</v>
      </c>
      <c r="CG177" s="114">
        <v>5034.9466489115421</v>
      </c>
      <c r="CH177" s="114">
        <v>4405.2017186414378</v>
      </c>
      <c r="CI177" s="114">
        <v>3829.949091979543</v>
      </c>
      <c r="CJ177" s="114">
        <v>6711.215430913654</v>
      </c>
      <c r="CK177" s="114">
        <v>7393.9580345480936</v>
      </c>
      <c r="CL177" s="114">
        <v>9963.4604852440898</v>
      </c>
      <c r="CM177" s="114">
        <v>13236.126673969497</v>
      </c>
      <c r="CN177" s="114">
        <v>9645.9348721448077</v>
      </c>
      <c r="CO177" s="114">
        <v>9626.89120700899</v>
      </c>
      <c r="CP177" s="114">
        <v>14845.631418149325</v>
      </c>
      <c r="CQ177" s="114">
        <v>2103.6502072221847</v>
      </c>
      <c r="CR177" s="114">
        <v>8234.170513031313</v>
      </c>
      <c r="CS177" s="114">
        <v>5129.5224971962398</v>
      </c>
      <c r="CT177" s="114">
        <v>9567.8055789933715</v>
      </c>
      <c r="CU177" s="114">
        <v>7171.2517552774871</v>
      </c>
      <c r="CV177" s="114">
        <v>4695.4510038627222</v>
      </c>
      <c r="CW177" s="114">
        <v>2157.9601727604318</v>
      </c>
      <c r="CX177" s="114">
        <v>8147.1601748204748</v>
      </c>
      <c r="CY177" s="114">
        <v>8179.1815358684999</v>
      </c>
      <c r="CZ177" s="114">
        <v>11717.206822160088</v>
      </c>
      <c r="DA177" s="114">
        <v>13776.040949778295</v>
      </c>
      <c r="DB177" s="114">
        <v>10104.078514312987</v>
      </c>
      <c r="DC177" s="114">
        <v>9521.7008844235406</v>
      </c>
      <c r="DD177" s="114">
        <v>8163.805149895722</v>
      </c>
      <c r="DE177" s="114">
        <v>9578.0699019141157</v>
      </c>
      <c r="DF177" s="114">
        <v>9379.156834235353</v>
      </c>
      <c r="DG177" s="114">
        <v>10473.005927554064</v>
      </c>
      <c r="DH177" s="114">
        <v>3257.6591526487823</v>
      </c>
      <c r="DI177" s="114">
        <v>5657.4727894413236</v>
      </c>
      <c r="DJ177" s="114">
        <v>13110.279964508198</v>
      </c>
      <c r="DK177" s="114">
        <v>9833.8445602054508</v>
      </c>
      <c r="DL177" s="114">
        <v>8567.9760265707755</v>
      </c>
      <c r="DM177" s="114">
        <v>8554.3620077637097</v>
      </c>
      <c r="DN177" s="114">
        <v>13416.388383420101</v>
      </c>
      <c r="DO177" s="114">
        <v>8196.8508690732306</v>
      </c>
      <c r="DP177" s="114">
        <v>9849.4485826481632</v>
      </c>
      <c r="DQ177" s="114">
        <v>2850.9990515103541</v>
      </c>
      <c r="DR177" s="114">
        <v>9092.8122210868914</v>
      </c>
      <c r="DS177" s="114">
        <v>11484.76372301662</v>
      </c>
      <c r="DT177" s="114">
        <v>11108.420943698649</v>
      </c>
      <c r="DU177" s="114">
        <v>2799.1294148990974</v>
      </c>
      <c r="DV177" s="114">
        <v>12429.635623189986</v>
      </c>
      <c r="DW177" s="114">
        <v>3624.125072566771</v>
      </c>
      <c r="DX177" s="114">
        <v>9482.5067597314192</v>
      </c>
      <c r="DY177" s="114">
        <v>8852.2439014890515</v>
      </c>
      <c r="DZ177" s="114">
        <v>9156.0774835645079</v>
      </c>
      <c r="EA177" s="114">
        <v>14908.802785034999</v>
      </c>
      <c r="EB177" s="114">
        <v>12198.785615342493</v>
      </c>
      <c r="EC177" s="114">
        <v>11954.626273356707</v>
      </c>
      <c r="ED177" s="114">
        <v>1601.7693721744981</v>
      </c>
      <c r="EE177" s="114">
        <v>8966.0090875530532</v>
      </c>
      <c r="EF177" s="114">
        <v>8728.8637077775074</v>
      </c>
      <c r="EG177" s="114">
        <v>6352.180408805164</v>
      </c>
      <c r="EH177" s="114">
        <v>5452.325426278825</v>
      </c>
      <c r="EI177" s="114">
        <v>4751.9598303252442</v>
      </c>
      <c r="EJ177" s="114">
        <v>15609.684983999872</v>
      </c>
      <c r="EK177" s="114">
        <v>19900.565129590948</v>
      </c>
      <c r="EL177" s="114">
        <v>17584.76724950139</v>
      </c>
      <c r="EM177" s="114">
        <v>1183.8101092116021</v>
      </c>
      <c r="EN177" s="114">
        <v>8515.5900789513726</v>
      </c>
      <c r="EO177" s="114">
        <v>11288.042719659597</v>
      </c>
      <c r="EP177" s="114">
        <v>6980.5575482151635</v>
      </c>
      <c r="EQ177" s="114">
        <v>8505.5641724089</v>
      </c>
      <c r="ER177" s="114">
        <v>7361.1285621855841</v>
      </c>
      <c r="ES177" s="114">
        <v>10236.000252092052</v>
      </c>
      <c r="ET177" s="114">
        <v>15302.407960861288</v>
      </c>
      <c r="EU177" s="114">
        <v>15666.3641010785</v>
      </c>
      <c r="EV177" s="114">
        <v>15765.049869248645</v>
      </c>
      <c r="EW177" s="114">
        <v>9530.1213597395636</v>
      </c>
      <c r="EX177" s="114">
        <v>12523.28813336259</v>
      </c>
      <c r="EY177" s="114">
        <v>7480.0781336236359</v>
      </c>
      <c r="EZ177" s="114">
        <v>13765.603337305036</v>
      </c>
      <c r="FA177" s="114">
        <v>8912.0126435808015</v>
      </c>
      <c r="FB177" s="114">
        <v>13871.251485949399</v>
      </c>
      <c r="FC177" s="114">
        <v>3249.8262203247541</v>
      </c>
      <c r="FD177" s="114">
        <v>8961.2490278930909</v>
      </c>
      <c r="FE177" s="114">
        <v>9252.5342521418661</v>
      </c>
      <c r="FF177" s="114">
        <v>8534.6337109244705</v>
      </c>
      <c r="FG177" s="114">
        <v>11492.255836637212</v>
      </c>
      <c r="FH177" s="114">
        <v>1442.9866971967326</v>
      </c>
      <c r="FI177" s="114">
        <v>9777.8223377713766</v>
      </c>
      <c r="FJ177" s="114">
        <v>10795.739738773418</v>
      </c>
      <c r="FK177" s="114">
        <v>10351.048467733686</v>
      </c>
      <c r="FL177" s="114">
        <v>4863.0315294228376</v>
      </c>
      <c r="FM177" s="114">
        <v>9217.4696623585533</v>
      </c>
      <c r="FN177" s="114">
        <v>16600.871051155325</v>
      </c>
      <c r="FO177" s="114">
        <v>8365.6111291799625</v>
      </c>
      <c r="FP177" s="114">
        <v>9681.7978206265016</v>
      </c>
      <c r="FQ177" s="114">
        <v>8111.4426800931487</v>
      </c>
      <c r="FR177" s="114" t="s">
        <v>237</v>
      </c>
      <c r="FS177" s="114">
        <v>5162.0006202431468</v>
      </c>
      <c r="FT177" s="114">
        <v>9556.5076558901237</v>
      </c>
      <c r="FU177" s="114">
        <v>2571.6557504120028</v>
      </c>
      <c r="FV177" s="114">
        <v>3727.3711561440864</v>
      </c>
      <c r="FW177" s="114">
        <v>12702.847708864383</v>
      </c>
      <c r="FX177" s="114">
        <v>16032.862837684897</v>
      </c>
      <c r="FY177" s="114">
        <v>10101.319425926671</v>
      </c>
      <c r="FZ177" s="114">
        <v>8190.0070260217144</v>
      </c>
      <c r="GA177" s="114">
        <v>6121.9885486578678</v>
      </c>
      <c r="GB177" s="114">
        <v>9924.1225407514085</v>
      </c>
      <c r="GC177" s="114">
        <v>7982.1474133631145</v>
      </c>
      <c r="GD177" s="114">
        <v>6729.5346052674431</v>
      </c>
      <c r="GE177" s="114">
        <v>9791.3737483551376</v>
      </c>
      <c r="GF177" s="114">
        <v>10906.137235658594</v>
      </c>
      <c r="GG177" s="114">
        <v>12529.40536043527</v>
      </c>
      <c r="GH177" s="114">
        <v>12410.01094569509</v>
      </c>
      <c r="GI177" s="114">
        <v>12646.980912355693</v>
      </c>
      <c r="GJ177" s="114">
        <v>18938.863378195612</v>
      </c>
      <c r="GK177" s="114">
        <v>5120.270796037069</v>
      </c>
      <c r="GL177" s="114">
        <v>15988.935058766381</v>
      </c>
      <c r="GM177" s="114">
        <v>1701.1956237036559</v>
      </c>
      <c r="GN177" s="114">
        <v>8045.5405748590274</v>
      </c>
      <c r="GO177" s="114">
        <v>11053.453087785536</v>
      </c>
      <c r="GP177" s="114">
        <v>10870.110048036882</v>
      </c>
      <c r="GQ177" s="114">
        <v>2230.5792418262554</v>
      </c>
      <c r="GR177" s="114">
        <v>7299.1279635035544</v>
      </c>
      <c r="GS177" s="114">
        <v>9552.353703980818</v>
      </c>
      <c r="GT177" s="115">
        <v>11531.282950184308</v>
      </c>
    </row>
    <row r="178" spans="2:202" x14ac:dyDescent="0.6">
      <c r="B178" s="106" t="s">
        <v>163</v>
      </c>
      <c r="C178" s="63" t="s">
        <v>516</v>
      </c>
      <c r="D178" s="113">
        <v>453.86030817582014</v>
      </c>
      <c r="E178" s="114">
        <v>5657.3341226352168</v>
      </c>
      <c r="F178" s="114">
        <v>5560.8772772324228</v>
      </c>
      <c r="G178" s="114">
        <v>7731.7485746792709</v>
      </c>
      <c r="H178" s="114">
        <v>11965.614562163457</v>
      </c>
      <c r="I178" s="114">
        <v>15513.095246237655</v>
      </c>
      <c r="J178" s="114">
        <v>2085.1097031059494</v>
      </c>
      <c r="K178" s="114">
        <v>11688.719206452728</v>
      </c>
      <c r="L178" s="114">
        <v>4284.241164692623</v>
      </c>
      <c r="M178" s="114">
        <v>1639.1068732520637</v>
      </c>
      <c r="N178" s="114">
        <v>12112.01025661848</v>
      </c>
      <c r="O178" s="114">
        <v>2177.8670724105395</v>
      </c>
      <c r="P178" s="114">
        <v>2645.8732400364102</v>
      </c>
      <c r="Q178" s="114">
        <v>12137.505033789688</v>
      </c>
      <c r="R178" s="114">
        <v>3538.3477932685014</v>
      </c>
      <c r="S178" s="114">
        <v>5110.2020751893187</v>
      </c>
      <c r="T178" s="114">
        <v>13384.334907165952</v>
      </c>
      <c r="U178" s="114">
        <v>7498.3857546370491</v>
      </c>
      <c r="V178" s="114">
        <v>2302.6039548215058</v>
      </c>
      <c r="W178" s="114">
        <v>15130.205966145015</v>
      </c>
      <c r="X178" s="114">
        <v>4194.0617831270438</v>
      </c>
      <c r="Y178" s="114">
        <v>8290.0187232290318</v>
      </c>
      <c r="Z178" s="114">
        <v>13741.565325850837</v>
      </c>
      <c r="AA178" s="114">
        <v>13402.562136490413</v>
      </c>
      <c r="AB178" s="114">
        <v>6010.8740861526485</v>
      </c>
      <c r="AC178" s="114">
        <v>3816.4752521253299</v>
      </c>
      <c r="AD178" s="114">
        <v>7416.4211259649874</v>
      </c>
      <c r="AE178" s="114">
        <v>6128.5197778642523</v>
      </c>
      <c r="AF178" s="114">
        <v>9134.1281699586762</v>
      </c>
      <c r="AG178" s="114">
        <v>4662.5024703735889</v>
      </c>
      <c r="AH178" s="114">
        <v>7037.9161575778235</v>
      </c>
      <c r="AI178" s="114">
        <v>6942.0081945272041</v>
      </c>
      <c r="AJ178" s="114">
        <v>10337.964231994038</v>
      </c>
      <c r="AK178" s="114">
        <v>10042.365545801842</v>
      </c>
      <c r="AL178" s="114">
        <v>6318.2812979148366</v>
      </c>
      <c r="AM178" s="114">
        <v>6049.6613322352541</v>
      </c>
      <c r="AN178" s="114">
        <v>16293.900086445788</v>
      </c>
      <c r="AO178" s="114">
        <v>4836.7090033952381</v>
      </c>
      <c r="AP178" s="114">
        <v>4080.2389326626503</v>
      </c>
      <c r="AQ178" s="114">
        <v>13898.48997227132</v>
      </c>
      <c r="AR178" s="114">
        <v>6123.9536422064411</v>
      </c>
      <c r="AS178" s="114">
        <v>7231.0749288891921</v>
      </c>
      <c r="AT178" s="114">
        <v>7226.9345642979106</v>
      </c>
      <c r="AU178" s="114">
        <v>13975.148510648783</v>
      </c>
      <c r="AV178" s="114">
        <v>8115.8304707932093</v>
      </c>
      <c r="AW178" s="114">
        <v>4368.2299553377443</v>
      </c>
      <c r="AX178" s="114">
        <v>12533.807174039679</v>
      </c>
      <c r="AY178" s="114">
        <v>3141.6515118379816</v>
      </c>
      <c r="AZ178" s="114">
        <v>4411.8155097848448</v>
      </c>
      <c r="BA178" s="114">
        <v>4520.2347735696767</v>
      </c>
      <c r="BB178" s="114">
        <v>3998.3393041382742</v>
      </c>
      <c r="BC178" s="114">
        <v>12090.49491308032</v>
      </c>
      <c r="BD178" s="114">
        <v>12349.352104670013</v>
      </c>
      <c r="BE178" s="114">
        <v>7233.4280496795618</v>
      </c>
      <c r="BF178" s="114">
        <v>14585.032609594387</v>
      </c>
      <c r="BG178" s="114">
        <v>3531.6075275326953</v>
      </c>
      <c r="BH178" s="114">
        <v>13807.363940539788</v>
      </c>
      <c r="BI178" s="114">
        <v>7182.2185580499672</v>
      </c>
      <c r="BJ178" s="114">
        <v>3898.1212407837502</v>
      </c>
      <c r="BK178" s="114">
        <v>3864.5579162126069</v>
      </c>
      <c r="BL178" s="114">
        <v>8163.1131194370837</v>
      </c>
      <c r="BM178" s="114">
        <v>4430.5586070521595</v>
      </c>
      <c r="BN178" s="114">
        <v>3867.1839387943469</v>
      </c>
      <c r="BO178" s="114">
        <v>5299.0159564595315</v>
      </c>
      <c r="BP178" s="114">
        <v>7356.9628922945922</v>
      </c>
      <c r="BQ178" s="114">
        <v>8655.7034680807938</v>
      </c>
      <c r="BR178" s="114">
        <v>2068.1631662438099</v>
      </c>
      <c r="BS178" s="114">
        <v>4465.2421240278873</v>
      </c>
      <c r="BT178" s="114">
        <v>4625.8705406125118</v>
      </c>
      <c r="BU178" s="114">
        <v>4803.9356811008793</v>
      </c>
      <c r="BV178" s="114">
        <v>7773.1415134332028</v>
      </c>
      <c r="BW178" s="114">
        <v>3908.1987909277645</v>
      </c>
      <c r="BX178" s="114">
        <v>12394.197362548106</v>
      </c>
      <c r="BY178" s="114">
        <v>13745.825649007096</v>
      </c>
      <c r="BZ178" s="114">
        <v>8670.920835162975</v>
      </c>
      <c r="CA178" s="114">
        <v>8695.9686654922371</v>
      </c>
      <c r="CB178" s="114">
        <v>12591.104487997427</v>
      </c>
      <c r="CC178" s="114">
        <v>12491.480074437146</v>
      </c>
      <c r="CD178" s="114">
        <v>13661.218302129308</v>
      </c>
      <c r="CE178" s="114">
        <v>4080.9328584084942</v>
      </c>
      <c r="CF178" s="114">
        <v>6239.1676430072757</v>
      </c>
      <c r="CG178" s="114">
        <v>2183.1685941373826</v>
      </c>
      <c r="CH178" s="114">
        <v>1366.7380777098494</v>
      </c>
      <c r="CI178" s="114">
        <v>6300.7978877418172</v>
      </c>
      <c r="CJ178" s="114">
        <v>1558.9320254357733</v>
      </c>
      <c r="CK178" s="114">
        <v>2247.7830108056573</v>
      </c>
      <c r="CL178" s="114">
        <v>5737.3133792774952</v>
      </c>
      <c r="CM178" s="114">
        <v>8923.7839029411316</v>
      </c>
      <c r="CN178" s="114">
        <v>4719.0391028055965</v>
      </c>
      <c r="CO178" s="114">
        <v>4858.4399675523528</v>
      </c>
      <c r="CP178" s="114">
        <v>12764.364851850207</v>
      </c>
      <c r="CQ178" s="114">
        <v>6172.4603213273158</v>
      </c>
      <c r="CR178" s="114">
        <v>3078.9596070858352</v>
      </c>
      <c r="CS178" s="114">
        <v>1437.0520487396388</v>
      </c>
      <c r="CT178" s="114">
        <v>5478.9504566464248</v>
      </c>
      <c r="CU178" s="114">
        <v>2135.1131432534912</v>
      </c>
      <c r="CV178" s="114">
        <v>689.08466377465072</v>
      </c>
      <c r="CW178" s="114">
        <v>4007.5605423941342</v>
      </c>
      <c r="CX178" s="114">
        <v>3810.0566880701622</v>
      </c>
      <c r="CY178" s="114">
        <v>3017.2267010121373</v>
      </c>
      <c r="CZ178" s="114">
        <v>8639.3338780313989</v>
      </c>
      <c r="DA178" s="114">
        <v>8618.886557483831</v>
      </c>
      <c r="DB178" s="114">
        <v>4988.7817466403549</v>
      </c>
      <c r="DC178" s="114">
        <v>4813.2020414666322</v>
      </c>
      <c r="DD178" s="114">
        <v>3692.3847594709537</v>
      </c>
      <c r="DE178" s="114">
        <v>5000.9714883709548</v>
      </c>
      <c r="DF178" s="114">
        <v>6699.5823749409683</v>
      </c>
      <c r="DG178" s="114">
        <v>6865.2701422832051</v>
      </c>
      <c r="DH178" s="114">
        <v>5147.5870957764009</v>
      </c>
      <c r="DI178" s="114">
        <v>3848.2164750125353</v>
      </c>
      <c r="DJ178" s="114">
        <v>7948.8257649921725</v>
      </c>
      <c r="DK178" s="114">
        <v>4755.1321278130317</v>
      </c>
      <c r="DL178" s="114">
        <v>6601.1400471898914</v>
      </c>
      <c r="DM178" s="114">
        <v>6604.2786136379054</v>
      </c>
      <c r="DN178" s="114">
        <v>13487.956992370646</v>
      </c>
      <c r="DO178" s="114">
        <v>3340.0070566271734</v>
      </c>
      <c r="DP178" s="114">
        <v>5039.9992410288523</v>
      </c>
      <c r="DQ178" s="114">
        <v>3257.7572566656572</v>
      </c>
      <c r="DR178" s="114">
        <v>4135.0232416565786</v>
      </c>
      <c r="DS178" s="114">
        <v>6584.9523320791741</v>
      </c>
      <c r="DT178" s="114">
        <v>8043.0486253339659</v>
      </c>
      <c r="DU178" s="114">
        <v>3634.7729848724398</v>
      </c>
      <c r="DV178" s="114">
        <v>8617.818877340449</v>
      </c>
      <c r="DW178" s="114">
        <v>1969.5713773981179</v>
      </c>
      <c r="DX178" s="114">
        <v>5055.6814746765422</v>
      </c>
      <c r="DY178" s="114">
        <v>13703.208836229644</v>
      </c>
      <c r="DZ178" s="114">
        <v>13874.335699781983</v>
      </c>
      <c r="EA178" s="114">
        <v>13824.120815822766</v>
      </c>
      <c r="EB178" s="114">
        <v>7049.5864013917999</v>
      </c>
      <c r="EC178" s="114">
        <v>6881.3509565145459</v>
      </c>
      <c r="ED178" s="114">
        <v>4847.2407311322395</v>
      </c>
      <c r="EE178" s="114">
        <v>3982.0739872003214</v>
      </c>
      <c r="EF178" s="114">
        <v>4651.1523477408609</v>
      </c>
      <c r="EG178" s="114">
        <v>1920.6246605969707</v>
      </c>
      <c r="EH178" s="114">
        <v>1498.5258829518732</v>
      </c>
      <c r="EI178" s="114">
        <v>688.13361270148562</v>
      </c>
      <c r="EJ178" s="114">
        <v>13779.785732243239</v>
      </c>
      <c r="EK178" s="114">
        <v>14757.844407130458</v>
      </c>
      <c r="EL178" s="114">
        <v>15519.0246096221</v>
      </c>
      <c r="EM178" s="114">
        <v>5774.8235664822259</v>
      </c>
      <c r="EN178" s="114">
        <v>3937.2911001360226</v>
      </c>
      <c r="EO178" s="114">
        <v>6541.553740253059</v>
      </c>
      <c r="EP178" s="114">
        <v>2177.5016369970631</v>
      </c>
      <c r="EQ178" s="114">
        <v>3560.6196284712018</v>
      </c>
      <c r="ER178" s="114">
        <v>2993.9379999973835</v>
      </c>
      <c r="ES178" s="114">
        <v>5931.7803731335107</v>
      </c>
      <c r="ET178" s="114">
        <v>12000.475444178281</v>
      </c>
      <c r="EU178" s="114">
        <v>12145.660624487882</v>
      </c>
      <c r="EV178" s="114">
        <v>12260.097569044294</v>
      </c>
      <c r="EW178" s="114">
        <v>4664.4259555267336</v>
      </c>
      <c r="EX178" s="114">
        <v>7604.7278960996982</v>
      </c>
      <c r="EY178" s="114">
        <v>2592.6003710549021</v>
      </c>
      <c r="EZ178" s="114">
        <v>8661.7856262465721</v>
      </c>
      <c r="FA178" s="114">
        <v>4010.9609636448458</v>
      </c>
      <c r="FB178" s="114">
        <v>8710.0395887740397</v>
      </c>
      <c r="FC178" s="114">
        <v>5462.8665267035403</v>
      </c>
      <c r="FD178" s="114">
        <v>4221.5582257978376</v>
      </c>
      <c r="FE178" s="114">
        <v>4454.7616673714256</v>
      </c>
      <c r="FF178" s="114">
        <v>4678.5281103918451</v>
      </c>
      <c r="FG178" s="114">
        <v>8243.4296149050879</v>
      </c>
      <c r="FH178" s="114">
        <v>5010.4922426327166</v>
      </c>
      <c r="FI178" s="114">
        <v>5264.9202386036932</v>
      </c>
      <c r="FJ178" s="114">
        <v>6015.1966298388188</v>
      </c>
      <c r="FK178" s="114">
        <v>5528.5864331349567</v>
      </c>
      <c r="FL178" s="114">
        <v>3674.798552523142</v>
      </c>
      <c r="FM178" s="114">
        <v>4359.7166054502759</v>
      </c>
      <c r="FN178" s="114">
        <v>12438.956884605388</v>
      </c>
      <c r="FO178" s="114">
        <v>4220.5076792721138</v>
      </c>
      <c r="FP178" s="114">
        <v>4975.8970798646951</v>
      </c>
      <c r="FQ178" s="114">
        <v>2950.0847984742059</v>
      </c>
      <c r="FR178" s="114">
        <v>5162.0006202431468</v>
      </c>
      <c r="FS178" s="114" t="s">
        <v>237</v>
      </c>
      <c r="FT178" s="114">
        <v>5856.2478042480834</v>
      </c>
      <c r="FU178" s="114">
        <v>4178.4380316729748</v>
      </c>
      <c r="FV178" s="114">
        <v>7828.4662918649074</v>
      </c>
      <c r="FW178" s="114">
        <v>7613.0006876284124</v>
      </c>
      <c r="FX178" s="114">
        <v>12495.666354355837</v>
      </c>
      <c r="FY178" s="114">
        <v>5071.027682700751</v>
      </c>
      <c r="FZ178" s="114">
        <v>3090.2510113920434</v>
      </c>
      <c r="GA178" s="114">
        <v>960.06533021464202</v>
      </c>
      <c r="GB178" s="114">
        <v>5621.4025964691473</v>
      </c>
      <c r="GC178" s="114">
        <v>3272.5146138924169</v>
      </c>
      <c r="GD178" s="114">
        <v>2062.5611423782425</v>
      </c>
      <c r="GE178" s="114">
        <v>5383.7107473779388</v>
      </c>
      <c r="GF178" s="114">
        <v>11936.695052721359</v>
      </c>
      <c r="GG178" s="114">
        <v>10435.448097292583</v>
      </c>
      <c r="GH178" s="114">
        <v>10155.038508466812</v>
      </c>
      <c r="GI178" s="114">
        <v>10732.574338375329</v>
      </c>
      <c r="GJ178" s="114">
        <v>15112.891659958683</v>
      </c>
      <c r="GK178" s="114">
        <v>323.49659371768053</v>
      </c>
      <c r="GL178" s="114">
        <v>12875.775162654572</v>
      </c>
      <c r="GM178" s="114">
        <v>4021.686390571937</v>
      </c>
      <c r="GN178" s="114">
        <v>3488.2429266614977</v>
      </c>
      <c r="GO178" s="114">
        <v>7291.5239464085043</v>
      </c>
      <c r="GP178" s="114">
        <v>7327.8361301076893</v>
      </c>
      <c r="GQ178" s="114">
        <v>4864.6165640483814</v>
      </c>
      <c r="GR178" s="114">
        <v>11639.532203971037</v>
      </c>
      <c r="GS178" s="114">
        <v>4863.9780570307539</v>
      </c>
      <c r="GT178" s="115">
        <v>8319.7559197150986</v>
      </c>
    </row>
    <row r="179" spans="2:202" x14ac:dyDescent="0.6">
      <c r="B179" s="106" t="s">
        <v>164</v>
      </c>
      <c r="C179" s="63" t="s">
        <v>559</v>
      </c>
      <c r="D179" s="113">
        <v>5541.0342461455357</v>
      </c>
      <c r="E179" s="114">
        <v>6110.1271554548184</v>
      </c>
      <c r="F179" s="114">
        <v>6678.6193635482623</v>
      </c>
      <c r="G179" s="114">
        <v>2886.1828025042905</v>
      </c>
      <c r="H179" s="114">
        <v>11408.125547148653</v>
      </c>
      <c r="I179" s="114">
        <v>10383.467592067678</v>
      </c>
      <c r="J179" s="114">
        <v>5241.5332814450258</v>
      </c>
      <c r="K179" s="114">
        <v>11544.501295287802</v>
      </c>
      <c r="L179" s="114">
        <v>6511.8387687171125</v>
      </c>
      <c r="M179" s="114">
        <v>5342.0422717426191</v>
      </c>
      <c r="N179" s="114">
        <v>12991.497503700237</v>
      </c>
      <c r="O179" s="114">
        <v>3847.6461515119408</v>
      </c>
      <c r="P179" s="114">
        <v>6474.4701291526535</v>
      </c>
      <c r="Q179" s="114">
        <v>11103.896625760668</v>
      </c>
      <c r="R179" s="114">
        <v>6802.4162468659842</v>
      </c>
      <c r="S179" s="114">
        <v>7209.1646920894245</v>
      </c>
      <c r="T179" s="114">
        <v>14217.020561003874</v>
      </c>
      <c r="U179" s="114">
        <v>4340.043584387764</v>
      </c>
      <c r="V179" s="114">
        <v>6591.909657151903</v>
      </c>
      <c r="W179" s="114">
        <v>11629.770858326834</v>
      </c>
      <c r="X179" s="114">
        <v>5983.8246934550561</v>
      </c>
      <c r="Y179" s="114">
        <v>2446.1576330742942</v>
      </c>
      <c r="Z179" s="114">
        <v>9292.4089589188625</v>
      </c>
      <c r="AA179" s="114">
        <v>8944.1233420955687</v>
      </c>
      <c r="AB179" s="114">
        <v>8496.4550597881916</v>
      </c>
      <c r="AC179" s="114">
        <v>5715.0006747389061</v>
      </c>
      <c r="AD179" s="114">
        <v>4957.7978899803174</v>
      </c>
      <c r="AE179" s="114">
        <v>1190.9057695358374</v>
      </c>
      <c r="AF179" s="114">
        <v>7314.8287593302084</v>
      </c>
      <c r="AG179" s="114">
        <v>7490.2900476892419</v>
      </c>
      <c r="AH179" s="114">
        <v>3498.669975705081</v>
      </c>
      <c r="AI179" s="114">
        <v>3306.2501070932472</v>
      </c>
      <c r="AJ179" s="114">
        <v>12814.896375103408</v>
      </c>
      <c r="AK179" s="114">
        <v>12465.794392415544</v>
      </c>
      <c r="AL179" s="114">
        <v>2628.3828405017971</v>
      </c>
      <c r="AM179" s="114">
        <v>3446.5408475833178</v>
      </c>
      <c r="AN179" s="114">
        <v>11386.803846433739</v>
      </c>
      <c r="AO179" s="114">
        <v>9661.8718445096401</v>
      </c>
      <c r="AP179" s="114">
        <v>9382.9277981531886</v>
      </c>
      <c r="AQ179" s="114">
        <v>12632.28841569066</v>
      </c>
      <c r="AR179" s="114">
        <v>664.09489109695346</v>
      </c>
      <c r="AS179" s="114">
        <v>2667.2825397016054</v>
      </c>
      <c r="AT179" s="114">
        <v>2691.9251003560344</v>
      </c>
      <c r="AU179" s="114">
        <v>13774.370135136964</v>
      </c>
      <c r="AV179" s="114">
        <v>4993.0956131694847</v>
      </c>
      <c r="AW179" s="114">
        <v>6277.0706395149891</v>
      </c>
      <c r="AX179" s="114">
        <v>13520.602231173854</v>
      </c>
      <c r="AY179" s="114">
        <v>4703.0190039598865</v>
      </c>
      <c r="AZ179" s="114">
        <v>6769.6615994635522</v>
      </c>
      <c r="BA179" s="114">
        <v>7351.9023997540417</v>
      </c>
      <c r="BB179" s="114">
        <v>2015.1917125145455</v>
      </c>
      <c r="BC179" s="114">
        <v>11330.645206722795</v>
      </c>
      <c r="BD179" s="114">
        <v>12233.144035633808</v>
      </c>
      <c r="BE179" s="114">
        <v>2687.0500554308423</v>
      </c>
      <c r="BF179" s="114">
        <v>13055.105795137977</v>
      </c>
      <c r="BG179" s="114">
        <v>4185.6183566879936</v>
      </c>
      <c r="BH179" s="114">
        <v>14327.67570244787</v>
      </c>
      <c r="BI179" s="114">
        <v>3602.8596932862251</v>
      </c>
      <c r="BJ179" s="114">
        <v>2447.6435940588149</v>
      </c>
      <c r="BK179" s="114">
        <v>7459.4103784892222</v>
      </c>
      <c r="BL179" s="114">
        <v>2323.664524988767</v>
      </c>
      <c r="BM179" s="114">
        <v>1762.8480733512831</v>
      </c>
      <c r="BN179" s="114">
        <v>7550.6608164523186</v>
      </c>
      <c r="BO179" s="114">
        <v>7133.0347123330212</v>
      </c>
      <c r="BP179" s="114">
        <v>3422.5811633070107</v>
      </c>
      <c r="BQ179" s="114">
        <v>6542.1693088679549</v>
      </c>
      <c r="BR179" s="114">
        <v>5390.2748349263184</v>
      </c>
      <c r="BS179" s="114">
        <v>7021.2430654807667</v>
      </c>
      <c r="BT179" s="114">
        <v>6683.6255465472486</v>
      </c>
      <c r="BU179" s="114">
        <v>6983.164572258419</v>
      </c>
      <c r="BV179" s="114">
        <v>4571.292961433086</v>
      </c>
      <c r="BW179" s="114">
        <v>5202.104070918399</v>
      </c>
      <c r="BX179" s="114">
        <v>11359.888345795647</v>
      </c>
      <c r="BY179" s="114">
        <v>14443.422931133855</v>
      </c>
      <c r="BZ179" s="114">
        <v>6115.5107986251005</v>
      </c>
      <c r="CA179" s="114">
        <v>6386.2869455803457</v>
      </c>
      <c r="CB179" s="114">
        <v>10906.553164260114</v>
      </c>
      <c r="CC179" s="114">
        <v>12508.655194529816</v>
      </c>
      <c r="CD179" s="114">
        <v>14113.535324613536</v>
      </c>
      <c r="CE179" s="114">
        <v>6336.9729794111527</v>
      </c>
      <c r="CF179" s="114">
        <v>9340.316304947637</v>
      </c>
      <c r="CG179" s="114">
        <v>4672.0025814270448</v>
      </c>
      <c r="CH179" s="114">
        <v>5635.5866305887785</v>
      </c>
      <c r="CI179" s="114">
        <v>7409.3616033969365</v>
      </c>
      <c r="CJ179" s="114">
        <v>4863.4529450790096</v>
      </c>
      <c r="CK179" s="114">
        <v>4480.2855034823997</v>
      </c>
      <c r="CL179" s="114">
        <v>7916.9009715334469</v>
      </c>
      <c r="CM179" s="114">
        <v>8951.5582191303583</v>
      </c>
      <c r="CN179" s="114">
        <v>6037.5869120973693</v>
      </c>
      <c r="CO179" s="114">
        <v>6538.6124458773884</v>
      </c>
      <c r="CP179" s="114">
        <v>12963.398367485568</v>
      </c>
      <c r="CQ179" s="114">
        <v>11392.885856537967</v>
      </c>
      <c r="CR179" s="114">
        <v>4286.4019329522243</v>
      </c>
      <c r="CS179" s="114">
        <v>7130.154754731253</v>
      </c>
      <c r="CT179" s="114">
        <v>700.22294019796163</v>
      </c>
      <c r="CU179" s="114">
        <v>4122.0077498085539</v>
      </c>
      <c r="CV179" s="114">
        <v>6539.4174976841869</v>
      </c>
      <c r="CW179" s="114">
        <v>7429.1003987687973</v>
      </c>
      <c r="CX179" s="114">
        <v>7179.0995574036551</v>
      </c>
      <c r="CY179" s="114">
        <v>4505.2044709379907</v>
      </c>
      <c r="CZ179" s="114">
        <v>2786.9848879121928</v>
      </c>
      <c r="DA179" s="114">
        <v>5706.659131050963</v>
      </c>
      <c r="DB179" s="114">
        <v>5176.5924119411266</v>
      </c>
      <c r="DC179" s="114">
        <v>6679.9954493475843</v>
      </c>
      <c r="DD179" s="114">
        <v>6930.0047605971276</v>
      </c>
      <c r="DE179" s="114">
        <v>7026.3076291081925</v>
      </c>
      <c r="DF179" s="114">
        <v>1567.8569770744314</v>
      </c>
      <c r="DG179" s="114">
        <v>1020.8868368387591</v>
      </c>
      <c r="DH179" s="114">
        <v>6980.9284829005783</v>
      </c>
      <c r="DI179" s="114">
        <v>3959.655301969121</v>
      </c>
      <c r="DJ179" s="114">
        <v>5597.8810601804907</v>
      </c>
      <c r="DK179" s="114">
        <v>5385.7355586487674</v>
      </c>
      <c r="DL179" s="114">
        <v>2440.4730637982739</v>
      </c>
      <c r="DM179" s="114">
        <v>2461.4669777858498</v>
      </c>
      <c r="DN179" s="114">
        <v>15315.953848899631</v>
      </c>
      <c r="DO179" s="114">
        <v>6072.3456218860065</v>
      </c>
      <c r="DP179" s="114">
        <v>6468.8674084998556</v>
      </c>
      <c r="DQ179" s="114">
        <v>8949.9188884631731</v>
      </c>
      <c r="DR179" s="114">
        <v>5840.2811124387072</v>
      </c>
      <c r="DS179" s="114">
        <v>6642.2314687071412</v>
      </c>
      <c r="DT179" s="114">
        <v>2214.4096211938099</v>
      </c>
      <c r="DU179" s="114">
        <v>6771.8711448911326</v>
      </c>
      <c r="DV179" s="114">
        <v>2944.7337734163448</v>
      </c>
      <c r="DW179" s="114">
        <v>6232.8322584542129</v>
      </c>
      <c r="DX179" s="114">
        <v>7344.1671344012557</v>
      </c>
      <c r="DY179" s="114">
        <v>13308.432698360477</v>
      </c>
      <c r="DZ179" s="114">
        <v>12990.564379495803</v>
      </c>
      <c r="EA179" s="114">
        <v>14016.216315516685</v>
      </c>
      <c r="EB179" s="114">
        <v>4678.4320851293141</v>
      </c>
      <c r="EC179" s="114">
        <v>3957.3246406582284</v>
      </c>
      <c r="ED179" s="114">
        <v>10142.334491812928</v>
      </c>
      <c r="EE179" s="114">
        <v>5729.0876123600146</v>
      </c>
      <c r="EF179" s="114">
        <v>7806.9548479602181</v>
      </c>
      <c r="EG179" s="114">
        <v>3944.0464457961407</v>
      </c>
      <c r="EH179" s="114">
        <v>4635.5418650022757</v>
      </c>
      <c r="EI179" s="114">
        <v>5718.6103959711982</v>
      </c>
      <c r="EJ179" s="114">
        <v>13248.857785221586</v>
      </c>
      <c r="EK179" s="114">
        <v>10344.581683566425</v>
      </c>
      <c r="EL179" s="114">
        <v>12667.673955318902</v>
      </c>
      <c r="EM179" s="114">
        <v>9310.678176623831</v>
      </c>
      <c r="EN179" s="114">
        <v>6780.4479426329181</v>
      </c>
      <c r="EO179" s="114">
        <v>7084.1487046079619</v>
      </c>
      <c r="EP179" s="114">
        <v>3785.8695170604142</v>
      </c>
      <c r="EQ179" s="114">
        <v>5831.9590412619009</v>
      </c>
      <c r="ER179" s="114">
        <v>6958.7064814885089</v>
      </c>
      <c r="ES179" s="114">
        <v>1178.2083613743725</v>
      </c>
      <c r="ET179" s="114">
        <v>11471.02965939605</v>
      </c>
      <c r="EU179" s="114">
        <v>11250.390106073224</v>
      </c>
      <c r="EV179" s="114">
        <v>11298.6793799933</v>
      </c>
      <c r="EW179" s="114">
        <v>6223.892813175722</v>
      </c>
      <c r="EX179" s="114">
        <v>3729.5113418397973</v>
      </c>
      <c r="EY179" s="114">
        <v>3556.538193062026</v>
      </c>
      <c r="EZ179" s="114">
        <v>6668.0729126472206</v>
      </c>
      <c r="FA179" s="114">
        <v>6011.9117516788665</v>
      </c>
      <c r="FB179" s="114">
        <v>6053.2927475969009</v>
      </c>
      <c r="FC179" s="114">
        <v>7217.4257416664968</v>
      </c>
      <c r="FD179" s="114">
        <v>6481.5340924215889</v>
      </c>
      <c r="FE179" s="114">
        <v>6376.8160912371804</v>
      </c>
      <c r="FF179" s="114">
        <v>1183.9502877714995</v>
      </c>
      <c r="FG179" s="114">
        <v>2387.1949500473247</v>
      </c>
      <c r="FH179" s="114">
        <v>10220.660879959731</v>
      </c>
      <c r="FI179" s="114">
        <v>1553.4307201424629</v>
      </c>
      <c r="FJ179" s="114">
        <v>6817.9609469147008</v>
      </c>
      <c r="FK179" s="114">
        <v>6555.7583901933067</v>
      </c>
      <c r="FL179" s="114">
        <v>4752.6565270485735</v>
      </c>
      <c r="FM179" s="114">
        <v>2575.7242823977804</v>
      </c>
      <c r="FN179" s="114">
        <v>10562.541109911299</v>
      </c>
      <c r="FO179" s="114">
        <v>7579.2999413256994</v>
      </c>
      <c r="FP179" s="114">
        <v>6725.099514929846</v>
      </c>
      <c r="FQ179" s="114">
        <v>4472.0941833264096</v>
      </c>
      <c r="FR179" s="114">
        <v>9556.5076558901237</v>
      </c>
      <c r="FS179" s="114">
        <v>5856.2478042480834</v>
      </c>
      <c r="FT179" s="114" t="s">
        <v>237</v>
      </c>
      <c r="FU179" s="114">
        <v>7101.7779343280818</v>
      </c>
      <c r="FV179" s="114">
        <v>9462.4813014217598</v>
      </c>
      <c r="FW179" s="114">
        <v>4462.9809166196874</v>
      </c>
      <c r="FX179" s="114">
        <v>11320.471537164272</v>
      </c>
      <c r="FY179" s="114">
        <v>5695.1406896065573</v>
      </c>
      <c r="FZ179" s="114">
        <v>5203.7365126984005</v>
      </c>
      <c r="GA179" s="114">
        <v>5327.6985727933834</v>
      </c>
      <c r="GB179" s="114">
        <v>1099.4378609261848</v>
      </c>
      <c r="GC179" s="114">
        <v>6409.5298429891573</v>
      </c>
      <c r="GD179" s="114">
        <v>3817.3838050074037</v>
      </c>
      <c r="GE179" s="114">
        <v>7476.4850932631543</v>
      </c>
      <c r="GF179" s="114">
        <v>16207.18477905448</v>
      </c>
      <c r="GG179" s="114">
        <v>12456.449532157476</v>
      </c>
      <c r="GH179" s="114">
        <v>12184.057859506484</v>
      </c>
      <c r="GI179" s="114">
        <v>12747.503745426166</v>
      </c>
      <c r="GJ179" s="114">
        <v>10070.189313820716</v>
      </c>
      <c r="GK179" s="114">
        <v>6142.4375937496889</v>
      </c>
      <c r="GL179" s="114">
        <v>11867.715543997694</v>
      </c>
      <c r="GM179" s="114">
        <v>7856.8196420361464</v>
      </c>
      <c r="GN179" s="114">
        <v>2524.6813061002858</v>
      </c>
      <c r="GO179" s="114">
        <v>1535.9134630679125</v>
      </c>
      <c r="GP179" s="114">
        <v>1483.2261754380222</v>
      </c>
      <c r="GQ179" s="114">
        <v>7705.8197585637454</v>
      </c>
      <c r="GR179" s="114">
        <v>11336.289258819283</v>
      </c>
      <c r="GS179" s="114">
        <v>6740.4609162329853</v>
      </c>
      <c r="GT179" s="115">
        <v>2463.870616915839</v>
      </c>
    </row>
    <row r="180" spans="2:202" x14ac:dyDescent="0.6">
      <c r="B180" s="106" t="s">
        <v>165</v>
      </c>
      <c r="C180" s="63" t="s">
        <v>297</v>
      </c>
      <c r="D180" s="113">
        <v>3899.2997978918743</v>
      </c>
      <c r="E180" s="114">
        <v>9754.3331736843429</v>
      </c>
      <c r="F180" s="114">
        <v>9725.177705283686</v>
      </c>
      <c r="G180" s="114">
        <v>9921.8729910809052</v>
      </c>
      <c r="H180" s="114">
        <v>16090.76705829727</v>
      </c>
      <c r="I180" s="114">
        <v>16803.970555402004</v>
      </c>
      <c r="J180" s="114">
        <v>6174.9542477967534</v>
      </c>
      <c r="K180" s="114">
        <v>7511.2985575318407</v>
      </c>
      <c r="L180" s="114">
        <v>8462.4887989287763</v>
      </c>
      <c r="M180" s="114">
        <v>5747.8797087129824</v>
      </c>
      <c r="N180" s="114">
        <v>15725.50684934721</v>
      </c>
      <c r="O180" s="114">
        <v>5383.4414061223943</v>
      </c>
      <c r="P180" s="114">
        <v>1532.6632393438945</v>
      </c>
      <c r="Q180" s="114">
        <v>16308.868176127397</v>
      </c>
      <c r="R180" s="114">
        <v>7688.0388594522556</v>
      </c>
      <c r="S180" s="114">
        <v>9280.398029716227</v>
      </c>
      <c r="T180" s="114">
        <v>16480.724914896076</v>
      </c>
      <c r="U180" s="114">
        <v>10692.533006429956</v>
      </c>
      <c r="V180" s="114">
        <v>1909.1634274378639</v>
      </c>
      <c r="W180" s="114">
        <v>18731.492575228636</v>
      </c>
      <c r="X180" s="114">
        <v>8346.1316289808801</v>
      </c>
      <c r="Y180" s="114">
        <v>9132.5880776304439</v>
      </c>
      <c r="Z180" s="114">
        <v>16362.91090866617</v>
      </c>
      <c r="AA180" s="114">
        <v>16027.495549722507</v>
      </c>
      <c r="AB180" s="114">
        <v>1893.8304723050314</v>
      </c>
      <c r="AC180" s="114">
        <v>7951.1323331180774</v>
      </c>
      <c r="AD180" s="114">
        <v>10916.756929747093</v>
      </c>
      <c r="AE180" s="114">
        <v>8056.9145774560257</v>
      </c>
      <c r="AF180" s="114">
        <v>13053.519481235286</v>
      </c>
      <c r="AG180" s="114">
        <v>513.4237512413298</v>
      </c>
      <c r="AH180" s="114">
        <v>9967.1898518104936</v>
      </c>
      <c r="AI180" s="114">
        <v>9803.7080663580964</v>
      </c>
      <c r="AJ180" s="114">
        <v>13660.222979427854</v>
      </c>
      <c r="AK180" s="114">
        <v>13471.500960388241</v>
      </c>
      <c r="AL180" s="114">
        <v>9029.0535546522642</v>
      </c>
      <c r="AM180" s="114">
        <v>9241.8613518113871</v>
      </c>
      <c r="AN180" s="114">
        <v>17621.445698675252</v>
      </c>
      <c r="AO180" s="114">
        <v>2928.3715765021502</v>
      </c>
      <c r="AP180" s="114">
        <v>3293.4118318935225</v>
      </c>
      <c r="AQ180" s="114">
        <v>17939.270181571075</v>
      </c>
      <c r="AR180" s="114">
        <v>6880.7313910221292</v>
      </c>
      <c r="AS180" s="114">
        <v>9579.0794827673035</v>
      </c>
      <c r="AT180" s="114">
        <v>9593.625111906862</v>
      </c>
      <c r="AU180" s="114">
        <v>17413.532115167724</v>
      </c>
      <c r="AV180" s="114">
        <v>11407.085769350286</v>
      </c>
      <c r="AW180" s="114">
        <v>8537.9405818345404</v>
      </c>
      <c r="AX180" s="114">
        <v>15943.884163248387</v>
      </c>
      <c r="AY180" s="114">
        <v>7076.415524027374</v>
      </c>
      <c r="AZ180" s="114">
        <v>8587.8095148158609</v>
      </c>
      <c r="BA180" s="114">
        <v>8652.1949273245518</v>
      </c>
      <c r="BB180" s="114">
        <v>6304.4287572017502</v>
      </c>
      <c r="BC180" s="114">
        <v>16237.128722397596</v>
      </c>
      <c r="BD180" s="114">
        <v>16314.699011484523</v>
      </c>
      <c r="BE180" s="114">
        <v>9593.3101179204896</v>
      </c>
      <c r="BF180" s="114">
        <v>18528.736569500954</v>
      </c>
      <c r="BG180" s="114">
        <v>7274.4658559446216</v>
      </c>
      <c r="BH180" s="114">
        <v>16855.000565366568</v>
      </c>
      <c r="BI180" s="114">
        <v>10112.649377542488</v>
      </c>
      <c r="BJ180" s="114">
        <v>6633.3742062630745</v>
      </c>
      <c r="BK180" s="114">
        <v>7920.5105738395005</v>
      </c>
      <c r="BL180" s="114">
        <v>8680.78625933482</v>
      </c>
      <c r="BM180" s="114">
        <v>6750.9327597240053</v>
      </c>
      <c r="BN180" s="114">
        <v>7899.8619230924305</v>
      </c>
      <c r="BO180" s="114">
        <v>9475.5755744350699</v>
      </c>
      <c r="BP180" s="114">
        <v>10113.546190830799</v>
      </c>
      <c r="BQ180" s="114">
        <v>12435.108883296931</v>
      </c>
      <c r="BR180" s="114">
        <v>6191.5822797688361</v>
      </c>
      <c r="BS180" s="114">
        <v>8629.317202273447</v>
      </c>
      <c r="BT180" s="114">
        <v>8804.3025215062826</v>
      </c>
      <c r="BU180" s="114">
        <v>8978.2415809934428</v>
      </c>
      <c r="BV180" s="114">
        <v>10982.611563846052</v>
      </c>
      <c r="BW180" s="114">
        <v>7950.2348707332576</v>
      </c>
      <c r="BX180" s="114">
        <v>16556.522669190606</v>
      </c>
      <c r="BY180" s="114">
        <v>16708.84419005199</v>
      </c>
      <c r="BZ180" s="114">
        <v>12283.09811444689</v>
      </c>
      <c r="CA180" s="114">
        <v>12408.139848410161</v>
      </c>
      <c r="CB180" s="114">
        <v>16759.511899831297</v>
      </c>
      <c r="CC180" s="114">
        <v>16379.326512996624</v>
      </c>
      <c r="CD180" s="114">
        <v>16849.378783631069</v>
      </c>
      <c r="CE180" s="114">
        <v>8257.3868912078815</v>
      </c>
      <c r="CF180" s="114">
        <v>10103.551828789194</v>
      </c>
      <c r="CG180" s="114">
        <v>2989.1113921120359</v>
      </c>
      <c r="CH180" s="114">
        <v>2913.2612658588546</v>
      </c>
      <c r="CI180" s="114">
        <v>2274.7550728150254</v>
      </c>
      <c r="CJ180" s="114">
        <v>5459.8634721651497</v>
      </c>
      <c r="CK180" s="114">
        <v>6046.5136194130682</v>
      </c>
      <c r="CL180" s="114">
        <v>9871.6262573464028</v>
      </c>
      <c r="CM180" s="114">
        <v>13102.197506883471</v>
      </c>
      <c r="CN180" s="114">
        <v>8857.5651585544947</v>
      </c>
      <c r="CO180" s="114">
        <v>9031.619521277642</v>
      </c>
      <c r="CP180" s="114">
        <v>16500.435030366494</v>
      </c>
      <c r="CQ180" s="114">
        <v>4646.7920794881329</v>
      </c>
      <c r="CR180" s="114">
        <v>6855.2108094019668</v>
      </c>
      <c r="CS180" s="114">
        <v>4930.5913751466678</v>
      </c>
      <c r="CT180" s="114">
        <v>7216.1715828422321</v>
      </c>
      <c r="CU180" s="114">
        <v>5644.8629720125427</v>
      </c>
      <c r="CV180" s="114">
        <v>4076.24356240618</v>
      </c>
      <c r="CW180" s="114">
        <v>506.74503547603615</v>
      </c>
      <c r="CX180" s="114">
        <v>7920.2953172665511</v>
      </c>
      <c r="CY180" s="114">
        <v>6881.3222444037456</v>
      </c>
      <c r="CZ180" s="114">
        <v>9145.7072953003026</v>
      </c>
      <c r="DA180" s="114">
        <v>12068.297236200522</v>
      </c>
      <c r="DB180" s="114">
        <v>8954.1808461934434</v>
      </c>
      <c r="DC180" s="114">
        <v>8990.9553985662023</v>
      </c>
      <c r="DD180" s="114">
        <v>7833.6759661204151</v>
      </c>
      <c r="DE180" s="114">
        <v>9176.7579159485285</v>
      </c>
      <c r="DF180" s="114">
        <v>6810.3728498509608</v>
      </c>
      <c r="DG180" s="114">
        <v>7964.6820891120688</v>
      </c>
      <c r="DH180" s="114">
        <v>1158.3028235319664</v>
      </c>
      <c r="DI180" s="114">
        <v>3146.1151368986689</v>
      </c>
      <c r="DJ180" s="114">
        <v>11561.651348683276</v>
      </c>
      <c r="DK180" s="114">
        <v>8786.1170492996516</v>
      </c>
      <c r="DL180" s="114">
        <v>6002.527671503829</v>
      </c>
      <c r="DM180" s="114">
        <v>5989.4656350034993</v>
      </c>
      <c r="DN180" s="114">
        <v>15808.575885770098</v>
      </c>
      <c r="DO180" s="114">
        <v>7515.4399224773515</v>
      </c>
      <c r="DP180" s="114">
        <v>9205.4842501713483</v>
      </c>
      <c r="DQ180" s="114">
        <v>3881.6480372554684</v>
      </c>
      <c r="DR180" s="114">
        <v>8273.7539444599097</v>
      </c>
      <c r="DS180" s="114">
        <v>10693.424293455835</v>
      </c>
      <c r="DT180" s="114">
        <v>8538.9443173233813</v>
      </c>
      <c r="DU180" s="114">
        <v>552.47732677032855</v>
      </c>
      <c r="DV180" s="114">
        <v>9898.4515770251473</v>
      </c>
      <c r="DW180" s="114">
        <v>2208.8843404531149</v>
      </c>
      <c r="DX180" s="114">
        <v>9215.0053462127653</v>
      </c>
      <c r="DY180" s="114">
        <v>9568.7071611343308</v>
      </c>
      <c r="DZ180" s="114">
        <v>9705.8933950535193</v>
      </c>
      <c r="EA180" s="114">
        <v>17089.364105237732</v>
      </c>
      <c r="EB180" s="114">
        <v>10532.323445743035</v>
      </c>
      <c r="EC180" s="114">
        <v>10092.570068306113</v>
      </c>
      <c r="ED180" s="114">
        <v>3760.4399307547451</v>
      </c>
      <c r="EE180" s="114">
        <v>8112.6406412243277</v>
      </c>
      <c r="EF180" s="114">
        <v>8712.9502556237148</v>
      </c>
      <c r="EG180" s="114">
        <v>4542.9625310151896</v>
      </c>
      <c r="EH180" s="114">
        <v>3701.3379589475421</v>
      </c>
      <c r="EI180" s="114">
        <v>3532.2539608506659</v>
      </c>
      <c r="EJ180" s="114">
        <v>17518.266458335762</v>
      </c>
      <c r="EK180" s="114">
        <v>17337.013707458373</v>
      </c>
      <c r="EL180" s="114">
        <v>19680.79293184495</v>
      </c>
      <c r="EM180" s="114">
        <v>2235.8446758979553</v>
      </c>
      <c r="EN180" s="114">
        <v>8103.2944815055798</v>
      </c>
      <c r="EO180" s="114">
        <v>10700.560102177114</v>
      </c>
      <c r="EP180" s="114">
        <v>5269.5093867337846</v>
      </c>
      <c r="EQ180" s="114">
        <v>7715.9650693948461</v>
      </c>
      <c r="ER180" s="114">
        <v>7080.5283831235765</v>
      </c>
      <c r="ES180" s="114">
        <v>7919.4817402885001</v>
      </c>
      <c r="ET180" s="114">
        <v>16117.927555307895</v>
      </c>
      <c r="EU180" s="114">
        <v>16305.23469405385</v>
      </c>
      <c r="EV180" s="114">
        <v>16421.175371397698</v>
      </c>
      <c r="EW180" s="114">
        <v>8823.0086707914688</v>
      </c>
      <c r="EX180" s="114">
        <v>10427.780722325053</v>
      </c>
      <c r="EY180" s="114">
        <v>5761.6900120568152</v>
      </c>
      <c r="EZ180" s="114">
        <v>12482.645791371362</v>
      </c>
      <c r="FA180" s="114">
        <v>8170.7930899125004</v>
      </c>
      <c r="FB180" s="114">
        <v>12283.668311504502</v>
      </c>
      <c r="FC180" s="114">
        <v>1399.8860137400914</v>
      </c>
      <c r="FD180" s="114">
        <v>8399.7439998683749</v>
      </c>
      <c r="FE180" s="114">
        <v>8627.8133275009222</v>
      </c>
      <c r="FF180" s="114">
        <v>6182.1670244578227</v>
      </c>
      <c r="FG180" s="114">
        <v>8926.5647519882114</v>
      </c>
      <c r="FH180" s="114">
        <v>3711.4495632206422</v>
      </c>
      <c r="FI180" s="114">
        <v>7583.1961287994109</v>
      </c>
      <c r="FJ180" s="114">
        <v>10174.150013367798</v>
      </c>
      <c r="FK180" s="114">
        <v>9684.893683065362</v>
      </c>
      <c r="FL180" s="114">
        <v>2349.8861487741847</v>
      </c>
      <c r="FM180" s="114">
        <v>7291.0826881361418</v>
      </c>
      <c r="FN180" s="114">
        <v>16577.542266174347</v>
      </c>
      <c r="FO180" s="114">
        <v>8287.0876581689627</v>
      </c>
      <c r="FP180" s="114">
        <v>9153.2490073878926</v>
      </c>
      <c r="FQ180" s="114">
        <v>6799.5947510182987</v>
      </c>
      <c r="FR180" s="114">
        <v>2571.6557504120028</v>
      </c>
      <c r="FS180" s="114">
        <v>4178.4380316729748</v>
      </c>
      <c r="FT180" s="114">
        <v>7101.7779343280818</v>
      </c>
      <c r="FU180" s="114" t="s">
        <v>237</v>
      </c>
      <c r="FV180" s="114">
        <v>3669.0436651011992</v>
      </c>
      <c r="FW180" s="114">
        <v>10827.047247605278</v>
      </c>
      <c r="FX180" s="114">
        <v>16666.097377822611</v>
      </c>
      <c r="FY180" s="114">
        <v>9139.9292003932587</v>
      </c>
      <c r="FZ180" s="114">
        <v>7162.106112396209</v>
      </c>
      <c r="GA180" s="114">
        <v>5017.9618684642101</v>
      </c>
      <c r="GB180" s="114">
        <v>7626.1566885860002</v>
      </c>
      <c r="GC180" s="114">
        <v>7446.5686437243357</v>
      </c>
      <c r="GD180" s="114">
        <v>4972.2329955977657</v>
      </c>
      <c r="GE180" s="114">
        <v>9544.7935609073775</v>
      </c>
      <c r="GF180" s="114">
        <v>13343.419978190006</v>
      </c>
      <c r="GG180" s="114">
        <v>13963.918956024327</v>
      </c>
      <c r="GH180" s="114">
        <v>13746.66449742779</v>
      </c>
      <c r="GI180" s="114">
        <v>14186.574339172746</v>
      </c>
      <c r="GJ180" s="114">
        <v>16682.562622147678</v>
      </c>
      <c r="GK180" s="114">
        <v>4316.3115972482919</v>
      </c>
      <c r="GL180" s="114">
        <v>17001.797279833998</v>
      </c>
      <c r="GM180" s="114">
        <v>1009.2067872780533</v>
      </c>
      <c r="GN180" s="114">
        <v>6029.7790745461098</v>
      </c>
      <c r="GO180" s="114">
        <v>8552.2813722672327</v>
      </c>
      <c r="GP180" s="114">
        <v>8340.8933732439182</v>
      </c>
      <c r="GQ180" s="114">
        <v>747.3876108013302</v>
      </c>
      <c r="GR180" s="114">
        <v>7461.4658164836328</v>
      </c>
      <c r="GS180" s="114">
        <v>9042.1986847094049</v>
      </c>
      <c r="GT180" s="115">
        <v>8963.6749055847285</v>
      </c>
    </row>
    <row r="181" spans="2:202" x14ac:dyDescent="0.6">
      <c r="B181" s="106" t="s">
        <v>166</v>
      </c>
      <c r="C181" s="63" t="s">
        <v>517</v>
      </c>
      <c r="D181" s="113">
        <v>7567.0009625278808</v>
      </c>
      <c r="E181" s="114">
        <v>13418.352038570254</v>
      </c>
      <c r="F181" s="114">
        <v>13388.017786617409</v>
      </c>
      <c r="G181" s="114">
        <v>12269.879600176668</v>
      </c>
      <c r="H181" s="114">
        <v>18765.101387445167</v>
      </c>
      <c r="I181" s="114">
        <v>15026.03834337968</v>
      </c>
      <c r="J181" s="114">
        <v>9843.9931829362013</v>
      </c>
      <c r="K181" s="114">
        <v>3874.388463352072</v>
      </c>
      <c r="L181" s="114">
        <v>12104.918844626254</v>
      </c>
      <c r="M181" s="114">
        <v>9416.1687798058883</v>
      </c>
      <c r="N181" s="114">
        <v>16988.700516258137</v>
      </c>
      <c r="O181" s="114">
        <v>8941.3818674156391</v>
      </c>
      <c r="P181" s="114">
        <v>5190.6756690398461</v>
      </c>
      <c r="Q181" s="114">
        <v>19285.264905128468</v>
      </c>
      <c r="R181" s="114">
        <v>11276.173983563565</v>
      </c>
      <c r="S181" s="114">
        <v>12883.451170970993</v>
      </c>
      <c r="T181" s="114">
        <v>16245.79037757243</v>
      </c>
      <c r="U181" s="114">
        <v>13715.367439460186</v>
      </c>
      <c r="V181" s="114">
        <v>5528.5660915635308</v>
      </c>
      <c r="W181" s="114">
        <v>16918.171900541904</v>
      </c>
      <c r="X181" s="114">
        <v>12012.678348997546</v>
      </c>
      <c r="Y181" s="114">
        <v>10598.117579190935</v>
      </c>
      <c r="Z181" s="114">
        <v>16367.204231347674</v>
      </c>
      <c r="AA181" s="114">
        <v>16326.254098832447</v>
      </c>
      <c r="AB181" s="114">
        <v>1825.8583122126081</v>
      </c>
      <c r="AC181" s="114">
        <v>11619.80752646214</v>
      </c>
      <c r="AD181" s="114">
        <v>14164.226508051099</v>
      </c>
      <c r="AE181" s="114">
        <v>10628.991986435893</v>
      </c>
      <c r="AF181" s="114">
        <v>16522.810576689095</v>
      </c>
      <c r="AG181" s="114">
        <v>3170.5675422576769</v>
      </c>
      <c r="AH181" s="114">
        <v>12886.17947527817</v>
      </c>
      <c r="AI181" s="114">
        <v>12697.255849871823</v>
      </c>
      <c r="AJ181" s="114">
        <v>15406.496651253392</v>
      </c>
      <c r="AK181" s="114">
        <v>15447.287738903959</v>
      </c>
      <c r="AL181" s="114">
        <v>11937.656534010457</v>
      </c>
      <c r="AM181" s="114">
        <v>12438.620951880979</v>
      </c>
      <c r="AN181" s="114">
        <v>15107.770640185479</v>
      </c>
      <c r="AO181" s="114">
        <v>4412.5432987037639</v>
      </c>
      <c r="AP181" s="114">
        <v>5401.6272489814419</v>
      </c>
      <c r="AQ181" s="114">
        <v>17837.846329532313</v>
      </c>
      <c r="AR181" s="114">
        <v>8976.339545451121</v>
      </c>
      <c r="AS181" s="114">
        <v>12125.727726188874</v>
      </c>
      <c r="AT181" s="114">
        <v>12151.570733973636</v>
      </c>
      <c r="AU181" s="114">
        <v>16792.171784247763</v>
      </c>
      <c r="AV181" s="114">
        <v>14413.91870554287</v>
      </c>
      <c r="AW181" s="114">
        <v>12196.567486312137</v>
      </c>
      <c r="AX181" s="114">
        <v>16651.775018227836</v>
      </c>
      <c r="AY181" s="114">
        <v>10721.742961603248</v>
      </c>
      <c r="AZ181" s="114">
        <v>12211.453016426563</v>
      </c>
      <c r="BA181" s="114">
        <v>12203.098210397002</v>
      </c>
      <c r="BB181" s="114">
        <v>9440.0517157246559</v>
      </c>
      <c r="BC181" s="114">
        <v>18967.907834166213</v>
      </c>
      <c r="BD181" s="114">
        <v>18058.879553010243</v>
      </c>
      <c r="BE181" s="114">
        <v>12146.114345232168</v>
      </c>
      <c r="BF181" s="114">
        <v>17231.495389730393</v>
      </c>
      <c r="BG181" s="114">
        <v>10865.594595917401</v>
      </c>
      <c r="BH181" s="114">
        <v>16218.995047452265</v>
      </c>
      <c r="BI181" s="114">
        <v>13010.119724577828</v>
      </c>
      <c r="BJ181" s="114">
        <v>9903.3008178312139</v>
      </c>
      <c r="BK181" s="114">
        <v>11413.777456898082</v>
      </c>
      <c r="BL181" s="114">
        <v>10020.563807224122</v>
      </c>
      <c r="BM181" s="114">
        <v>9812.6391329499093</v>
      </c>
      <c r="BN181" s="114">
        <v>11374.17320293872</v>
      </c>
      <c r="BO181" s="114">
        <v>13096.439511204837</v>
      </c>
      <c r="BP181" s="114">
        <v>12874.994734297723</v>
      </c>
      <c r="BQ181" s="114">
        <v>15799.204124345848</v>
      </c>
      <c r="BR181" s="114">
        <v>9859.6347335663322</v>
      </c>
      <c r="BS181" s="114">
        <v>12226.284210548563</v>
      </c>
      <c r="BT181" s="114">
        <v>12442.891588376044</v>
      </c>
      <c r="BU181" s="114">
        <v>12594.300136375845</v>
      </c>
      <c r="BV181" s="114">
        <v>13977.772446474621</v>
      </c>
      <c r="BW181" s="114">
        <v>11609.731839927463</v>
      </c>
      <c r="BX181" s="114">
        <v>19137.447117994947</v>
      </c>
      <c r="BY181" s="114">
        <v>16087.967779414485</v>
      </c>
      <c r="BZ181" s="114">
        <v>15487.66008548768</v>
      </c>
      <c r="CA181" s="114">
        <v>15704.12682421102</v>
      </c>
      <c r="CB181" s="114">
        <v>19588.676395359333</v>
      </c>
      <c r="CC181" s="114">
        <v>17815.945192370909</v>
      </c>
      <c r="CD181" s="114">
        <v>16422.213047108726</v>
      </c>
      <c r="CE181" s="114">
        <v>11907.153853800184</v>
      </c>
      <c r="CF181" s="114">
        <v>13282.288507381678</v>
      </c>
      <c r="CG181" s="114">
        <v>6499.0215130547913</v>
      </c>
      <c r="CH181" s="114">
        <v>6581.7140344414938</v>
      </c>
      <c r="CI181" s="114">
        <v>2099.0776527774087</v>
      </c>
      <c r="CJ181" s="114">
        <v>9121.562796046901</v>
      </c>
      <c r="CK181" s="114">
        <v>9685.1515124329053</v>
      </c>
      <c r="CL181" s="114">
        <v>13400.670183986811</v>
      </c>
      <c r="CM181" s="114">
        <v>16715.255574567942</v>
      </c>
      <c r="CN181" s="114">
        <v>12526.356838910953</v>
      </c>
      <c r="CO181" s="114">
        <v>12686.527696854573</v>
      </c>
      <c r="CP181" s="114">
        <v>17423.026405319077</v>
      </c>
      <c r="CQ181" s="114">
        <v>5118.940603794279</v>
      </c>
      <c r="CR181" s="114">
        <v>10468.240296887723</v>
      </c>
      <c r="CS181" s="114">
        <v>8377.7011037905377</v>
      </c>
      <c r="CT181" s="114">
        <v>9858.9704924949147</v>
      </c>
      <c r="CU181" s="114">
        <v>9246.5864606830255</v>
      </c>
      <c r="CV181" s="114">
        <v>7641.2262316582955</v>
      </c>
      <c r="CW181" s="114">
        <v>3828.686619265075</v>
      </c>
      <c r="CX181" s="114">
        <v>11462.959212569056</v>
      </c>
      <c r="CY181" s="114">
        <v>10514.567682591156</v>
      </c>
      <c r="CZ181" s="114">
        <v>10325.868553398766</v>
      </c>
      <c r="DA181" s="114">
        <v>15132.786349123427</v>
      </c>
      <c r="DB181" s="114">
        <v>12582.304734270045</v>
      </c>
      <c r="DC181" s="114">
        <v>12635.44840157768</v>
      </c>
      <c r="DD181" s="114">
        <v>11410.099347989057</v>
      </c>
      <c r="DE181" s="114">
        <v>12796.319619433369</v>
      </c>
      <c r="DF181" s="114">
        <v>8456.3425711387827</v>
      </c>
      <c r="DG181" s="114">
        <v>9979.594427326876</v>
      </c>
      <c r="DH181" s="114">
        <v>2936.9552183969499</v>
      </c>
      <c r="DI181" s="114">
        <v>5928.358801223485</v>
      </c>
      <c r="DJ181" s="114">
        <v>14843.524849085634</v>
      </c>
      <c r="DK181" s="114">
        <v>12437.571874459241</v>
      </c>
      <c r="DL181" s="114">
        <v>7401.9913765722395</v>
      </c>
      <c r="DM181" s="114">
        <v>7381.1720975262879</v>
      </c>
      <c r="DN181" s="114">
        <v>15083.728442782574</v>
      </c>
      <c r="DO181" s="114">
        <v>11167.754505202094</v>
      </c>
      <c r="DP181" s="114">
        <v>12867.387016810177</v>
      </c>
      <c r="DQ181" s="114">
        <v>6506.3999898197644</v>
      </c>
      <c r="DR181" s="114">
        <v>11942.281226674158</v>
      </c>
      <c r="DS181" s="114">
        <v>14357.742284052934</v>
      </c>
      <c r="DT181" s="114">
        <v>9906.5430295452734</v>
      </c>
      <c r="DU181" s="114">
        <v>4221.1675777760993</v>
      </c>
      <c r="DV181" s="114">
        <v>11498.786913420536</v>
      </c>
      <c r="DW181" s="114">
        <v>5865.9338808857656</v>
      </c>
      <c r="DX181" s="114">
        <v>12796.822035424449</v>
      </c>
      <c r="DY181" s="114">
        <v>5899.7821577580289</v>
      </c>
      <c r="DZ181" s="114">
        <v>6045.9171588874051</v>
      </c>
      <c r="EA181" s="114">
        <v>16544.20720581217</v>
      </c>
      <c r="EB181" s="114">
        <v>13802.318564393328</v>
      </c>
      <c r="EC181" s="114">
        <v>13205.65050058765</v>
      </c>
      <c r="ED181" s="114">
        <v>5268.4156244191909</v>
      </c>
      <c r="EE181" s="114">
        <v>11781.58223189911</v>
      </c>
      <c r="EF181" s="114">
        <v>12184.215159104211</v>
      </c>
      <c r="EG181" s="114">
        <v>8075.6194337948082</v>
      </c>
      <c r="EH181" s="114">
        <v>7302.1294297861277</v>
      </c>
      <c r="EI181" s="114">
        <v>7197.0637140737672</v>
      </c>
      <c r="EJ181" s="114">
        <v>17315.604796762389</v>
      </c>
      <c r="EK181" s="114">
        <v>16291.622577693226</v>
      </c>
      <c r="EL181" s="114">
        <v>16673.287465287303</v>
      </c>
      <c r="EM181" s="114">
        <v>2567.2061278867432</v>
      </c>
      <c r="EN181" s="114">
        <v>11708.744095188358</v>
      </c>
      <c r="EO181" s="114">
        <v>14366.478204933946</v>
      </c>
      <c r="EP181" s="114">
        <v>8813.1696535927713</v>
      </c>
      <c r="EQ181" s="114">
        <v>11381.13322711022</v>
      </c>
      <c r="ER181" s="114">
        <v>10624.415423482676</v>
      </c>
      <c r="ES181" s="114">
        <v>10560.487618601559</v>
      </c>
      <c r="ET181" s="114">
        <v>18720.3923520223</v>
      </c>
      <c r="EU181" s="114">
        <v>19111.179695082206</v>
      </c>
      <c r="EV181" s="114">
        <v>19134.901261328308</v>
      </c>
      <c r="EW181" s="114">
        <v>12487.995176250686</v>
      </c>
      <c r="EX181" s="114">
        <v>13187.303278080191</v>
      </c>
      <c r="EY181" s="114">
        <v>9278.3602300216426</v>
      </c>
      <c r="EZ181" s="114">
        <v>15886.017535516123</v>
      </c>
      <c r="FA181" s="114">
        <v>11834.85242155074</v>
      </c>
      <c r="FB181" s="114">
        <v>15447.667036999408</v>
      </c>
      <c r="FC181" s="114">
        <v>2611.4472904679201</v>
      </c>
      <c r="FD181" s="114">
        <v>12042.823631065812</v>
      </c>
      <c r="FE181" s="114">
        <v>12283.010290004437</v>
      </c>
      <c r="FF181" s="114">
        <v>8946.3650535116576</v>
      </c>
      <c r="FG181" s="114">
        <v>10324.644278006372</v>
      </c>
      <c r="FH181" s="114">
        <v>5072.0276885657058</v>
      </c>
      <c r="FI181" s="114">
        <v>10493.056026767556</v>
      </c>
      <c r="FJ181" s="114">
        <v>13839.807498325838</v>
      </c>
      <c r="FK181" s="114">
        <v>13351.196134803824</v>
      </c>
      <c r="FL181" s="114">
        <v>5313.7369759438498</v>
      </c>
      <c r="FM181" s="114">
        <v>10563.735865735878</v>
      </c>
      <c r="FN181" s="114">
        <v>19701.726914820603</v>
      </c>
      <c r="FO181" s="114">
        <v>11777.615752252228</v>
      </c>
      <c r="FP181" s="114">
        <v>12799.187771307137</v>
      </c>
      <c r="FQ181" s="114">
        <v>10431.256947473574</v>
      </c>
      <c r="FR181" s="114">
        <v>3727.3711561440864</v>
      </c>
      <c r="FS181" s="114">
        <v>7828.4662918649074</v>
      </c>
      <c r="FT181" s="114">
        <v>9462.4813014217598</v>
      </c>
      <c r="FU181" s="114">
        <v>3669.0436651011992</v>
      </c>
      <c r="FV181" s="114" t="s">
        <v>527</v>
      </c>
      <c r="FW181" s="114">
        <v>13847.945436302296</v>
      </c>
      <c r="FX181" s="114">
        <v>19224.138644139632</v>
      </c>
      <c r="FY181" s="114">
        <v>12799.435487804452</v>
      </c>
      <c r="FZ181" s="114">
        <v>10828.988958128028</v>
      </c>
      <c r="GA181" s="114">
        <v>8686.5434372943182</v>
      </c>
      <c r="GB181" s="114">
        <v>10340.848227263539</v>
      </c>
      <c r="GC181" s="114">
        <v>11071.631163968765</v>
      </c>
      <c r="GD181" s="114">
        <v>8508.0795337137279</v>
      </c>
      <c r="GE181" s="114">
        <v>13125.666193296362</v>
      </c>
      <c r="GF181" s="114">
        <v>12952.800321103454</v>
      </c>
      <c r="GG181" s="114">
        <v>15935.937865546081</v>
      </c>
      <c r="GH181" s="114">
        <v>15902.096569515268</v>
      </c>
      <c r="GI181" s="114">
        <v>15946.193132723534</v>
      </c>
      <c r="GJ181" s="114">
        <v>15254.74048918363</v>
      </c>
      <c r="GK181" s="114">
        <v>7937.5695451300044</v>
      </c>
      <c r="GL181" s="114">
        <v>18695.791316625902</v>
      </c>
      <c r="GM181" s="114">
        <v>3914.2274640908417</v>
      </c>
      <c r="GN181" s="114">
        <v>9310.0805229177477</v>
      </c>
      <c r="GO181" s="114">
        <v>10521.92272512172</v>
      </c>
      <c r="GP181" s="114">
        <v>10181.308983653355</v>
      </c>
      <c r="GQ181" s="114">
        <v>2963.9101766826993</v>
      </c>
      <c r="GR181" s="114">
        <v>3851.3664706329241</v>
      </c>
      <c r="GS181" s="114">
        <v>12683.566333094637</v>
      </c>
      <c r="GT181" s="115">
        <v>10317.538438770251</v>
      </c>
    </row>
    <row r="182" spans="2:202" x14ac:dyDescent="0.6">
      <c r="B182" s="106" t="s">
        <v>167</v>
      </c>
      <c r="C182" s="63" t="s">
        <v>543</v>
      </c>
      <c r="D182" s="113">
        <v>7601.5214249757828</v>
      </c>
      <c r="E182" s="114">
        <v>3377.9719764617103</v>
      </c>
      <c r="F182" s="114">
        <v>4027.4976321811982</v>
      </c>
      <c r="G182" s="114">
        <v>2094.5815333037194</v>
      </c>
      <c r="H182" s="114">
        <v>6947.4116575194967</v>
      </c>
      <c r="I182" s="114">
        <v>7910.380647829099</v>
      </c>
      <c r="J182" s="114">
        <v>5717.6211836459825</v>
      </c>
      <c r="K182" s="114">
        <v>15633.671196862319</v>
      </c>
      <c r="L182" s="114">
        <v>4885.4561657912418</v>
      </c>
      <c r="M182" s="114">
        <v>6123.5267495766257</v>
      </c>
      <c r="N182" s="114">
        <v>8554.784324226157</v>
      </c>
      <c r="O182" s="114">
        <v>5654.4457570257009</v>
      </c>
      <c r="P182" s="114">
        <v>9643.2273668457292</v>
      </c>
      <c r="Q182" s="114">
        <v>6664.6746536359797</v>
      </c>
      <c r="R182" s="114">
        <v>5777.7349686319849</v>
      </c>
      <c r="S182" s="114">
        <v>4947.2147285430383</v>
      </c>
      <c r="T182" s="114">
        <v>9755.0164421280497</v>
      </c>
      <c r="U182" s="114">
        <v>135.76989492459461</v>
      </c>
      <c r="V182" s="114">
        <v>9525.0761335537827</v>
      </c>
      <c r="W182" s="114">
        <v>8013.3437146837659</v>
      </c>
      <c r="X182" s="114">
        <v>4484.1006747017982</v>
      </c>
      <c r="Y182" s="114">
        <v>4301.2863721643598</v>
      </c>
      <c r="Z182" s="114">
        <v>6148.1019044561126</v>
      </c>
      <c r="AA182" s="114">
        <v>5800.2082872867659</v>
      </c>
      <c r="AB182" s="114">
        <v>12571.451492248141</v>
      </c>
      <c r="AC182" s="114">
        <v>4586.3781751454162</v>
      </c>
      <c r="AD182" s="114">
        <v>727.54489070993009</v>
      </c>
      <c r="AE182" s="114">
        <v>3272.6285345015276</v>
      </c>
      <c r="AF182" s="114">
        <v>2856.9510111273157</v>
      </c>
      <c r="AG182" s="114">
        <v>11312.842671515926</v>
      </c>
      <c r="AH182" s="114">
        <v>968.85182132159093</v>
      </c>
      <c r="AI182" s="114">
        <v>1160.8615239720934</v>
      </c>
      <c r="AJ182" s="114">
        <v>8784.9389398800868</v>
      </c>
      <c r="AK182" s="114">
        <v>8481.0889403368728</v>
      </c>
      <c r="AL182" s="114">
        <v>1910.3500682609933</v>
      </c>
      <c r="AM182" s="114">
        <v>1614.2021064007149</v>
      </c>
      <c r="AN182" s="114">
        <v>8696.3288609435076</v>
      </c>
      <c r="AO182" s="114">
        <v>12446.152175061487</v>
      </c>
      <c r="AP182" s="114">
        <v>11660.015534390994</v>
      </c>
      <c r="AQ182" s="114">
        <v>8323.2224754397139</v>
      </c>
      <c r="AR182" s="114">
        <v>5032.9777598782739</v>
      </c>
      <c r="AS182" s="114">
        <v>1948.6809987030119</v>
      </c>
      <c r="AT182" s="114">
        <v>1915.7458542327167</v>
      </c>
      <c r="AU182" s="114">
        <v>9373.7775990197988</v>
      </c>
      <c r="AV182" s="114">
        <v>583.93164573113938</v>
      </c>
      <c r="AW182" s="114">
        <v>4596.952805097194</v>
      </c>
      <c r="AX182" s="114">
        <v>9071.3832005720615</v>
      </c>
      <c r="AY182" s="114">
        <v>4599.3284941914708</v>
      </c>
      <c r="AZ182" s="114">
        <v>5036.9946157297827</v>
      </c>
      <c r="BA182" s="114">
        <v>5572.9594064942448</v>
      </c>
      <c r="BB182" s="114">
        <v>4538.1648675573306</v>
      </c>
      <c r="BC182" s="114">
        <v>6877.3652796114957</v>
      </c>
      <c r="BD182" s="114">
        <v>7770.6270390505788</v>
      </c>
      <c r="BE182" s="114">
        <v>1925.6613271878782</v>
      </c>
      <c r="BF182" s="114">
        <v>8853.9901402304604</v>
      </c>
      <c r="BG182" s="114">
        <v>4108.1910341160865</v>
      </c>
      <c r="BH182" s="114">
        <v>9883.1634964593923</v>
      </c>
      <c r="BI182" s="114">
        <v>860.45796893958277</v>
      </c>
      <c r="BJ182" s="114">
        <v>4198.1331810668698</v>
      </c>
      <c r="BK182" s="114">
        <v>6231.680876618595</v>
      </c>
      <c r="BL182" s="114">
        <v>4821.1959154884844</v>
      </c>
      <c r="BM182" s="114">
        <v>4113.8936591688207</v>
      </c>
      <c r="BN182" s="114">
        <v>6337.3076850789967</v>
      </c>
      <c r="BO182" s="114">
        <v>4716.7247224433986</v>
      </c>
      <c r="BP182" s="114">
        <v>1105.3335092944908</v>
      </c>
      <c r="BQ182" s="114">
        <v>2086.7686053351308</v>
      </c>
      <c r="BR182" s="114">
        <v>5805.4037952879689</v>
      </c>
      <c r="BS182" s="114">
        <v>5255.5393469638475</v>
      </c>
      <c r="BT182" s="114">
        <v>4777.6472170146862</v>
      </c>
      <c r="BU182" s="114">
        <v>4944.4790868155742</v>
      </c>
      <c r="BV182" s="114">
        <v>161.87958892322365</v>
      </c>
      <c r="BW182" s="114">
        <v>4163.0066889037698</v>
      </c>
      <c r="BX182" s="114">
        <v>6930.5580875614069</v>
      </c>
      <c r="BY182" s="114">
        <v>9991.5107173054294</v>
      </c>
      <c r="BZ182" s="114">
        <v>1657.1139360735904</v>
      </c>
      <c r="CA182" s="114">
        <v>1923.546905914468</v>
      </c>
      <c r="CB182" s="114">
        <v>6552.5188645713934</v>
      </c>
      <c r="CC182" s="114">
        <v>8046.0309408996372</v>
      </c>
      <c r="CD182" s="114">
        <v>9665.2646699449015</v>
      </c>
      <c r="CE182" s="114">
        <v>4886.9968349290421</v>
      </c>
      <c r="CF182" s="114">
        <v>6701.6580508209981</v>
      </c>
      <c r="CG182" s="114">
        <v>7864.8257859653631</v>
      </c>
      <c r="CH182" s="114">
        <v>8311.2838329581027</v>
      </c>
      <c r="CI182" s="114">
        <v>11752.595249075572</v>
      </c>
      <c r="CJ182" s="114">
        <v>6056.4587469959733</v>
      </c>
      <c r="CK182" s="114">
        <v>5367.4153185312352</v>
      </c>
      <c r="CL182" s="114">
        <v>5281.9165879137981</v>
      </c>
      <c r="CM182" s="114">
        <v>4723.5632706848428</v>
      </c>
      <c r="CN182" s="114">
        <v>4092.0551192975868</v>
      </c>
      <c r="CO182" s="114">
        <v>4445.7669907016771</v>
      </c>
      <c r="CP182" s="114">
        <v>8501.1766369637462</v>
      </c>
      <c r="CQ182" s="114">
        <v>13668.977360975958</v>
      </c>
      <c r="CR182" s="114">
        <v>4553.8335638189892</v>
      </c>
      <c r="CS182" s="114">
        <v>8099.0206479218723</v>
      </c>
      <c r="CT182" s="114">
        <v>3998.8995938003609</v>
      </c>
      <c r="CU182" s="114">
        <v>5536.9683067390724</v>
      </c>
      <c r="CV182" s="114">
        <v>8181.219361561085</v>
      </c>
      <c r="CW182" s="114">
        <v>10969.722826528719</v>
      </c>
      <c r="CX182" s="114">
        <v>5957.510703715453</v>
      </c>
      <c r="CY182" s="114">
        <v>4653.5148275254924</v>
      </c>
      <c r="CZ182" s="114">
        <v>4813.4545358327005</v>
      </c>
      <c r="DA182" s="114">
        <v>1290.2260792987547</v>
      </c>
      <c r="DB182" s="114">
        <v>3182.913160629148</v>
      </c>
      <c r="DC182" s="114">
        <v>4623.271003827007</v>
      </c>
      <c r="DD182" s="114">
        <v>5784.781655191613</v>
      </c>
      <c r="DE182" s="114">
        <v>4834.3782378671449</v>
      </c>
      <c r="DF182" s="114">
        <v>5748.6252307575005</v>
      </c>
      <c r="DG182" s="114">
        <v>4204.3669597921817</v>
      </c>
      <c r="DH182" s="114">
        <v>11096.614178816051</v>
      </c>
      <c r="DI182" s="114">
        <v>7981.9673370813507</v>
      </c>
      <c r="DJ182" s="114">
        <v>1185.0373782850418</v>
      </c>
      <c r="DK182" s="114">
        <v>3538.3692442089837</v>
      </c>
      <c r="DL182" s="114">
        <v>6786.1634091381238</v>
      </c>
      <c r="DM182" s="114">
        <v>6808.0365992907045</v>
      </c>
      <c r="DN182" s="114">
        <v>10857.494631804162</v>
      </c>
      <c r="DO182" s="114">
        <v>5259.922967330308</v>
      </c>
      <c r="DP182" s="114">
        <v>4230.2921545234867</v>
      </c>
      <c r="DQ182" s="114">
        <v>10657.142837921148</v>
      </c>
      <c r="DR182" s="114">
        <v>4416.0920598709754</v>
      </c>
      <c r="DS182" s="114">
        <v>3214.2650361737592</v>
      </c>
      <c r="DT182" s="114">
        <v>4868.0259960302919</v>
      </c>
      <c r="DU182" s="114">
        <v>10345.836334159745</v>
      </c>
      <c r="DV182" s="114">
        <v>3601.9212408712101</v>
      </c>
      <c r="DW182" s="114">
        <v>9105.3183942288815</v>
      </c>
      <c r="DX182" s="114">
        <v>5139.6685335829661</v>
      </c>
      <c r="DY182" s="114">
        <v>16531.015074310686</v>
      </c>
      <c r="DZ182" s="114">
        <v>16054.196780100914</v>
      </c>
      <c r="EA182" s="114">
        <v>9584.9793199422165</v>
      </c>
      <c r="EB182" s="114">
        <v>803.91752685969254</v>
      </c>
      <c r="EC182" s="114">
        <v>750.51846798038696</v>
      </c>
      <c r="ED182" s="114">
        <v>12393.388789852997</v>
      </c>
      <c r="EE182" s="114">
        <v>4457.9934783972576</v>
      </c>
      <c r="EF182" s="114">
        <v>5996.2871649101598</v>
      </c>
      <c r="EG182" s="114">
        <v>6395.369965629824</v>
      </c>
      <c r="EH182" s="114">
        <v>7293.6996037606923</v>
      </c>
      <c r="EI182" s="114">
        <v>7957.1546407375436</v>
      </c>
      <c r="EJ182" s="114">
        <v>8857.4768969971119</v>
      </c>
      <c r="EK182" s="114">
        <v>7207.5062075325013</v>
      </c>
      <c r="EL182" s="114">
        <v>8874.9328978243338</v>
      </c>
      <c r="EM182" s="114">
        <v>12997.441714718467</v>
      </c>
      <c r="EN182" s="114">
        <v>5431.5626694520406</v>
      </c>
      <c r="EO182" s="114">
        <v>3741.8301114214655</v>
      </c>
      <c r="EP182" s="114">
        <v>5731.9735767792963</v>
      </c>
      <c r="EQ182" s="114">
        <v>4887.5612053609993</v>
      </c>
      <c r="ER182" s="114">
        <v>6388.6139512553227</v>
      </c>
      <c r="ES182" s="114">
        <v>3313.8389713201673</v>
      </c>
      <c r="ET182" s="114">
        <v>7010.2538338485765</v>
      </c>
      <c r="EU182" s="114">
        <v>6804.1750330496789</v>
      </c>
      <c r="EV182" s="114">
        <v>6859.6614408569994</v>
      </c>
      <c r="EW182" s="114">
        <v>4304.6122114649024</v>
      </c>
      <c r="EX182" s="114">
        <v>880.56932790086671</v>
      </c>
      <c r="EY182" s="114">
        <v>5229.2311723918192</v>
      </c>
      <c r="EZ182" s="114">
        <v>2219.6403443717832</v>
      </c>
      <c r="FA182" s="114">
        <v>4659.5840704496231</v>
      </c>
      <c r="FB182" s="114">
        <v>1604.0556599619915</v>
      </c>
      <c r="FC182" s="114">
        <v>11386.023305384742</v>
      </c>
      <c r="FD182" s="114">
        <v>4907.442265975079</v>
      </c>
      <c r="FE182" s="114">
        <v>4618.3901507197734</v>
      </c>
      <c r="FF182" s="114">
        <v>4905.1037616865096</v>
      </c>
      <c r="FG182" s="114">
        <v>4555.535972112235</v>
      </c>
      <c r="FH182" s="114">
        <v>12578.736902972971</v>
      </c>
      <c r="FI182" s="114">
        <v>3365.3174927386544</v>
      </c>
      <c r="FJ182" s="114">
        <v>3826.669399304787</v>
      </c>
      <c r="FK182" s="114">
        <v>3925.8230432732385</v>
      </c>
      <c r="FL182" s="114">
        <v>8679.9968204297202</v>
      </c>
      <c r="FM182" s="114">
        <v>3549.2102070086485</v>
      </c>
      <c r="FN182" s="114">
        <v>6225.7739041708501</v>
      </c>
      <c r="FO182" s="114">
        <v>6077.5604332923685</v>
      </c>
      <c r="FP182" s="114">
        <v>4538.7771259647416</v>
      </c>
      <c r="FQ182" s="114">
        <v>4707.6066553473811</v>
      </c>
      <c r="FR182" s="114">
        <v>12702.847708864383</v>
      </c>
      <c r="FS182" s="114">
        <v>7613.0006876284124</v>
      </c>
      <c r="FT182" s="114">
        <v>4462.9809166196874</v>
      </c>
      <c r="FU182" s="114">
        <v>10827.047247605278</v>
      </c>
      <c r="FV182" s="114">
        <v>13847.945436302296</v>
      </c>
      <c r="FW182" s="114" t="s">
        <v>237</v>
      </c>
      <c r="FX182" s="114">
        <v>6906.2513849932566</v>
      </c>
      <c r="FY182" s="114">
        <v>3500.9369765558263</v>
      </c>
      <c r="FZ182" s="114">
        <v>4865.8881441151007</v>
      </c>
      <c r="GA182" s="114">
        <v>6671.1677961765454</v>
      </c>
      <c r="GB182" s="114">
        <v>3512.8729182036282</v>
      </c>
      <c r="GC182" s="114">
        <v>5610.0305872233794</v>
      </c>
      <c r="GD182" s="114">
        <v>5996.0743811896236</v>
      </c>
      <c r="GE182" s="114">
        <v>5035.1192529510326</v>
      </c>
      <c r="GF182" s="114">
        <v>12255.55438191939</v>
      </c>
      <c r="GG182" s="114">
        <v>8320.9044155885895</v>
      </c>
      <c r="GH182" s="114">
        <v>8097.2166528831585</v>
      </c>
      <c r="GI182" s="114">
        <v>8564.3023262642309</v>
      </c>
      <c r="GJ182" s="114">
        <v>7506.9027650810167</v>
      </c>
      <c r="GK182" s="114">
        <v>7720.2064312547045</v>
      </c>
      <c r="GL182" s="114">
        <v>7459.1772128265302</v>
      </c>
      <c r="GM182" s="114">
        <v>11232.636865856886</v>
      </c>
      <c r="GN182" s="114">
        <v>4799.2356924376099</v>
      </c>
      <c r="GO182" s="114">
        <v>3803.741042690006</v>
      </c>
      <c r="GP182" s="114">
        <v>4191.1958646214252</v>
      </c>
      <c r="GQ182" s="114">
        <v>11551.103122313545</v>
      </c>
      <c r="GR182" s="114">
        <v>15407.680264955836</v>
      </c>
      <c r="GS182" s="114">
        <v>4643.9554906333105</v>
      </c>
      <c r="GT182" s="115">
        <v>4611.4527051748928</v>
      </c>
    </row>
    <row r="183" spans="2:202" x14ac:dyDescent="0.6">
      <c r="B183" s="106" t="s">
        <v>168</v>
      </c>
      <c r="C183" s="63" t="s">
        <v>518</v>
      </c>
      <c r="D183" s="113">
        <v>12800.295679039444</v>
      </c>
      <c r="E183" s="114">
        <v>7039.4588527540309</v>
      </c>
      <c r="F183" s="114">
        <v>6987.938152283049</v>
      </c>
      <c r="G183" s="114">
        <v>8529.4145005034552</v>
      </c>
      <c r="H183" s="114">
        <v>719.81096908471397</v>
      </c>
      <c r="I183" s="114">
        <v>5223.5183016461306</v>
      </c>
      <c r="J183" s="114">
        <v>10554.453506974596</v>
      </c>
      <c r="K183" s="114">
        <v>15823.177445821459</v>
      </c>
      <c r="L183" s="114">
        <v>8218.214773005182</v>
      </c>
      <c r="M183" s="114">
        <v>10965.762663250731</v>
      </c>
      <c r="N183" s="114">
        <v>2302.5975251684454</v>
      </c>
      <c r="O183" s="114">
        <v>11593.916616295481</v>
      </c>
      <c r="P183" s="114">
        <v>15136.768600909378</v>
      </c>
      <c r="Q183" s="114">
        <v>358.24005043604006</v>
      </c>
      <c r="R183" s="114">
        <v>8978.0833484771738</v>
      </c>
      <c r="S183" s="114">
        <v>7387.4509318087194</v>
      </c>
      <c r="T183" s="114">
        <v>2978.6361741270912</v>
      </c>
      <c r="U183" s="114">
        <v>7037.1350101201442</v>
      </c>
      <c r="V183" s="114">
        <v>14758.93249584506</v>
      </c>
      <c r="W183" s="114">
        <v>3073.1161059714113</v>
      </c>
      <c r="X183" s="114">
        <v>8371.5061916924024</v>
      </c>
      <c r="Y183" s="114">
        <v>10203.973562952777</v>
      </c>
      <c r="Z183" s="114">
        <v>4133.2329017016891</v>
      </c>
      <c r="AA183" s="114">
        <v>4232.0951627682571</v>
      </c>
      <c r="AB183" s="114">
        <v>18283.844951160107</v>
      </c>
      <c r="AC183" s="114">
        <v>8778.2843524603231</v>
      </c>
      <c r="AD183" s="114">
        <v>6550.7282492177792</v>
      </c>
      <c r="AE183" s="114">
        <v>10146.89002442327</v>
      </c>
      <c r="AF183" s="114">
        <v>4160.6427784170392</v>
      </c>
      <c r="AG183" s="114">
        <v>17122.173492849401</v>
      </c>
      <c r="AH183" s="114">
        <v>7872.5649682890353</v>
      </c>
      <c r="AI183" s="114">
        <v>8062.9660361635615</v>
      </c>
      <c r="AJ183" s="114">
        <v>4058.5625574367291</v>
      </c>
      <c r="AK183" s="114">
        <v>4071.1953689604625</v>
      </c>
      <c r="AL183" s="114">
        <v>8813.5115968430655</v>
      </c>
      <c r="AM183" s="114">
        <v>8267.5428035268542</v>
      </c>
      <c r="AN183" s="114">
        <v>4971.1283073339609</v>
      </c>
      <c r="AO183" s="114">
        <v>15347.897217737163</v>
      </c>
      <c r="AP183" s="114">
        <v>14427.504704467927</v>
      </c>
      <c r="AQ183" s="114">
        <v>1545.7571726845968</v>
      </c>
      <c r="AR183" s="114">
        <v>11818.174500992858</v>
      </c>
      <c r="AS183" s="114">
        <v>8662.439881329472</v>
      </c>
      <c r="AT183" s="114">
        <v>8635.9973960548414</v>
      </c>
      <c r="AU183" s="114">
        <v>2467.600159397175</v>
      </c>
      <c r="AV183" s="114">
        <v>6348.3697155569707</v>
      </c>
      <c r="AW183" s="114">
        <v>8160.5175615717999</v>
      </c>
      <c r="AX183" s="114">
        <v>2596.2182611828721</v>
      </c>
      <c r="AY183" s="114">
        <v>9754.5066730779654</v>
      </c>
      <c r="AZ183" s="114">
        <v>8083.8740015651465</v>
      </c>
      <c r="BA183" s="114">
        <v>8016.3867484731818</v>
      </c>
      <c r="BB183" s="114">
        <v>11244.356106666506</v>
      </c>
      <c r="BC183" s="114">
        <v>506.18799651432556</v>
      </c>
      <c r="BD183" s="114">
        <v>1216.3561040286718</v>
      </c>
      <c r="BE183" s="114">
        <v>8641.7676676937444</v>
      </c>
      <c r="BF183" s="114">
        <v>2216.5229144184709</v>
      </c>
      <c r="BG183" s="114">
        <v>9668.1364490842843</v>
      </c>
      <c r="BH183" s="114">
        <v>3015.2763377279616</v>
      </c>
      <c r="BI183" s="114">
        <v>7752.4988856275095</v>
      </c>
      <c r="BJ183" s="114">
        <v>10755.252616411686</v>
      </c>
      <c r="BK183" s="114">
        <v>8763.102932802818</v>
      </c>
      <c r="BL183" s="114">
        <v>10780.296096333588</v>
      </c>
      <c r="BM183" s="114">
        <v>10891.186153325089</v>
      </c>
      <c r="BN183" s="114">
        <v>8789.9503080907743</v>
      </c>
      <c r="BO183" s="114">
        <v>7196.9504113558023</v>
      </c>
      <c r="BP183" s="114">
        <v>7901.2457395665151</v>
      </c>
      <c r="BQ183" s="114">
        <v>4908.5077720613144</v>
      </c>
      <c r="BR183" s="114">
        <v>10522.747059343405</v>
      </c>
      <c r="BS183" s="114">
        <v>8037.2737984394798</v>
      </c>
      <c r="BT183" s="114">
        <v>7874.8524745499535</v>
      </c>
      <c r="BU183" s="114">
        <v>7691.8727184904938</v>
      </c>
      <c r="BV183" s="114">
        <v>6781.5024875550607</v>
      </c>
      <c r="BW183" s="114">
        <v>8846.9863450094472</v>
      </c>
      <c r="BX183" s="114">
        <v>158.14142837659597</v>
      </c>
      <c r="BY183" s="114">
        <v>3142.7801470965724</v>
      </c>
      <c r="BZ183" s="114">
        <v>5255.1232032986645</v>
      </c>
      <c r="CA183" s="114">
        <v>5021.1915573994102</v>
      </c>
      <c r="CB183" s="114">
        <v>593.00074643627408</v>
      </c>
      <c r="CC183" s="114">
        <v>1437.0340564601704</v>
      </c>
      <c r="CD183" s="114">
        <v>2808.7645884109679</v>
      </c>
      <c r="CE183" s="114">
        <v>8428.7370006274759</v>
      </c>
      <c r="CF183" s="114">
        <v>6704.8227000111119</v>
      </c>
      <c r="CG183" s="114">
        <v>14022.157339430296</v>
      </c>
      <c r="CH183" s="114">
        <v>13802.876541492695</v>
      </c>
      <c r="CI183" s="114">
        <v>18591.06619071672</v>
      </c>
      <c r="CJ183" s="114">
        <v>11310.485218704034</v>
      </c>
      <c r="CK183" s="114">
        <v>10791.187348947502</v>
      </c>
      <c r="CL183" s="114">
        <v>6798.3583192223741</v>
      </c>
      <c r="CM183" s="114">
        <v>3582.3951688734037</v>
      </c>
      <c r="CN183" s="114">
        <v>7878.8992580258737</v>
      </c>
      <c r="CO183" s="114">
        <v>7663.3761623940227</v>
      </c>
      <c r="CP183" s="114">
        <v>1809.0894218733938</v>
      </c>
      <c r="CQ183" s="114">
        <v>14399.707924763734</v>
      </c>
      <c r="CR183" s="114">
        <v>10042.974907570491</v>
      </c>
      <c r="CS183" s="114">
        <v>11785.294570107761</v>
      </c>
      <c r="CT183" s="114">
        <v>10903.793561388033</v>
      </c>
      <c r="CU183" s="114">
        <v>11261.972991719635</v>
      </c>
      <c r="CV183" s="114">
        <v>12598.303095391539</v>
      </c>
      <c r="CW183" s="114">
        <v>16406.394082589231</v>
      </c>
      <c r="CX183" s="114">
        <v>8750.7887218431952</v>
      </c>
      <c r="CY183" s="114">
        <v>9975.932346257232</v>
      </c>
      <c r="CZ183" s="114">
        <v>10467.959403091649</v>
      </c>
      <c r="DA183" s="114">
        <v>5629.5405587362129</v>
      </c>
      <c r="DB183" s="114">
        <v>7933.407410475289</v>
      </c>
      <c r="DC183" s="114">
        <v>7692.9904145210694</v>
      </c>
      <c r="DD183" s="114">
        <v>8832.9200140186804</v>
      </c>
      <c r="DE183" s="114">
        <v>7494.7226403221121</v>
      </c>
      <c r="DF183" s="114">
        <v>12348.717441248975</v>
      </c>
      <c r="DG183" s="114">
        <v>10822.309600418928</v>
      </c>
      <c r="DH183" s="114">
        <v>17582.565204314011</v>
      </c>
      <c r="DI183" s="114">
        <v>14751.420284066873</v>
      </c>
      <c r="DJ183" s="114">
        <v>5872.1156822041958</v>
      </c>
      <c r="DK183" s="114">
        <v>8043.0946290152051</v>
      </c>
      <c r="DL183" s="114">
        <v>13403.726882114763</v>
      </c>
      <c r="DM183" s="114">
        <v>13424.571990772411</v>
      </c>
      <c r="DN183" s="114">
        <v>4140.5241522378283</v>
      </c>
      <c r="DO183" s="114">
        <v>9170.7403213077232</v>
      </c>
      <c r="DP183" s="114">
        <v>7502.5281630745294</v>
      </c>
      <c r="DQ183" s="114">
        <v>13402.116207217738</v>
      </c>
      <c r="DR183" s="114">
        <v>8455.8411270203978</v>
      </c>
      <c r="DS183" s="114">
        <v>6107.7769402051126</v>
      </c>
      <c r="DT183" s="114">
        <v>10895.45410553799</v>
      </c>
      <c r="DU183" s="114">
        <v>16129.282630002283</v>
      </c>
      <c r="DV183" s="114">
        <v>9303.6942896010059</v>
      </c>
      <c r="DW183" s="114">
        <v>14462.96197429749</v>
      </c>
      <c r="DX183" s="114">
        <v>7451.1091792705411</v>
      </c>
      <c r="DY183" s="114">
        <v>13698.948704864557</v>
      </c>
      <c r="DZ183" s="114">
        <v>13614.328813021531</v>
      </c>
      <c r="EA183" s="114">
        <v>2696.1562406170415</v>
      </c>
      <c r="EB183" s="114">
        <v>6902.4519618914428</v>
      </c>
      <c r="EC183" s="114">
        <v>7526.1987059931862</v>
      </c>
      <c r="ED183" s="114">
        <v>14439.020377858909</v>
      </c>
      <c r="EE183" s="114">
        <v>8622.1469869842786</v>
      </c>
      <c r="EF183" s="114">
        <v>7974.6776434215099</v>
      </c>
      <c r="EG183" s="114">
        <v>12462.325079794096</v>
      </c>
      <c r="EH183" s="114">
        <v>13183.029673051627</v>
      </c>
      <c r="EI183" s="114">
        <v>13156.062665591749</v>
      </c>
      <c r="EJ183" s="114">
        <v>1952.9264988977532</v>
      </c>
      <c r="EK183" s="114">
        <v>4001.7722130408238</v>
      </c>
      <c r="EL183" s="114">
        <v>3045.726442919683</v>
      </c>
      <c r="EM183" s="114">
        <v>17215.489692241477</v>
      </c>
      <c r="EN183" s="114">
        <v>8563.7770421662808</v>
      </c>
      <c r="EO183" s="114">
        <v>6029.0341298034327</v>
      </c>
      <c r="EP183" s="114">
        <v>11728.798758416055</v>
      </c>
      <c r="EQ183" s="114">
        <v>8993.4118588399033</v>
      </c>
      <c r="ER183" s="114">
        <v>9591.8985890109507</v>
      </c>
      <c r="ES183" s="114">
        <v>10208.671893338565</v>
      </c>
      <c r="ET183" s="114">
        <v>731.33017579306807</v>
      </c>
      <c r="EU183" s="114">
        <v>387.34682875260035</v>
      </c>
      <c r="EV183" s="114">
        <v>275.37684837461302</v>
      </c>
      <c r="EW183" s="114">
        <v>7891.3545126806202</v>
      </c>
      <c r="EX183" s="114">
        <v>7591.5841804391648</v>
      </c>
      <c r="EY183" s="114">
        <v>11283.71661567409</v>
      </c>
      <c r="EZ183" s="114">
        <v>4810.2674740518423</v>
      </c>
      <c r="FA183" s="114">
        <v>8537.4936743913076</v>
      </c>
      <c r="FB183" s="114">
        <v>5302.3883530878829</v>
      </c>
      <c r="FC183" s="114">
        <v>17912.956892683604</v>
      </c>
      <c r="FD183" s="114">
        <v>8281.2363072863318</v>
      </c>
      <c r="FE183" s="114">
        <v>8065.8918583708219</v>
      </c>
      <c r="FF183" s="114">
        <v>11792.813793201438</v>
      </c>
      <c r="FG183" s="114">
        <v>10476.66450110927</v>
      </c>
      <c r="FH183" s="114">
        <v>14616.648882780308</v>
      </c>
      <c r="FI183" s="114">
        <v>10243.601742587116</v>
      </c>
      <c r="FJ183" s="114">
        <v>6550.6275823176466</v>
      </c>
      <c r="FK183" s="114">
        <v>7039.3581688357826</v>
      </c>
      <c r="FL183" s="114">
        <v>15312.649512869481</v>
      </c>
      <c r="FM183" s="114">
        <v>10102.201455028027</v>
      </c>
      <c r="FN183" s="114">
        <v>908.25611763843301</v>
      </c>
      <c r="FO183" s="114">
        <v>8396.1130275262149</v>
      </c>
      <c r="FP183" s="114">
        <v>7532.4826598902055</v>
      </c>
      <c r="FQ183" s="114">
        <v>10060.347856795619</v>
      </c>
      <c r="FR183" s="114">
        <v>16032.862837684897</v>
      </c>
      <c r="FS183" s="114">
        <v>12495.666354355837</v>
      </c>
      <c r="FT183" s="114">
        <v>11320.471537164272</v>
      </c>
      <c r="FU183" s="114">
        <v>16666.097377822611</v>
      </c>
      <c r="FV183" s="114">
        <v>19224.138644139632</v>
      </c>
      <c r="FW183" s="114">
        <v>6906.2513849932566</v>
      </c>
      <c r="FX183" s="114" t="s">
        <v>237</v>
      </c>
      <c r="FY183" s="114">
        <v>7666.8745077076646</v>
      </c>
      <c r="FZ183" s="114">
        <v>9597.0716247223772</v>
      </c>
      <c r="GA183" s="114">
        <v>11694.076214108991</v>
      </c>
      <c r="GB183" s="114">
        <v>10418.873096910102</v>
      </c>
      <c r="GC183" s="114">
        <v>9223.6116025265728</v>
      </c>
      <c r="GD183" s="114">
        <v>12034.183877314323</v>
      </c>
      <c r="GE183" s="114">
        <v>7121.354835934967</v>
      </c>
      <c r="GF183" s="114">
        <v>6296.7531496859147</v>
      </c>
      <c r="GG183" s="114">
        <v>3560.6116713206779</v>
      </c>
      <c r="GH183" s="114">
        <v>3645.8051499969492</v>
      </c>
      <c r="GI183" s="114">
        <v>3498.3280687132542</v>
      </c>
      <c r="GJ183" s="114">
        <v>5053.1171873466137</v>
      </c>
      <c r="GK183" s="114">
        <v>12349.964214540572</v>
      </c>
      <c r="GL183" s="114">
        <v>553.36597820591885</v>
      </c>
      <c r="GM183" s="114">
        <v>16214.320656756841</v>
      </c>
      <c r="GN183" s="114">
        <v>11337.944131092834</v>
      </c>
      <c r="GO183" s="114">
        <v>10282.421823492647</v>
      </c>
      <c r="GP183" s="114">
        <v>10624.199332367512</v>
      </c>
      <c r="GQ183" s="114">
        <v>17290.196847210864</v>
      </c>
      <c r="GR183" s="114">
        <v>15889.584039367619</v>
      </c>
      <c r="GS183" s="114">
        <v>7639.5365948425469</v>
      </c>
      <c r="GT183" s="115">
        <v>10482.552231452153</v>
      </c>
    </row>
    <row r="184" spans="2:202" x14ac:dyDescent="0.6">
      <c r="B184" s="106" t="s">
        <v>169</v>
      </c>
      <c r="C184" s="63" t="s">
        <v>519</v>
      </c>
      <c r="D184" s="113">
        <v>5268.4694667080175</v>
      </c>
      <c r="E184" s="114">
        <v>628.62305003326298</v>
      </c>
      <c r="F184" s="114">
        <v>992.87206927527382</v>
      </c>
      <c r="G184" s="114">
        <v>5013.8440677468425</v>
      </c>
      <c r="H184" s="114">
        <v>7294.1627926955898</v>
      </c>
      <c r="I184" s="114">
        <v>10849.267488544852</v>
      </c>
      <c r="J184" s="114">
        <v>2992.5058128632081</v>
      </c>
      <c r="K184" s="114">
        <v>16473.029971037373</v>
      </c>
      <c r="L184" s="114">
        <v>1385.201690718736</v>
      </c>
      <c r="M184" s="114">
        <v>3435.2278690814328</v>
      </c>
      <c r="N184" s="114">
        <v>8159.4270014673129</v>
      </c>
      <c r="O184" s="114">
        <v>3958.1040835744379</v>
      </c>
      <c r="P184" s="114">
        <v>7642.8939666969736</v>
      </c>
      <c r="Q184" s="114">
        <v>7318.1170932340165</v>
      </c>
      <c r="R184" s="114">
        <v>2312.3528824742111</v>
      </c>
      <c r="S184" s="114">
        <v>1627.576813607634</v>
      </c>
      <c r="T184" s="114">
        <v>9603.5256677291709</v>
      </c>
      <c r="U184" s="114">
        <v>3455.6232339642056</v>
      </c>
      <c r="V184" s="114">
        <v>7350.7547602870591</v>
      </c>
      <c r="W184" s="114">
        <v>10059.937444829835</v>
      </c>
      <c r="X184" s="114">
        <v>1043.5049446549017</v>
      </c>
      <c r="Y184" s="114">
        <v>6968.7283937793172</v>
      </c>
      <c r="Z184" s="114">
        <v>8943.0502120009405</v>
      </c>
      <c r="AA184" s="114">
        <v>8651.9592868628406</v>
      </c>
      <c r="AB184" s="114">
        <v>11025.131894620452</v>
      </c>
      <c r="AC184" s="114">
        <v>1301.6871341853273</v>
      </c>
      <c r="AD184" s="114">
        <v>2938.3957706076681</v>
      </c>
      <c r="AE184" s="114">
        <v>4833.0681406910626</v>
      </c>
      <c r="AF184" s="114">
        <v>4079.0032962744017</v>
      </c>
      <c r="AG184" s="114">
        <v>9647.2208691249889</v>
      </c>
      <c r="AH184" s="114">
        <v>3608.7064204889307</v>
      </c>
      <c r="AI184" s="114">
        <v>3671.6299463574987</v>
      </c>
      <c r="AJ184" s="114">
        <v>7274.5604507088901</v>
      </c>
      <c r="AK184" s="114">
        <v>6914.2706397468737</v>
      </c>
      <c r="AL184" s="114">
        <v>3685.8369506445933</v>
      </c>
      <c r="AM184" s="114">
        <v>2749.9584720921493</v>
      </c>
      <c r="AN184" s="114">
        <v>11389.388852659666</v>
      </c>
      <c r="AO184" s="114">
        <v>9637.2871686713279</v>
      </c>
      <c r="AP184" s="114">
        <v>8679.3345159809669</v>
      </c>
      <c r="AQ184" s="114">
        <v>9194.5170431711922</v>
      </c>
      <c r="AR184" s="114">
        <v>6351.1258336096253</v>
      </c>
      <c r="AS184" s="114">
        <v>4571.9181298287276</v>
      </c>
      <c r="AT184" s="114">
        <v>4543.3160171618283</v>
      </c>
      <c r="AU184" s="114">
        <v>9742.4663778250197</v>
      </c>
      <c r="AV184" s="114">
        <v>3751.9860987188672</v>
      </c>
      <c r="AW184" s="114">
        <v>1100.3371944807875</v>
      </c>
      <c r="AX184" s="114">
        <v>8704.4298745421147</v>
      </c>
      <c r="AY184" s="114">
        <v>2087.6847405665094</v>
      </c>
      <c r="AZ184" s="114">
        <v>1542.3731660979245</v>
      </c>
      <c r="BA184" s="114">
        <v>2109.4795807924761</v>
      </c>
      <c r="BB184" s="114">
        <v>4280.501641240533</v>
      </c>
      <c r="BC184" s="114">
        <v>7357.7597288851903</v>
      </c>
      <c r="BD184" s="114">
        <v>7910.5736309905797</v>
      </c>
      <c r="BE184" s="114">
        <v>4555.8342559269622</v>
      </c>
      <c r="BF184" s="114">
        <v>9879.8204688627047</v>
      </c>
      <c r="BG184" s="114">
        <v>2079.0153318668627</v>
      </c>
      <c r="BH184" s="114">
        <v>9926.6836222702186</v>
      </c>
      <c r="BI184" s="114">
        <v>3678.691126517977</v>
      </c>
      <c r="BJ184" s="114">
        <v>3677.213208157556</v>
      </c>
      <c r="BK184" s="114">
        <v>2730.8485999354871</v>
      </c>
      <c r="BL184" s="114">
        <v>7307.2107480967761</v>
      </c>
      <c r="BM184" s="114">
        <v>4181.7054216878041</v>
      </c>
      <c r="BN184" s="114">
        <v>2836.3775339133272</v>
      </c>
      <c r="BO184" s="114">
        <v>1481.6374881154538</v>
      </c>
      <c r="BP184" s="114">
        <v>4031.7690572024517</v>
      </c>
      <c r="BQ184" s="114">
        <v>3691.9826732873594</v>
      </c>
      <c r="BR184" s="114">
        <v>3002.9838815775393</v>
      </c>
      <c r="BS184" s="114">
        <v>1774.0666991447038</v>
      </c>
      <c r="BT184" s="114">
        <v>1299.3448396422827</v>
      </c>
      <c r="BU184" s="114">
        <v>1517.7908288524427</v>
      </c>
      <c r="BV184" s="114">
        <v>3615.6189154593044</v>
      </c>
      <c r="BW184" s="114">
        <v>1189.9642854126125</v>
      </c>
      <c r="BX184" s="114">
        <v>7599.6290576463452</v>
      </c>
      <c r="BY184" s="114">
        <v>9954.6028123434626</v>
      </c>
      <c r="BZ184" s="114">
        <v>3849.0310634491657</v>
      </c>
      <c r="CA184" s="114">
        <v>3782.9459823609595</v>
      </c>
      <c r="CB184" s="114">
        <v>7637.0131997180906</v>
      </c>
      <c r="CC184" s="114">
        <v>8134.2046112466696</v>
      </c>
      <c r="CD184" s="114">
        <v>9714.4173939364009</v>
      </c>
      <c r="CE184" s="114">
        <v>1407.4867678365795</v>
      </c>
      <c r="CF184" s="114">
        <v>3725.052798994263</v>
      </c>
      <c r="CG184" s="114">
        <v>6358.4168892221733</v>
      </c>
      <c r="CH184" s="114">
        <v>6230.0923022819434</v>
      </c>
      <c r="CI184" s="114">
        <v>10971.191147212601</v>
      </c>
      <c r="CJ184" s="114">
        <v>3680.1226415566966</v>
      </c>
      <c r="CK184" s="114">
        <v>3125.0017866276339</v>
      </c>
      <c r="CL184" s="114">
        <v>2245.7110826402391</v>
      </c>
      <c r="CM184" s="114">
        <v>4158.4775205085343</v>
      </c>
      <c r="CN184" s="114">
        <v>591.16166946090925</v>
      </c>
      <c r="CO184" s="114">
        <v>999.74084349372845</v>
      </c>
      <c r="CP184" s="114">
        <v>8535.4065923013895</v>
      </c>
      <c r="CQ184" s="114">
        <v>10451.80491316651</v>
      </c>
      <c r="CR184" s="114">
        <v>2397.1633358974796</v>
      </c>
      <c r="CS184" s="114">
        <v>5012.1204607911268</v>
      </c>
      <c r="CT184" s="114">
        <v>4996.4829093273429</v>
      </c>
      <c r="CU184" s="114">
        <v>3602.6455937594515</v>
      </c>
      <c r="CV184" s="114">
        <v>5427.5189530679545</v>
      </c>
      <c r="CW184" s="114">
        <v>9045.8556023791334</v>
      </c>
      <c r="CX184" s="114">
        <v>2459.5717903340142</v>
      </c>
      <c r="CY184" s="114">
        <v>2311.8414510940056</v>
      </c>
      <c r="CZ184" s="114">
        <v>7520.8365245829427</v>
      </c>
      <c r="DA184" s="114">
        <v>3968.1991112643022</v>
      </c>
      <c r="DB184" s="114">
        <v>521.84971053938227</v>
      </c>
      <c r="DC184" s="114">
        <v>1178.292386954831</v>
      </c>
      <c r="DD184" s="114">
        <v>2299.2930973133034</v>
      </c>
      <c r="DE184" s="114">
        <v>1467.4611164532507</v>
      </c>
      <c r="DF184" s="114">
        <v>7261.5122028147316</v>
      </c>
      <c r="DG184" s="114">
        <v>6127.2693415821168</v>
      </c>
      <c r="DH184" s="114">
        <v>9918.3920289634243</v>
      </c>
      <c r="DI184" s="114">
        <v>7361.9377247475759</v>
      </c>
      <c r="DJ184" s="114">
        <v>3214.4057762990801</v>
      </c>
      <c r="DK184" s="114">
        <v>392.4848165522331</v>
      </c>
      <c r="DL184" s="114">
        <v>8008.9049872299092</v>
      </c>
      <c r="DM184" s="114">
        <v>8027.1904712198811</v>
      </c>
      <c r="DN184" s="114">
        <v>10352.795652748202</v>
      </c>
      <c r="DO184" s="114">
        <v>1937.3306475821971</v>
      </c>
      <c r="DP184" s="114">
        <v>836.50493620536565</v>
      </c>
      <c r="DQ184" s="114">
        <v>7540.4911222165656</v>
      </c>
      <c r="DR184" s="114">
        <v>1025.4499789672291</v>
      </c>
      <c r="DS184" s="114">
        <v>1561.4591217264592</v>
      </c>
      <c r="DT184" s="114">
        <v>7285.0282139969522</v>
      </c>
      <c r="DU184" s="114">
        <v>8587.7542274783118</v>
      </c>
      <c r="DV184" s="114">
        <v>6584.1789522082363</v>
      </c>
      <c r="DW184" s="114">
        <v>6978.4059945190938</v>
      </c>
      <c r="DX184" s="114">
        <v>1802.9211870837728</v>
      </c>
      <c r="DY184" s="114">
        <v>18647.737384954879</v>
      </c>
      <c r="DZ184" s="114">
        <v>18560.638187947552</v>
      </c>
      <c r="EA184" s="114">
        <v>9766.1544320178291</v>
      </c>
      <c r="EB184" s="114">
        <v>2704.8815826768896</v>
      </c>
      <c r="EC184" s="114">
        <v>3065.2804791711374</v>
      </c>
      <c r="ED184" s="114">
        <v>9308.4746411826909</v>
      </c>
      <c r="EE184" s="114">
        <v>1137.4358211367271</v>
      </c>
      <c r="EF184" s="114">
        <v>2563.1597705693998</v>
      </c>
      <c r="EG184" s="114">
        <v>4819.0584041658394</v>
      </c>
      <c r="EH184" s="114">
        <v>5517.1932993554183</v>
      </c>
      <c r="EI184" s="114">
        <v>5647.1750937109873</v>
      </c>
      <c r="EJ184" s="114">
        <v>9357.0866161666017</v>
      </c>
      <c r="EK184" s="114">
        <v>9833.5545357024657</v>
      </c>
      <c r="EL184" s="114">
        <v>10543.510832370854</v>
      </c>
      <c r="EM184" s="114">
        <v>10836.219880012919</v>
      </c>
      <c r="EN184" s="114">
        <v>1937.0310556496149</v>
      </c>
      <c r="EO184" s="114">
        <v>1705.7897226974185</v>
      </c>
      <c r="EP184" s="114">
        <v>4100.2414847939053</v>
      </c>
      <c r="EQ184" s="114">
        <v>1602.0983760003442</v>
      </c>
      <c r="ER184" s="114">
        <v>2975.3172230251498</v>
      </c>
      <c r="ES184" s="114">
        <v>4710.2912294251064</v>
      </c>
      <c r="ET184" s="114">
        <v>7343.7476420480334</v>
      </c>
      <c r="EU184" s="114">
        <v>7371.8437740002719</v>
      </c>
      <c r="EV184" s="114">
        <v>7475.8492835977677</v>
      </c>
      <c r="EW184" s="114">
        <v>805.71215538088688</v>
      </c>
      <c r="EX184" s="114">
        <v>4065.6439971090545</v>
      </c>
      <c r="EY184" s="114">
        <v>3704.2292158816254</v>
      </c>
      <c r="EZ184" s="114">
        <v>3668.3451835681967</v>
      </c>
      <c r="FA184" s="114">
        <v>1240.6242835670714</v>
      </c>
      <c r="FB184" s="114">
        <v>3920.7149110830283</v>
      </c>
      <c r="FC184" s="114">
        <v>10249.456042425334</v>
      </c>
      <c r="FD184" s="114">
        <v>1409.7185231053913</v>
      </c>
      <c r="FE184" s="114">
        <v>1117.4554046376793</v>
      </c>
      <c r="FF184" s="114">
        <v>5261.6802536007262</v>
      </c>
      <c r="FG184" s="114">
        <v>7141.565530028045</v>
      </c>
      <c r="FH184" s="114">
        <v>9520.6085657097847</v>
      </c>
      <c r="FI184" s="114">
        <v>4145.2477460949267</v>
      </c>
      <c r="FJ184" s="114">
        <v>1251.8747036264681</v>
      </c>
      <c r="FK184" s="114">
        <v>874.67713788714639</v>
      </c>
      <c r="FL184" s="114">
        <v>7743.5892420542632</v>
      </c>
      <c r="FM184" s="114">
        <v>3223.4987277595765</v>
      </c>
      <c r="FN184" s="114">
        <v>7437.7321150116959</v>
      </c>
      <c r="FO184" s="114">
        <v>2588.1741068587512</v>
      </c>
      <c r="FP184" s="114">
        <v>1144.0293234834726</v>
      </c>
      <c r="FQ184" s="114">
        <v>2396.4951024224206</v>
      </c>
      <c r="FR184" s="114">
        <v>10101.319425926671</v>
      </c>
      <c r="FS184" s="114">
        <v>5071.027682700751</v>
      </c>
      <c r="FT184" s="114">
        <v>5695.1406896065573</v>
      </c>
      <c r="FU184" s="114">
        <v>9139.9292003932587</v>
      </c>
      <c r="FV184" s="114">
        <v>12799.435487804452</v>
      </c>
      <c r="FW184" s="114">
        <v>3500.9369765558263</v>
      </c>
      <c r="FX184" s="114">
        <v>7666.8745077076646</v>
      </c>
      <c r="FY184" s="114" t="s">
        <v>237</v>
      </c>
      <c r="FZ184" s="114">
        <v>1988.4888384078768</v>
      </c>
      <c r="GA184" s="114">
        <v>4151.9529147831872</v>
      </c>
      <c r="GB184" s="114">
        <v>4639.1837048138696</v>
      </c>
      <c r="GC184" s="114">
        <v>2224.7933092230551</v>
      </c>
      <c r="GD184" s="114">
        <v>4401.3601304541662</v>
      </c>
      <c r="GE184" s="114">
        <v>1837.751853603007</v>
      </c>
      <c r="GF184" s="114">
        <v>10519.070590159439</v>
      </c>
      <c r="GG184" s="114">
        <v>7030.5889141557464</v>
      </c>
      <c r="GH184" s="114">
        <v>6730.5755914758811</v>
      </c>
      <c r="GI184" s="114">
        <v>7351.6309321810913</v>
      </c>
      <c r="GJ184" s="114">
        <v>10452.48902673544</v>
      </c>
      <c r="GK184" s="114">
        <v>5037.0247802729236</v>
      </c>
      <c r="GL184" s="114">
        <v>8140.7456780992534</v>
      </c>
      <c r="GM184" s="114">
        <v>9092.2042588896402</v>
      </c>
      <c r="GN184" s="114">
        <v>4103.6377929275986</v>
      </c>
      <c r="GO184" s="114">
        <v>6061.5509010425931</v>
      </c>
      <c r="GP184" s="114">
        <v>6386.4221571274829</v>
      </c>
      <c r="GQ184" s="114">
        <v>9867.0349380498355</v>
      </c>
      <c r="GR184" s="114">
        <v>16346.90189478395</v>
      </c>
      <c r="GS184" s="114">
        <v>1216.3323689423428</v>
      </c>
      <c r="GT184" s="115">
        <v>7220.4629725998257</v>
      </c>
    </row>
    <row r="185" spans="2:202" x14ac:dyDescent="0.6">
      <c r="B185" s="106" t="s">
        <v>170</v>
      </c>
      <c r="C185" s="63" t="s">
        <v>520</v>
      </c>
      <c r="D185" s="113">
        <v>3280.39154590928</v>
      </c>
      <c r="E185" s="114">
        <v>2593.437981639212</v>
      </c>
      <c r="F185" s="114">
        <v>2625.1382900391013</v>
      </c>
      <c r="G185" s="114">
        <v>5706.4397748876936</v>
      </c>
      <c r="H185" s="114">
        <v>9168.8631317566178</v>
      </c>
      <c r="I185" s="114">
        <v>12661.720316411893</v>
      </c>
      <c r="J185" s="114">
        <v>1005.9799926708586</v>
      </c>
      <c r="K185" s="114">
        <v>14599.994550051539</v>
      </c>
      <c r="L185" s="114">
        <v>1612.2154152390733</v>
      </c>
      <c r="M185" s="114">
        <v>1451.2248018167813</v>
      </c>
      <c r="N185" s="114">
        <v>9791.8173149694649</v>
      </c>
      <c r="O185" s="114">
        <v>2227.4548078222915</v>
      </c>
      <c r="P185" s="114">
        <v>5656.9162939768639</v>
      </c>
      <c r="Q185" s="114">
        <v>9242.9189170150512</v>
      </c>
      <c r="R185" s="114">
        <v>1601.0015052821686</v>
      </c>
      <c r="S185" s="114">
        <v>2514.6180852820607</v>
      </c>
      <c r="T185" s="114">
        <v>11221.397027936511</v>
      </c>
      <c r="U185" s="114">
        <v>4775.7531142369917</v>
      </c>
      <c r="V185" s="114">
        <v>5362.3739785100415</v>
      </c>
      <c r="W185" s="114">
        <v>12045.138904882258</v>
      </c>
      <c r="X185" s="114">
        <v>1264.9654975585522</v>
      </c>
      <c r="Y185" s="114">
        <v>7155.4008010414946</v>
      </c>
      <c r="Z185" s="114">
        <v>10786.291670303315</v>
      </c>
      <c r="AA185" s="114">
        <v>10471.25839296606</v>
      </c>
      <c r="AB185" s="114">
        <v>9041.5941221186058</v>
      </c>
      <c r="AC185" s="114">
        <v>846.00223842580363</v>
      </c>
      <c r="AD185" s="114">
        <v>4507.4228869639492</v>
      </c>
      <c r="AE185" s="114">
        <v>4763.7688241825781</v>
      </c>
      <c r="AF185" s="114">
        <v>6044.4423341065194</v>
      </c>
      <c r="AG185" s="114">
        <v>7666.68083680374</v>
      </c>
      <c r="AH185" s="114">
        <v>4569.4847557680923</v>
      </c>
      <c r="AI185" s="114">
        <v>4543.7581132297028</v>
      </c>
      <c r="AJ185" s="114">
        <v>8516.5837024803241</v>
      </c>
      <c r="AK185" s="114">
        <v>8164.4305721469136</v>
      </c>
      <c r="AL185" s="114">
        <v>4181.0500469242725</v>
      </c>
      <c r="AM185" s="114">
        <v>3527.8531824449169</v>
      </c>
      <c r="AN185" s="114">
        <v>13296.072073628027</v>
      </c>
      <c r="AO185" s="114">
        <v>7779.3677022719912</v>
      </c>
      <c r="AP185" s="114">
        <v>6881.1771335974481</v>
      </c>
      <c r="AQ185" s="114">
        <v>11099.859838263277</v>
      </c>
      <c r="AR185" s="114">
        <v>5773.056125842907</v>
      </c>
      <c r="AS185" s="114">
        <v>5190.3340700355311</v>
      </c>
      <c r="AT185" s="114">
        <v>5172.0522187296938</v>
      </c>
      <c r="AU185" s="114">
        <v>11513.677006373129</v>
      </c>
      <c r="AV185" s="114">
        <v>5280.0683280680087</v>
      </c>
      <c r="AW185" s="114">
        <v>1534.050078741941</v>
      </c>
      <c r="AX185" s="114">
        <v>10308.886171420181</v>
      </c>
      <c r="AY185" s="114">
        <v>500.98393935817433</v>
      </c>
      <c r="AZ185" s="114">
        <v>1847.8759758197054</v>
      </c>
      <c r="BA185" s="114">
        <v>2307.7190087222357</v>
      </c>
      <c r="BB185" s="114">
        <v>3308.3655073176933</v>
      </c>
      <c r="BC185" s="114">
        <v>9254.1435804863468</v>
      </c>
      <c r="BD185" s="114">
        <v>9712.8869067832638</v>
      </c>
      <c r="BE185" s="114">
        <v>5182.5940047417243</v>
      </c>
      <c r="BF185" s="114">
        <v>11792.588908322112</v>
      </c>
      <c r="BG185" s="114">
        <v>1070.6401655049142</v>
      </c>
      <c r="BH185" s="114">
        <v>11589.317506697214</v>
      </c>
      <c r="BI185" s="114">
        <v>4690.1636523601092</v>
      </c>
      <c r="BJ185" s="114">
        <v>2773.3658114287746</v>
      </c>
      <c r="BK185" s="114">
        <v>2257.647965884551</v>
      </c>
      <c r="BL185" s="114">
        <v>7312.6788743415136</v>
      </c>
      <c r="BM185" s="114">
        <v>3446.8810414601885</v>
      </c>
      <c r="BN185" s="114">
        <v>2347.3165684513506</v>
      </c>
      <c r="BO185" s="114">
        <v>2599.2416266521118</v>
      </c>
      <c r="BP185" s="114">
        <v>4969.8586069569137</v>
      </c>
      <c r="BQ185" s="114">
        <v>5590.1856939133859</v>
      </c>
      <c r="BR185" s="114">
        <v>1031.2910953715461</v>
      </c>
      <c r="BS185" s="114">
        <v>2044.3997122358471</v>
      </c>
      <c r="BT185" s="114">
        <v>1922.5519584694</v>
      </c>
      <c r="BU185" s="114">
        <v>2201.6116462619793</v>
      </c>
      <c r="BV185" s="114">
        <v>5014.0212157741007</v>
      </c>
      <c r="BW185" s="114">
        <v>819.34534874925816</v>
      </c>
      <c r="BX185" s="114">
        <v>9518.4972738602191</v>
      </c>
      <c r="BY185" s="114">
        <v>11588.411066457411</v>
      </c>
      <c r="BZ185" s="114">
        <v>5657.1555524795413</v>
      </c>
      <c r="CA185" s="114">
        <v>5648.2307393475348</v>
      </c>
      <c r="CB185" s="114">
        <v>9604.0498180867617</v>
      </c>
      <c r="CC185" s="114">
        <v>9912.1482513299452</v>
      </c>
      <c r="CD185" s="114">
        <v>11392.144817203973</v>
      </c>
      <c r="CE185" s="114">
        <v>1383.590731489596</v>
      </c>
      <c r="CF185" s="114">
        <v>4404.201403774553</v>
      </c>
      <c r="CG185" s="114">
        <v>4473.5942698811268</v>
      </c>
      <c r="CH185" s="114">
        <v>4249.1051615293363</v>
      </c>
      <c r="CI185" s="114">
        <v>9077.3058167602703</v>
      </c>
      <c r="CJ185" s="114">
        <v>1713.7625813497527</v>
      </c>
      <c r="CK185" s="114">
        <v>1267.1060707545985</v>
      </c>
      <c r="CL185" s="114">
        <v>3278.6007094756624</v>
      </c>
      <c r="CM185" s="114">
        <v>6031.9010181184194</v>
      </c>
      <c r="CN185" s="114">
        <v>1720.7405704236246</v>
      </c>
      <c r="CO185" s="114">
        <v>2014.2729104000027</v>
      </c>
      <c r="CP185" s="114">
        <v>10277.205822825354</v>
      </c>
      <c r="CQ185" s="114">
        <v>8814.1823953162911</v>
      </c>
      <c r="CR185" s="114">
        <v>929.33190283312149</v>
      </c>
      <c r="CS185" s="114">
        <v>3243.032658906121</v>
      </c>
      <c r="CT185" s="114">
        <v>4547.8340142689221</v>
      </c>
      <c r="CU185" s="114">
        <v>1815.8854391402815</v>
      </c>
      <c r="CV185" s="114">
        <v>3494.556030888743</v>
      </c>
      <c r="CW185" s="114">
        <v>7057.829011660896</v>
      </c>
      <c r="CX185" s="114">
        <v>1984.402462220397</v>
      </c>
      <c r="CY185" s="114">
        <v>715.63951208604442</v>
      </c>
      <c r="CZ185" s="114">
        <v>7663.8664971555472</v>
      </c>
      <c r="DA185" s="114">
        <v>5673.8051276194692</v>
      </c>
      <c r="DB185" s="114">
        <v>1914.365264334386</v>
      </c>
      <c r="DC185" s="114">
        <v>2046.1978641204289</v>
      </c>
      <c r="DD185" s="114">
        <v>1736.3620952693045</v>
      </c>
      <c r="DE185" s="114">
        <v>2347.7775857296197</v>
      </c>
      <c r="DF185" s="114">
        <v>6642.2726797612504</v>
      </c>
      <c r="DG185" s="114">
        <v>5957.5092228213971</v>
      </c>
      <c r="DH185" s="114">
        <v>7986.4539794602479</v>
      </c>
      <c r="DI185" s="114">
        <v>5689.3846490973956</v>
      </c>
      <c r="DJ185" s="114">
        <v>4957.3656170682452</v>
      </c>
      <c r="DK185" s="114">
        <v>1664.9900452977131</v>
      </c>
      <c r="DL185" s="114">
        <v>7116.0456474252842</v>
      </c>
      <c r="DM185" s="114">
        <v>7129.9493942569825</v>
      </c>
      <c r="DN185" s="114">
        <v>11777.159269641837</v>
      </c>
      <c r="DO185" s="114">
        <v>878.95534051913103</v>
      </c>
      <c r="DP185" s="114">
        <v>2128.6895378328941</v>
      </c>
      <c r="DQ185" s="114">
        <v>5812.3504346434938</v>
      </c>
      <c r="DR185" s="114">
        <v>1157.4978291622735</v>
      </c>
      <c r="DS185" s="114">
        <v>3531.7667919560531</v>
      </c>
      <c r="DT185" s="114">
        <v>7244.3854573542512</v>
      </c>
      <c r="DU185" s="114">
        <v>6609.6290933100536</v>
      </c>
      <c r="DV185" s="114">
        <v>7071.0053038757069</v>
      </c>
      <c r="DW185" s="114">
        <v>4990.644363141113</v>
      </c>
      <c r="DX185" s="114">
        <v>2558.8202681818962</v>
      </c>
      <c r="DY185" s="114">
        <v>16725.72070315676</v>
      </c>
      <c r="DZ185" s="114">
        <v>16805.377473172168</v>
      </c>
      <c r="EA185" s="114">
        <v>11482.011167701436</v>
      </c>
      <c r="EB185" s="114">
        <v>4175.5496411257027</v>
      </c>
      <c r="EC185" s="114">
        <v>4216.3182560308087</v>
      </c>
      <c r="ED185" s="114">
        <v>7573.2684068256931</v>
      </c>
      <c r="EE185" s="114">
        <v>986.77023255458289</v>
      </c>
      <c r="EF185" s="114">
        <v>2706.1768092158013</v>
      </c>
      <c r="EG185" s="114">
        <v>3021.2321192427985</v>
      </c>
      <c r="EH185" s="114">
        <v>3604.5834412020472</v>
      </c>
      <c r="EI185" s="114">
        <v>3658.7675058232958</v>
      </c>
      <c r="EJ185" s="114">
        <v>11179.836344767446</v>
      </c>
      <c r="EK185" s="114">
        <v>11737.915264768219</v>
      </c>
      <c r="EL185" s="114">
        <v>12522.8667212566</v>
      </c>
      <c r="EM185" s="114">
        <v>8864.2826390558985</v>
      </c>
      <c r="EN185" s="114">
        <v>1653.6521519114378</v>
      </c>
      <c r="EO185" s="114">
        <v>3568.377869082276</v>
      </c>
      <c r="EP185" s="114">
        <v>2376.5189485962724</v>
      </c>
      <c r="EQ185" s="114">
        <v>745.89451977538158</v>
      </c>
      <c r="ER185" s="114">
        <v>1838.2788346835625</v>
      </c>
      <c r="ES185" s="114">
        <v>4583.8778763374594</v>
      </c>
      <c r="ET185" s="114">
        <v>9213.9082015786043</v>
      </c>
      <c r="EU185" s="114">
        <v>9282.1065202356749</v>
      </c>
      <c r="EV185" s="114">
        <v>9390.4000906676647</v>
      </c>
      <c r="EW185" s="114">
        <v>1736.3535170799771</v>
      </c>
      <c r="EX185" s="114">
        <v>5129.1403906662799</v>
      </c>
      <c r="EY185" s="114">
        <v>2128.6099911764413</v>
      </c>
      <c r="EZ185" s="114">
        <v>5586.8528247094146</v>
      </c>
      <c r="FA185" s="114">
        <v>1143.1941948193796</v>
      </c>
      <c r="FB185" s="114">
        <v>5709.5866853103444</v>
      </c>
      <c r="FC185" s="114">
        <v>8316.2300090618264</v>
      </c>
      <c r="FD185" s="114">
        <v>1556.9487721770038</v>
      </c>
      <c r="FE185" s="114">
        <v>1645.458632697507</v>
      </c>
      <c r="FF185" s="114">
        <v>4368.9082500567174</v>
      </c>
      <c r="FG185" s="114">
        <v>7243.3264815610373</v>
      </c>
      <c r="FH185" s="114">
        <v>7771.7479799376242</v>
      </c>
      <c r="FI185" s="114">
        <v>3861.6996408471723</v>
      </c>
      <c r="FJ185" s="114">
        <v>3049.336017463962</v>
      </c>
      <c r="FK185" s="114">
        <v>2563.212834582866</v>
      </c>
      <c r="FL185" s="114">
        <v>5943.0681156451919</v>
      </c>
      <c r="FM185" s="114">
        <v>2697.6523069239543</v>
      </c>
      <c r="FN185" s="114">
        <v>9416.412240772017</v>
      </c>
      <c r="FO185" s="114">
        <v>2410.1798149503084</v>
      </c>
      <c r="FP185" s="114">
        <v>2182.8950410891575</v>
      </c>
      <c r="FQ185" s="114">
        <v>769.30006547099561</v>
      </c>
      <c r="FR185" s="114">
        <v>8190.0070260217144</v>
      </c>
      <c r="FS185" s="114">
        <v>3090.2510113920434</v>
      </c>
      <c r="FT185" s="114">
        <v>5203.7365126984005</v>
      </c>
      <c r="FU185" s="114">
        <v>7162.106112396209</v>
      </c>
      <c r="FV185" s="114">
        <v>10828.988958128028</v>
      </c>
      <c r="FW185" s="114">
        <v>4865.8881441151007</v>
      </c>
      <c r="FX185" s="114">
        <v>9597.0716247223772</v>
      </c>
      <c r="FY185" s="114">
        <v>1988.4888384078768</v>
      </c>
      <c r="FZ185" s="114" t="s">
        <v>237</v>
      </c>
      <c r="GA185" s="114">
        <v>2163.5206601513023</v>
      </c>
      <c r="GB185" s="114">
        <v>4377.8121830569062</v>
      </c>
      <c r="GC185" s="114">
        <v>1206.1571456996739</v>
      </c>
      <c r="GD185" s="114">
        <v>2647.409772634378</v>
      </c>
      <c r="GE185" s="114">
        <v>2827.6218300774531</v>
      </c>
      <c r="GF185" s="114">
        <v>11295.079786668954</v>
      </c>
      <c r="GG185" s="114">
        <v>8403.5732861866145</v>
      </c>
      <c r="GH185" s="114">
        <v>8097.7724414172799</v>
      </c>
      <c r="GI185" s="114">
        <v>8729.4835692167981</v>
      </c>
      <c r="GJ185" s="114">
        <v>12257.39622184399</v>
      </c>
      <c r="GK185" s="114">
        <v>3079.0326296841445</v>
      </c>
      <c r="GL185" s="114">
        <v>10045.257470829816</v>
      </c>
      <c r="GM185" s="114">
        <v>7107.6137031547396</v>
      </c>
      <c r="GN185" s="114">
        <v>2919.8970517383418</v>
      </c>
      <c r="GO185" s="114">
        <v>6115.9475181862745</v>
      </c>
      <c r="GP185" s="114">
        <v>6340.0765027853849</v>
      </c>
      <c r="GQ185" s="114">
        <v>7883.9702582520013</v>
      </c>
      <c r="GR185" s="114">
        <v>14508.451996104883</v>
      </c>
      <c r="GS185" s="114">
        <v>2110.939812783583</v>
      </c>
      <c r="GT185" s="115">
        <v>7328.2182082688214</v>
      </c>
    </row>
    <row r="186" spans="2:202" x14ac:dyDescent="0.6">
      <c r="B186" s="106" t="s">
        <v>171</v>
      </c>
      <c r="C186" s="63" t="s">
        <v>521</v>
      </c>
      <c r="D186" s="113">
        <v>1120.6015882535944</v>
      </c>
      <c r="E186" s="114">
        <v>4752.2618406521715</v>
      </c>
      <c r="F186" s="114">
        <v>4711.6469356668167</v>
      </c>
      <c r="G186" s="114">
        <v>6916.9265925575037</v>
      </c>
      <c r="H186" s="114">
        <v>11211.000946061369</v>
      </c>
      <c r="I186" s="114">
        <v>14580.630130224785</v>
      </c>
      <c r="J186" s="114">
        <v>1161.5268311929924</v>
      </c>
      <c r="K186" s="114">
        <v>12511.89537657827</v>
      </c>
      <c r="L186" s="114">
        <v>3489.5188570344317</v>
      </c>
      <c r="M186" s="114">
        <v>730.20632348589493</v>
      </c>
      <c r="N186" s="114">
        <v>11561.301457807895</v>
      </c>
      <c r="O186" s="114">
        <v>1485.7991330402831</v>
      </c>
      <c r="P186" s="114">
        <v>3500.2254548104274</v>
      </c>
      <c r="Q186" s="114">
        <v>11336.616412601015</v>
      </c>
      <c r="R186" s="114">
        <v>2874.2357719179686</v>
      </c>
      <c r="S186" s="114">
        <v>4361.4452002310845</v>
      </c>
      <c r="T186" s="114">
        <v>12915.964587709826</v>
      </c>
      <c r="U186" s="114">
        <v>6559.0725078303612</v>
      </c>
      <c r="V186" s="114">
        <v>3198.8564245041916</v>
      </c>
      <c r="W186" s="114">
        <v>14205.570148671424</v>
      </c>
      <c r="X186" s="114">
        <v>3329.6589174765518</v>
      </c>
      <c r="Y186" s="114">
        <v>7702.3358934829803</v>
      </c>
      <c r="Z186" s="114">
        <v>12786.617485087734</v>
      </c>
      <c r="AA186" s="114">
        <v>12450.130982096893</v>
      </c>
      <c r="AB186" s="114">
        <v>6885.9436680599274</v>
      </c>
      <c r="AC186" s="114">
        <v>2933.2660369814971</v>
      </c>
      <c r="AD186" s="114">
        <v>6458.8647727317857</v>
      </c>
      <c r="AE186" s="114">
        <v>5426.2028032001372</v>
      </c>
      <c r="AF186" s="114">
        <v>8194.7673202165006</v>
      </c>
      <c r="AG186" s="114">
        <v>5517.09688007772</v>
      </c>
      <c r="AH186" s="114">
        <v>6131.781607932051</v>
      </c>
      <c r="AI186" s="114">
        <v>6046.2108987501761</v>
      </c>
      <c r="AJ186" s="114">
        <v>9947.7750360767714</v>
      </c>
      <c r="AK186" s="114">
        <v>9626.7645015603848</v>
      </c>
      <c r="AL186" s="114">
        <v>5458.7861697035705</v>
      </c>
      <c r="AM186" s="114">
        <v>5126.1947621172412</v>
      </c>
      <c r="AN186" s="114">
        <v>15337.193888766467</v>
      </c>
      <c r="AO186" s="114">
        <v>5787.6062983993788</v>
      </c>
      <c r="AP186" s="114">
        <v>4998.5263777239597</v>
      </c>
      <c r="AQ186" s="114">
        <v>13154.187342200525</v>
      </c>
      <c r="AR186" s="114">
        <v>5692.3399655473322</v>
      </c>
      <c r="AS186" s="114">
        <v>6405.2874242610533</v>
      </c>
      <c r="AT186" s="114">
        <v>6398.2163720376811</v>
      </c>
      <c r="AU186" s="114">
        <v>13388.966980652653</v>
      </c>
      <c r="AV186" s="114">
        <v>7165.5770582049636</v>
      </c>
      <c r="AW186" s="114">
        <v>3533.5737441691667</v>
      </c>
      <c r="AX186" s="114">
        <v>12027.040489594066</v>
      </c>
      <c r="AY186" s="114">
        <v>2183.7098503827151</v>
      </c>
      <c r="AZ186" s="114">
        <v>3649.8477983778248</v>
      </c>
      <c r="BA186" s="114">
        <v>3856.9795790172734</v>
      </c>
      <c r="BB186" s="114">
        <v>3358.6413288090271</v>
      </c>
      <c r="BC186" s="114">
        <v>11317.902726372748</v>
      </c>
      <c r="BD186" s="114">
        <v>11669.256987843122</v>
      </c>
      <c r="BE186" s="114">
        <v>6405.6312479601011</v>
      </c>
      <c r="BF186" s="114">
        <v>13848.532371870826</v>
      </c>
      <c r="BG186" s="114">
        <v>2576.3942941597302</v>
      </c>
      <c r="BH186" s="114">
        <v>13323.406154618509</v>
      </c>
      <c r="BI186" s="114">
        <v>6273.6726277393072</v>
      </c>
      <c r="BJ186" s="114">
        <v>3145.4463047859645</v>
      </c>
      <c r="BK186" s="114">
        <v>3322.599259210202</v>
      </c>
      <c r="BL186" s="114">
        <v>7650.5422252751077</v>
      </c>
      <c r="BM186" s="114">
        <v>3746.3592424627486</v>
      </c>
      <c r="BN186" s="114">
        <v>3350.3419258062277</v>
      </c>
      <c r="BO186" s="114">
        <v>4523.4921753092294</v>
      </c>
      <c r="BP186" s="114">
        <v>6467.4206440790076</v>
      </c>
      <c r="BQ186" s="114">
        <v>7701.5029001714965</v>
      </c>
      <c r="BR186" s="114">
        <v>1174.1363719249991</v>
      </c>
      <c r="BS186" s="114">
        <v>3743.2438172188754</v>
      </c>
      <c r="BT186" s="114">
        <v>3833.6224643092096</v>
      </c>
      <c r="BU186" s="114">
        <v>4044.8317600031514</v>
      </c>
      <c r="BV186" s="114">
        <v>6830.4712216830967</v>
      </c>
      <c r="BW186" s="114">
        <v>2974.6888577126078</v>
      </c>
      <c r="BX186" s="114">
        <v>11603.767269774975</v>
      </c>
      <c r="BY186" s="114">
        <v>13286.032777965938</v>
      </c>
      <c r="BZ186" s="114">
        <v>7711.0725882182433</v>
      </c>
      <c r="CA186" s="114">
        <v>7738.5151097358339</v>
      </c>
      <c r="CB186" s="114">
        <v>11741.729702617484</v>
      </c>
      <c r="CC186" s="114">
        <v>11837.436568196525</v>
      </c>
      <c r="CD186" s="114">
        <v>13153.428182933689</v>
      </c>
      <c r="CE186" s="114">
        <v>3272.182568904997</v>
      </c>
      <c r="CF186" s="114">
        <v>5754.3894697132364</v>
      </c>
      <c r="CG186" s="114">
        <v>2577.8433814891682</v>
      </c>
      <c r="CH186" s="114">
        <v>2110.8910829324436</v>
      </c>
      <c r="CI186" s="114">
        <v>7035.3546752493685</v>
      </c>
      <c r="CJ186" s="114">
        <v>621.42028551819942</v>
      </c>
      <c r="CK186" s="114">
        <v>1305.731013415281</v>
      </c>
      <c r="CL186" s="114">
        <v>5045.0536335335228</v>
      </c>
      <c r="CM186" s="114">
        <v>8111.7519763735181</v>
      </c>
      <c r="CN186" s="114">
        <v>3839.8240033459633</v>
      </c>
      <c r="CO186" s="114">
        <v>4030.9158405233552</v>
      </c>
      <c r="CP186" s="114">
        <v>12152.541902496543</v>
      </c>
      <c r="CQ186" s="114">
        <v>7067.1082090994541</v>
      </c>
      <c r="CR186" s="114">
        <v>2124.5917884059486</v>
      </c>
      <c r="CS186" s="114">
        <v>1815.0470481031759</v>
      </c>
      <c r="CT186" s="114">
        <v>4860.3142624917627</v>
      </c>
      <c r="CU186" s="114">
        <v>1305.7930777694241</v>
      </c>
      <c r="CV186" s="114">
        <v>1521.7112941963619</v>
      </c>
      <c r="CW186" s="114">
        <v>4895.8062729022904</v>
      </c>
      <c r="CX186" s="114">
        <v>3202.493074752816</v>
      </c>
      <c r="CY186" s="114">
        <v>2057.4360738223045</v>
      </c>
      <c r="CZ186" s="114">
        <v>8103.3286522462049</v>
      </c>
      <c r="DA186" s="114">
        <v>7660.3784138951642</v>
      </c>
      <c r="DB186" s="114">
        <v>4042.5637670783767</v>
      </c>
      <c r="DC186" s="114">
        <v>4007.5947383744469</v>
      </c>
      <c r="DD186" s="114">
        <v>3039.2801643777752</v>
      </c>
      <c r="DE186" s="114">
        <v>4232.6972388340801</v>
      </c>
      <c r="DF186" s="114">
        <v>6377.6389437272956</v>
      </c>
      <c r="DG186" s="114">
        <v>6301.4998909349897</v>
      </c>
      <c r="DH186" s="114">
        <v>5906.4961477687139</v>
      </c>
      <c r="DI186" s="114">
        <v>4105.9836211565416</v>
      </c>
      <c r="DJ186" s="114">
        <v>6988.7613253398704</v>
      </c>
      <c r="DK186" s="114">
        <v>3822.2524017863784</v>
      </c>
      <c r="DL186" s="114">
        <v>6460.4590709544264</v>
      </c>
      <c r="DM186" s="114">
        <v>6467.3082050305175</v>
      </c>
      <c r="DN186" s="114">
        <v>13200.867737255727</v>
      </c>
      <c r="DO186" s="114">
        <v>2534.0578298740675</v>
      </c>
      <c r="DP186" s="114">
        <v>4193.9719364294642</v>
      </c>
      <c r="DQ186" s="114">
        <v>4094.4986999543262</v>
      </c>
      <c r="DR186" s="114">
        <v>3255.809972153716</v>
      </c>
      <c r="DS186" s="114">
        <v>5687.7490431341221</v>
      </c>
      <c r="DT186" s="114">
        <v>7542.0000049525106</v>
      </c>
      <c r="DU186" s="114">
        <v>4466.4768213613661</v>
      </c>
      <c r="DV186" s="114">
        <v>7929.5549319841566</v>
      </c>
      <c r="DW186" s="114">
        <v>2830.0350417825775</v>
      </c>
      <c r="DX186" s="114">
        <v>4334.016290285027</v>
      </c>
      <c r="DY186" s="114">
        <v>14584.555113537084</v>
      </c>
      <c r="DZ186" s="114">
        <v>14717.387183663001</v>
      </c>
      <c r="EA186" s="114">
        <v>13287.838943670988</v>
      </c>
      <c r="EB186" s="114">
        <v>6093.7540151846915</v>
      </c>
      <c r="EC186" s="114">
        <v>5946.0647420229625</v>
      </c>
      <c r="ED186" s="114">
        <v>5752.7123133009636</v>
      </c>
      <c r="EE186" s="114">
        <v>3095.2887003236692</v>
      </c>
      <c r="EF186" s="114">
        <v>4069.4136380087552</v>
      </c>
      <c r="EG186" s="114">
        <v>1628.8358595617017</v>
      </c>
      <c r="EH186" s="114">
        <v>1714.0541399920523</v>
      </c>
      <c r="EI186" s="114">
        <v>1496.3549370846279</v>
      </c>
      <c r="EJ186" s="114">
        <v>13129.052836196308</v>
      </c>
      <c r="EK186" s="114">
        <v>13798.093264157351</v>
      </c>
      <c r="EL186" s="114">
        <v>14670.25039545558</v>
      </c>
      <c r="EM186" s="114">
        <v>6718.1579178426882</v>
      </c>
      <c r="EN186" s="114">
        <v>3221.4608997993369</v>
      </c>
      <c r="EO186" s="114">
        <v>5683.5633738365077</v>
      </c>
      <c r="EP186" s="114">
        <v>1542.0525342072156</v>
      </c>
      <c r="EQ186" s="114">
        <v>2702.3567241695077</v>
      </c>
      <c r="ER186" s="114">
        <v>2467.4843767040143</v>
      </c>
      <c r="ES186" s="114">
        <v>5227.2287566807727</v>
      </c>
      <c r="ET186" s="114">
        <v>11250.760341256318</v>
      </c>
      <c r="EU186" s="114">
        <v>11360.179632968842</v>
      </c>
      <c r="EV186" s="114">
        <v>11472.086195373331</v>
      </c>
      <c r="EW186" s="114">
        <v>3808.0821647078565</v>
      </c>
      <c r="EX186" s="114">
        <v>6702.4888288857264</v>
      </c>
      <c r="EY186" s="114">
        <v>1839.0492797860547</v>
      </c>
      <c r="EZ186" s="114">
        <v>7710.5166752836494</v>
      </c>
      <c r="FA186" s="114">
        <v>3158.2312757872783</v>
      </c>
      <c r="FB186" s="114">
        <v>7749.9800332527202</v>
      </c>
      <c r="FC186" s="114">
        <v>6231.4578728190127</v>
      </c>
      <c r="FD186" s="114">
        <v>3426.3963768057952</v>
      </c>
      <c r="FE186" s="114">
        <v>3628.9794728235302</v>
      </c>
      <c r="FF186" s="114">
        <v>4191.3443686661776</v>
      </c>
      <c r="FG186" s="114">
        <v>7691.2455541766458</v>
      </c>
      <c r="FH186" s="114">
        <v>5925.4648140813797</v>
      </c>
      <c r="FI186" s="114">
        <v>4524.1679522464819</v>
      </c>
      <c r="FJ186" s="114">
        <v>5157.5554955524549</v>
      </c>
      <c r="FK186" s="114">
        <v>4668.0027532117247</v>
      </c>
      <c r="FL186" s="114">
        <v>4124.2273133535818</v>
      </c>
      <c r="FM186" s="114">
        <v>3528.0216554952403</v>
      </c>
      <c r="FN186" s="114">
        <v>11567.583510291443</v>
      </c>
      <c r="FO186" s="114">
        <v>3650.2134524752646</v>
      </c>
      <c r="FP186" s="114">
        <v>4165.9172824555844</v>
      </c>
      <c r="FQ186" s="114">
        <v>1991.0201718379235</v>
      </c>
      <c r="FR186" s="114">
        <v>6121.9885486578678</v>
      </c>
      <c r="FS186" s="114">
        <v>960.06533021464202</v>
      </c>
      <c r="FT186" s="114">
        <v>5327.6985727933834</v>
      </c>
      <c r="FU186" s="114">
        <v>5017.9618684642101</v>
      </c>
      <c r="FV186" s="114">
        <v>8686.5434372943182</v>
      </c>
      <c r="FW186" s="114">
        <v>6671.1677961765454</v>
      </c>
      <c r="FX186" s="114">
        <v>11694.076214108991</v>
      </c>
      <c r="FY186" s="114">
        <v>4151.9529147831872</v>
      </c>
      <c r="FZ186" s="114">
        <v>2163.5206601513023</v>
      </c>
      <c r="GA186" s="114" t="s">
        <v>237</v>
      </c>
      <c r="GB186" s="114">
        <v>4930.8097349932104</v>
      </c>
      <c r="GC186" s="114">
        <v>2544.4490827802338</v>
      </c>
      <c r="GD186" s="114">
        <v>1556.8879080248928</v>
      </c>
      <c r="GE186" s="114">
        <v>4653.4340948205354</v>
      </c>
      <c r="GF186" s="114">
        <v>11991.192658620736</v>
      </c>
      <c r="GG186" s="114">
        <v>9970.946826418558</v>
      </c>
      <c r="GH186" s="114">
        <v>9676.8750399333931</v>
      </c>
      <c r="GI186" s="114">
        <v>10283.357402493612</v>
      </c>
      <c r="GJ186" s="114">
        <v>14177.768495405577</v>
      </c>
      <c r="GK186" s="114">
        <v>1054.6093723560048</v>
      </c>
      <c r="GL186" s="114">
        <v>12109.872720322905</v>
      </c>
      <c r="GM186" s="114">
        <v>4948.3600102860337</v>
      </c>
      <c r="GN186" s="114">
        <v>2835.2838905153271</v>
      </c>
      <c r="GO186" s="114">
        <v>6668.7670033856602</v>
      </c>
      <c r="GP186" s="114">
        <v>6755.6964902816662</v>
      </c>
      <c r="GQ186" s="114">
        <v>5730.115048820523</v>
      </c>
      <c r="GR186" s="114">
        <v>12444.270487114198</v>
      </c>
      <c r="GS186" s="114">
        <v>4063.5329403862061</v>
      </c>
      <c r="GT186" s="115">
        <v>7771.7587677052343</v>
      </c>
    </row>
    <row r="187" spans="2:202" x14ac:dyDescent="0.6">
      <c r="B187" s="106" t="s">
        <v>172</v>
      </c>
      <c r="C187" s="63" t="s">
        <v>522</v>
      </c>
      <c r="D187" s="113">
        <v>5385.3291024304153</v>
      </c>
      <c r="E187" s="114">
        <v>5028.4745214877394</v>
      </c>
      <c r="F187" s="114">
        <v>5612.9702619634791</v>
      </c>
      <c r="G187" s="114">
        <v>2331.8090457366911</v>
      </c>
      <c r="H187" s="114">
        <v>10440.89467391839</v>
      </c>
      <c r="I187" s="114">
        <v>10226.810633763185</v>
      </c>
      <c r="J187" s="114">
        <v>4600.4725646732813</v>
      </c>
      <c r="K187" s="114">
        <v>12634.071163854724</v>
      </c>
      <c r="L187" s="114">
        <v>5549.243776043153</v>
      </c>
      <c r="M187" s="114">
        <v>4787.6291916388036</v>
      </c>
      <c r="N187" s="114">
        <v>11954.943789876152</v>
      </c>
      <c r="O187" s="114">
        <v>3466.3142918851772</v>
      </c>
      <c r="P187" s="114">
        <v>6758.5051029137849</v>
      </c>
      <c r="Q187" s="114">
        <v>10175.83482812176</v>
      </c>
      <c r="R187" s="114">
        <v>5946.8672703446255</v>
      </c>
      <c r="S187" s="114">
        <v>6192.0183843332616</v>
      </c>
      <c r="T187" s="114">
        <v>13235.73066203372</v>
      </c>
      <c r="U187" s="114">
        <v>3382.7182707636402</v>
      </c>
      <c r="V187" s="114">
        <v>6791.8581067917912</v>
      </c>
      <c r="W187" s="114">
        <v>11123.866308681674</v>
      </c>
      <c r="X187" s="114">
        <v>5014.8942775617415</v>
      </c>
      <c r="Y187" s="114">
        <v>2835.2546292788506</v>
      </c>
      <c r="Z187" s="114">
        <v>8890.3337358188037</v>
      </c>
      <c r="AA187" s="114">
        <v>8530.9630338860916</v>
      </c>
      <c r="AB187" s="114">
        <v>9196.596777447272</v>
      </c>
      <c r="AC187" s="114">
        <v>4785.3269169695377</v>
      </c>
      <c r="AD187" s="114">
        <v>3937.7774275164743</v>
      </c>
      <c r="AE187" s="114">
        <v>509.73761582143283</v>
      </c>
      <c r="AF187" s="114">
        <v>6327.6910100398281</v>
      </c>
      <c r="AG187" s="114">
        <v>8063.5290044766771</v>
      </c>
      <c r="AH187" s="114">
        <v>2546.5146551772214</v>
      </c>
      <c r="AI187" s="114">
        <v>2356.7240892274863</v>
      </c>
      <c r="AJ187" s="114">
        <v>11715.514436570282</v>
      </c>
      <c r="AK187" s="114">
        <v>11366.705553428164</v>
      </c>
      <c r="AL187" s="114">
        <v>1613.1724804607059</v>
      </c>
      <c r="AM187" s="114">
        <v>2360.0307629131003</v>
      </c>
      <c r="AN187" s="114">
        <v>11198.113835238182</v>
      </c>
      <c r="AO187" s="114">
        <v>9915.9501225708282</v>
      </c>
      <c r="AP187" s="114">
        <v>9470.7306122023074</v>
      </c>
      <c r="AQ187" s="114">
        <v>11812.915036680901</v>
      </c>
      <c r="AR187" s="114">
        <v>1761.5258972803413</v>
      </c>
      <c r="AS187" s="114">
        <v>1953.0749784113414</v>
      </c>
      <c r="AT187" s="114">
        <v>1967.4763410482531</v>
      </c>
      <c r="AU187" s="114">
        <v>12886.470355089072</v>
      </c>
      <c r="AV187" s="114">
        <v>4073.202491560829</v>
      </c>
      <c r="AW187" s="114">
        <v>5297.5397175784592</v>
      </c>
      <c r="AX187" s="114">
        <v>12493.842476644399</v>
      </c>
      <c r="AY187" s="114">
        <v>3881.9550191144635</v>
      </c>
      <c r="AZ187" s="114">
        <v>5802.9329013567467</v>
      </c>
      <c r="BA187" s="114">
        <v>6399.9779718454183</v>
      </c>
      <c r="BB187" s="114">
        <v>1630.9489933949003</v>
      </c>
      <c r="BC187" s="114">
        <v>10381.542896935396</v>
      </c>
      <c r="BD187" s="114">
        <v>11254.756690929744</v>
      </c>
      <c r="BE187" s="114">
        <v>1967.1650300120225</v>
      </c>
      <c r="BF187" s="114">
        <v>12303.757995810965</v>
      </c>
      <c r="BG187" s="114">
        <v>3316.9943761383256</v>
      </c>
      <c r="BH187" s="114">
        <v>13387.719954418402</v>
      </c>
      <c r="BI187" s="114">
        <v>2669.2966204803338</v>
      </c>
      <c r="BJ187" s="114">
        <v>1802.6971125817849</v>
      </c>
      <c r="BK187" s="114">
        <v>6598.0302471361747</v>
      </c>
      <c r="BL187" s="114">
        <v>2936.3340817785829</v>
      </c>
      <c r="BM187" s="114">
        <v>1192.0680006242965</v>
      </c>
      <c r="BN187" s="114">
        <v>6695.5476035295997</v>
      </c>
      <c r="BO187" s="114">
        <v>6097.8064484060251</v>
      </c>
      <c r="BP187" s="114">
        <v>2561.91703648767</v>
      </c>
      <c r="BQ187" s="114">
        <v>5556.7271308758045</v>
      </c>
      <c r="BR187" s="114">
        <v>4745.9312118388034</v>
      </c>
      <c r="BS187" s="114">
        <v>6059.4064696044334</v>
      </c>
      <c r="BT187" s="114">
        <v>5691.4541143317228</v>
      </c>
      <c r="BU187" s="114">
        <v>5985.0054498005375</v>
      </c>
      <c r="BV187" s="114">
        <v>3638.0596306845196</v>
      </c>
      <c r="BW187" s="114">
        <v>4254.2777114665178</v>
      </c>
      <c r="BX187" s="114">
        <v>10443.111519775855</v>
      </c>
      <c r="BY187" s="114">
        <v>13490.286832333906</v>
      </c>
      <c r="BZ187" s="114">
        <v>5167.4961148580514</v>
      </c>
      <c r="CA187" s="114">
        <v>5417.9669248380724</v>
      </c>
      <c r="CB187" s="114">
        <v>10051.427190107459</v>
      </c>
      <c r="CC187" s="114">
        <v>11528.541245498214</v>
      </c>
      <c r="CD187" s="114">
        <v>13167.894056412153</v>
      </c>
      <c r="CE187" s="114">
        <v>5391.4885835729629</v>
      </c>
      <c r="CF187" s="114">
        <v>8327.3072569101823</v>
      </c>
      <c r="CG187" s="114">
        <v>4896.4855418920333</v>
      </c>
      <c r="CH187" s="114">
        <v>5700.7318265262502</v>
      </c>
      <c r="CI187" s="114">
        <v>8252.2466776431993</v>
      </c>
      <c r="CJ187" s="114">
        <v>4384.875945810878</v>
      </c>
      <c r="CK187" s="114">
        <v>3878.102141783952</v>
      </c>
      <c r="CL187" s="114">
        <v>6877.2066628324146</v>
      </c>
      <c r="CM187" s="114">
        <v>7873.3186036395837</v>
      </c>
      <c r="CN187" s="114">
        <v>5017.1614085181945</v>
      </c>
      <c r="CO187" s="114">
        <v>5519.9725497473046</v>
      </c>
      <c r="CP187" s="114">
        <v>11984.919851527999</v>
      </c>
      <c r="CQ187" s="114">
        <v>11562.590105119183</v>
      </c>
      <c r="CR187" s="114">
        <v>3504.6125731563225</v>
      </c>
      <c r="CS187" s="114">
        <v>6739.6644127215441</v>
      </c>
      <c r="CT187" s="114">
        <v>489.09610005884821</v>
      </c>
      <c r="CU187" s="114">
        <v>3639.3010433034624</v>
      </c>
      <c r="CV187" s="114">
        <v>6308.5004146628189</v>
      </c>
      <c r="CW187" s="114">
        <v>7884.5232113582315</v>
      </c>
      <c r="CX187" s="114">
        <v>6306.8860031146742</v>
      </c>
      <c r="CY187" s="114">
        <v>3719.4404365532696</v>
      </c>
      <c r="CZ187" s="114">
        <v>3309.7955228426804</v>
      </c>
      <c r="DA187" s="114">
        <v>4792.235503832424</v>
      </c>
      <c r="DB187" s="114">
        <v>4117.8441582242704</v>
      </c>
      <c r="DC187" s="114">
        <v>5669.9521483296094</v>
      </c>
      <c r="DD187" s="114">
        <v>6059.6592587820096</v>
      </c>
      <c r="DE187" s="114">
        <v>6011.7727210415032</v>
      </c>
      <c r="DF187" s="114">
        <v>2652.3703584463824</v>
      </c>
      <c r="DG187" s="114">
        <v>1584.3031970988607</v>
      </c>
      <c r="DH187" s="114">
        <v>7685.8380016403999</v>
      </c>
      <c r="DI187" s="114">
        <v>4572.2910337296844</v>
      </c>
      <c r="DJ187" s="114">
        <v>4597.5135693656666</v>
      </c>
      <c r="DK187" s="114">
        <v>4348.6723066516834</v>
      </c>
      <c r="DL187" s="114">
        <v>3535.8661685344759</v>
      </c>
      <c r="DM187" s="114">
        <v>3556.6417751567578</v>
      </c>
      <c r="DN187" s="114">
        <v>14295.559485885231</v>
      </c>
      <c r="DO187" s="114">
        <v>5215.7936841667579</v>
      </c>
      <c r="DP187" s="114">
        <v>5433.139888915769</v>
      </c>
      <c r="DQ187" s="114">
        <v>8852.2572131809175</v>
      </c>
      <c r="DR187" s="114">
        <v>4874.5353580103601</v>
      </c>
      <c r="DS187" s="114">
        <v>5543.1356563051841</v>
      </c>
      <c r="DT187" s="114">
        <v>2866.6060138708822</v>
      </c>
      <c r="DU187" s="114">
        <v>7225.5690451126547</v>
      </c>
      <c r="DV187" s="114">
        <v>3003.2593612760134</v>
      </c>
      <c r="DW187" s="114">
        <v>6396.721045766054</v>
      </c>
      <c r="DX187" s="114">
        <v>6337.2287730284324</v>
      </c>
      <c r="DY187" s="114">
        <v>14403.361855198633</v>
      </c>
      <c r="DZ187" s="114">
        <v>14076.322616809875</v>
      </c>
      <c r="EA187" s="114">
        <v>13095.224726438941</v>
      </c>
      <c r="EB187" s="114">
        <v>3634.4073682539838</v>
      </c>
      <c r="EC187" s="114">
        <v>2935.5023275970643</v>
      </c>
      <c r="ED187" s="114">
        <v>10252.375225375245</v>
      </c>
      <c r="EE187" s="114">
        <v>4778.9958360935698</v>
      </c>
      <c r="EF187" s="114">
        <v>6865.8086654148619</v>
      </c>
      <c r="EG187" s="114">
        <v>3814.9057467079751</v>
      </c>
      <c r="EH187" s="114">
        <v>4638.9872697766477</v>
      </c>
      <c r="EI187" s="114">
        <v>5633.3620910551872</v>
      </c>
      <c r="EJ187" s="114">
        <v>12369.099180075647</v>
      </c>
      <c r="EK187" s="114">
        <v>9976.6997332019346</v>
      </c>
      <c r="EL187" s="114">
        <v>12109.788940996201</v>
      </c>
      <c r="EM187" s="114">
        <v>9862.0010118555965</v>
      </c>
      <c r="EN187" s="114">
        <v>5870.0955207681172</v>
      </c>
      <c r="EO187" s="114">
        <v>5988.1717905639043</v>
      </c>
      <c r="EP187" s="114">
        <v>3447.8435636816789</v>
      </c>
      <c r="EQ187" s="114">
        <v>4938.6055121697736</v>
      </c>
      <c r="ER187" s="114">
        <v>6196.2115646407392</v>
      </c>
      <c r="ES187" s="114">
        <v>320.55267686235362</v>
      </c>
      <c r="ET187" s="114">
        <v>10503.417087140955</v>
      </c>
      <c r="EU187" s="114">
        <v>10312.841685707272</v>
      </c>
      <c r="EV187" s="114">
        <v>10370.705269376271</v>
      </c>
      <c r="EW187" s="114">
        <v>5213.3726748619101</v>
      </c>
      <c r="EX187" s="114">
        <v>2881.0715953402682</v>
      </c>
      <c r="EY187" s="114">
        <v>3091.8285833485252</v>
      </c>
      <c r="EZ187" s="114">
        <v>5674.2561327968115</v>
      </c>
      <c r="FA187" s="114">
        <v>5064.9228541467228</v>
      </c>
      <c r="FB187" s="114">
        <v>5116.9277271624205</v>
      </c>
      <c r="FC187" s="114">
        <v>7952.6914506604735</v>
      </c>
      <c r="FD187" s="114">
        <v>5524.8666097317946</v>
      </c>
      <c r="FE187" s="114">
        <v>5391.4021499426926</v>
      </c>
      <c r="FF187" s="114">
        <v>1453.7969017589871</v>
      </c>
      <c r="FG187" s="114">
        <v>2886.2024319716829</v>
      </c>
      <c r="FH187" s="114">
        <v>10365.368616307154</v>
      </c>
      <c r="FI187" s="114">
        <v>523.35556740793061</v>
      </c>
      <c r="FJ187" s="114">
        <v>5733.4016901964969</v>
      </c>
      <c r="FK187" s="114">
        <v>5489.1415039839349</v>
      </c>
      <c r="FL187" s="114">
        <v>5327.3804554307726</v>
      </c>
      <c r="FM187" s="114">
        <v>1680.1643175367838</v>
      </c>
      <c r="FN187" s="114">
        <v>9717.6365411807601</v>
      </c>
      <c r="FO187" s="114">
        <v>6677.2921742075769</v>
      </c>
      <c r="FP187" s="114">
        <v>5702.3033377382808</v>
      </c>
      <c r="FQ187" s="114">
        <v>3702.8413856717339</v>
      </c>
      <c r="FR187" s="114">
        <v>9924.1225407514085</v>
      </c>
      <c r="FS187" s="114">
        <v>5621.4025964691473</v>
      </c>
      <c r="FT187" s="114">
        <v>1099.4378609261848</v>
      </c>
      <c r="FU187" s="114">
        <v>7626.1566885860002</v>
      </c>
      <c r="FV187" s="114">
        <v>10340.848227263539</v>
      </c>
      <c r="FW187" s="114">
        <v>3512.8729182036282</v>
      </c>
      <c r="FX187" s="114">
        <v>10418.873096910102</v>
      </c>
      <c r="FY187" s="114">
        <v>4639.1837048138696</v>
      </c>
      <c r="FZ187" s="114">
        <v>4377.8121830569062</v>
      </c>
      <c r="GA187" s="114">
        <v>4930.8097349932104</v>
      </c>
      <c r="GB187" s="114" t="s">
        <v>237</v>
      </c>
      <c r="GC187" s="114">
        <v>5574.1615252614583</v>
      </c>
      <c r="GD187" s="114">
        <v>3569.8874268576178</v>
      </c>
      <c r="GE187" s="114">
        <v>6446.9367555852759</v>
      </c>
      <c r="GF187" s="114">
        <v>15123.666186530019</v>
      </c>
      <c r="GG187" s="114">
        <v>11359.007946044945</v>
      </c>
      <c r="GH187" s="114">
        <v>11085.398742205691</v>
      </c>
      <c r="GI187" s="114">
        <v>11651.983957585464</v>
      </c>
      <c r="GJ187" s="114">
        <v>9874.4441237303745</v>
      </c>
      <c r="GK187" s="114">
        <v>5869.6627517175948</v>
      </c>
      <c r="GL187" s="114">
        <v>10971.607463813045</v>
      </c>
      <c r="GM187" s="114">
        <v>8259.1646790441446</v>
      </c>
      <c r="GN187" s="114">
        <v>2133.2191760883929</v>
      </c>
      <c r="GO187" s="114">
        <v>1780.3927399140944</v>
      </c>
      <c r="GP187" s="114">
        <v>1965.3683669488989</v>
      </c>
      <c r="GQ187" s="114">
        <v>8292.4578276679713</v>
      </c>
      <c r="GR187" s="114">
        <v>12427.948948598734</v>
      </c>
      <c r="GS187" s="114">
        <v>5727.8953295336769</v>
      </c>
      <c r="GT187" s="115">
        <v>2970.9671127205465</v>
      </c>
    </row>
    <row r="188" spans="2:202" x14ac:dyDescent="0.6">
      <c r="B188" s="106" t="s">
        <v>173</v>
      </c>
      <c r="C188" s="63" t="s">
        <v>544</v>
      </c>
      <c r="D188" s="113">
        <v>3600.3784979923576</v>
      </c>
      <c r="E188" s="114">
        <v>2662.1866394793769</v>
      </c>
      <c r="F188" s="114">
        <v>2376.610450067586</v>
      </c>
      <c r="G188" s="114">
        <v>6745.0061835878541</v>
      </c>
      <c r="H188" s="114">
        <v>8699.2667444002745</v>
      </c>
      <c r="I188" s="114">
        <v>13038.583706839556</v>
      </c>
      <c r="J188" s="114">
        <v>1574.4274604464219</v>
      </c>
      <c r="K188" s="114">
        <v>14945.059618473953</v>
      </c>
      <c r="L188" s="114">
        <v>1047.9895772269224</v>
      </c>
      <c r="M188" s="114">
        <v>1865.1698000046938</v>
      </c>
      <c r="N188" s="114">
        <v>9035.7080678366001</v>
      </c>
      <c r="O188" s="114">
        <v>3187.1627270743884</v>
      </c>
      <c r="P188" s="114">
        <v>5914.4699786556484</v>
      </c>
      <c r="Q188" s="114">
        <v>8865.5339117724234</v>
      </c>
      <c r="R188" s="114">
        <v>412.20565047380717</v>
      </c>
      <c r="S188" s="114">
        <v>1838.2167557502444</v>
      </c>
      <c r="T188" s="114">
        <v>10419.918482525831</v>
      </c>
      <c r="U188" s="114">
        <v>5542.2445297784652</v>
      </c>
      <c r="V188" s="114">
        <v>5550.6645665878432</v>
      </c>
      <c r="W188" s="114">
        <v>11975.819068361212</v>
      </c>
      <c r="X188" s="114">
        <v>1181.574624379587</v>
      </c>
      <c r="Y188" s="114">
        <v>8324.7840884013931</v>
      </c>
      <c r="Z188" s="114">
        <v>11128.036534076295</v>
      </c>
      <c r="AA188" s="114">
        <v>10850.32936034004</v>
      </c>
      <c r="AB188" s="114">
        <v>9246.1006834203836</v>
      </c>
      <c r="AC188" s="114">
        <v>1027.0134433487156</v>
      </c>
      <c r="AD188" s="114">
        <v>5121.503512270423</v>
      </c>
      <c r="AE188" s="114">
        <v>5945.4127631717565</v>
      </c>
      <c r="AF188" s="114">
        <v>6179.6510852022957</v>
      </c>
      <c r="AG188" s="114">
        <v>7922.366178589803</v>
      </c>
      <c r="AH188" s="114">
        <v>5492.435518803165</v>
      </c>
      <c r="AI188" s="114">
        <v>5498.9848176243449</v>
      </c>
      <c r="AJ188" s="114">
        <v>7551.3104975103743</v>
      </c>
      <c r="AK188" s="114">
        <v>7211.208140656352</v>
      </c>
      <c r="AL188" s="114">
        <v>5243.3758264352427</v>
      </c>
      <c r="AM188" s="114">
        <v>4481.9809741567742</v>
      </c>
      <c r="AN188" s="114">
        <v>13497.156958183394</v>
      </c>
      <c r="AO188" s="114">
        <v>7471.7690295566372</v>
      </c>
      <c r="AP188" s="114">
        <v>6486.4974474046048</v>
      </c>
      <c r="AQ188" s="114">
        <v>10638.557791263571</v>
      </c>
      <c r="AR188" s="114">
        <v>6974.1891403860163</v>
      </c>
      <c r="AS188" s="114">
        <v>6241.5904214551065</v>
      </c>
      <c r="AT188" s="114">
        <v>6220.0045763058843</v>
      </c>
      <c r="AU188" s="114">
        <v>10848.209749595751</v>
      </c>
      <c r="AV188" s="114">
        <v>5931.3511128022556</v>
      </c>
      <c r="AW188" s="114">
        <v>1216.0838970111822</v>
      </c>
      <c r="AX188" s="114">
        <v>9518.1713577392093</v>
      </c>
      <c r="AY188" s="114">
        <v>1707.1369314150015</v>
      </c>
      <c r="AZ188" s="114">
        <v>1141.8197713425911</v>
      </c>
      <c r="BA188" s="114">
        <v>1326.7555791530606</v>
      </c>
      <c r="BB188" s="114">
        <v>4495.5329332769697</v>
      </c>
      <c r="BC188" s="114">
        <v>8819.6347247683771</v>
      </c>
      <c r="BD188" s="114">
        <v>9127.9109803964329</v>
      </c>
      <c r="BE188" s="114">
        <v>6231.3157227461434</v>
      </c>
      <c r="BF188" s="114">
        <v>11329.899031221827</v>
      </c>
      <c r="BG188" s="114">
        <v>2257.2895240032876</v>
      </c>
      <c r="BH188" s="114">
        <v>10815.903532396862</v>
      </c>
      <c r="BI188" s="114">
        <v>5596.1900213080962</v>
      </c>
      <c r="BJ188" s="114">
        <v>3974.5093208336971</v>
      </c>
      <c r="BK188" s="114">
        <v>1058.4041472446313</v>
      </c>
      <c r="BL188" s="114">
        <v>8504.5360480847339</v>
      </c>
      <c r="BM188" s="114">
        <v>4651.172972886483</v>
      </c>
      <c r="BN188" s="114">
        <v>1143.8747901999786</v>
      </c>
      <c r="BO188" s="114">
        <v>2029.5926949451143</v>
      </c>
      <c r="BP188" s="114">
        <v>5910.8821011765413</v>
      </c>
      <c r="BQ188" s="114">
        <v>5881.7899461987827</v>
      </c>
      <c r="BR188" s="114">
        <v>1473.693060377376</v>
      </c>
      <c r="BS188" s="114">
        <v>1201.7438965606771</v>
      </c>
      <c r="BT188" s="114">
        <v>1375.4142695018247</v>
      </c>
      <c r="BU188" s="114">
        <v>1531.8395694329772</v>
      </c>
      <c r="BV188" s="114">
        <v>5741.9392546461513</v>
      </c>
      <c r="BW188" s="114">
        <v>1514.5589733711381</v>
      </c>
      <c r="BX188" s="114">
        <v>9121.6939978776882</v>
      </c>
      <c r="BY188" s="114">
        <v>10791.060081300249</v>
      </c>
      <c r="BZ188" s="114">
        <v>6070.1267592718359</v>
      </c>
      <c r="CA188" s="114">
        <v>5989.0597755293929</v>
      </c>
      <c r="CB188" s="114">
        <v>9338.5106968467371</v>
      </c>
      <c r="CC188" s="114">
        <v>9293.2587767890345</v>
      </c>
      <c r="CD188" s="114">
        <v>10636.571928080339</v>
      </c>
      <c r="CE188" s="114">
        <v>886.96174524339688</v>
      </c>
      <c r="CF188" s="114">
        <v>3355.5741894851135</v>
      </c>
      <c r="CG188" s="114">
        <v>5105.0167188958994</v>
      </c>
      <c r="CH188" s="114">
        <v>4604.7057818923731</v>
      </c>
      <c r="CI188" s="114">
        <v>9556.4648135145253</v>
      </c>
      <c r="CJ188" s="114">
        <v>2364.3621426582808</v>
      </c>
      <c r="CK188" s="114">
        <v>2220.5739704259909</v>
      </c>
      <c r="CL188" s="114">
        <v>2500.6429108165025</v>
      </c>
      <c r="CM188" s="114">
        <v>5658.8316711235066</v>
      </c>
      <c r="CN188" s="114">
        <v>1691.5302930937796</v>
      </c>
      <c r="CO188" s="114">
        <v>1655.4303366539423</v>
      </c>
      <c r="CP188" s="114">
        <v>9609.9101028373334</v>
      </c>
      <c r="CQ188" s="114">
        <v>8227.5464584040728</v>
      </c>
      <c r="CR188" s="114">
        <v>2127.345209759183</v>
      </c>
      <c r="CS188" s="114">
        <v>2852.6796789609866</v>
      </c>
      <c r="CT188" s="114">
        <v>5753.5668971052692</v>
      </c>
      <c r="CU188" s="114">
        <v>2767.1288387776704</v>
      </c>
      <c r="CV188" s="114">
        <v>3440.1810891547907</v>
      </c>
      <c r="CW188" s="114">
        <v>7243.5616445480146</v>
      </c>
      <c r="CX188" s="114">
        <v>804.70658522009262</v>
      </c>
      <c r="CY188" s="114">
        <v>1909.4965602524255</v>
      </c>
      <c r="CZ188" s="114">
        <v>8842.6593077104262</v>
      </c>
      <c r="DA188" s="114">
        <v>6190.4909339745327</v>
      </c>
      <c r="DB188" s="114">
        <v>2433.1810916306495</v>
      </c>
      <c r="DC188" s="114">
        <v>1574.6546578329621</v>
      </c>
      <c r="DD188" s="114">
        <v>570.12719547491554</v>
      </c>
      <c r="DE188" s="114">
        <v>1730.322931163995</v>
      </c>
      <c r="DF188" s="114">
        <v>7836.1996598186097</v>
      </c>
      <c r="DG188" s="114">
        <v>7156.6649153305489</v>
      </c>
      <c r="DH188" s="114">
        <v>8411.724419886581</v>
      </c>
      <c r="DI188" s="114">
        <v>6525.8096536784169</v>
      </c>
      <c r="DJ188" s="114">
        <v>5438.1132300854124</v>
      </c>
      <c r="DK188" s="114">
        <v>2084.682269615108</v>
      </c>
      <c r="DL188" s="114">
        <v>8265.9198163602177</v>
      </c>
      <c r="DM188" s="114">
        <v>8278.7586170299728</v>
      </c>
      <c r="DN188" s="114">
        <v>10836.199691735896</v>
      </c>
      <c r="DO188" s="114">
        <v>380.26096407627057</v>
      </c>
      <c r="DP188" s="114">
        <v>1870.3694035854398</v>
      </c>
      <c r="DQ188" s="114">
        <v>5329.9779406431962</v>
      </c>
      <c r="DR188" s="114">
        <v>1213.2953946633652</v>
      </c>
      <c r="DS188" s="114">
        <v>3502.866556235696</v>
      </c>
      <c r="DT188" s="114">
        <v>8439.8698194538774</v>
      </c>
      <c r="DU188" s="114">
        <v>6905.8947392212276</v>
      </c>
      <c r="DV188" s="114">
        <v>8182.8637431476618</v>
      </c>
      <c r="DW188" s="114">
        <v>5239.6019718231673</v>
      </c>
      <c r="DX188" s="114">
        <v>1794.0868382512156</v>
      </c>
      <c r="DY188" s="114">
        <v>16829.519290848832</v>
      </c>
      <c r="DZ188" s="114">
        <v>17086.158252818084</v>
      </c>
      <c r="EA188" s="114">
        <v>10759.639632736116</v>
      </c>
      <c r="EB188" s="114">
        <v>4845.781807047877</v>
      </c>
      <c r="EC188" s="114">
        <v>5050.8272488435523</v>
      </c>
      <c r="ED188" s="114">
        <v>7092.4695151781079</v>
      </c>
      <c r="EE188" s="114">
        <v>1152.5328032510338</v>
      </c>
      <c r="EF188" s="114">
        <v>1621.1257230840447</v>
      </c>
      <c r="EG188" s="114">
        <v>3854.0279103545486</v>
      </c>
      <c r="EH188" s="114">
        <v>4226.3878522452478</v>
      </c>
      <c r="EI188" s="114">
        <v>3941.0890700028499</v>
      </c>
      <c r="EJ188" s="114">
        <v>10585.233077321869</v>
      </c>
      <c r="EK188" s="114">
        <v>11961.795960344236</v>
      </c>
      <c r="EL188" s="114">
        <v>12255.468287700052</v>
      </c>
      <c r="EM188" s="114">
        <v>8831.3664611932527</v>
      </c>
      <c r="EN188" s="114">
        <v>677.0906719202593</v>
      </c>
      <c r="EO188" s="114">
        <v>3349.473225848124</v>
      </c>
      <c r="EP188" s="114">
        <v>3329.2830818090265</v>
      </c>
      <c r="EQ188" s="114">
        <v>740.64116736065193</v>
      </c>
      <c r="ER188" s="114">
        <v>779.39095718297312</v>
      </c>
      <c r="ES188" s="114">
        <v>5769.9501011093334</v>
      </c>
      <c r="ET188" s="114">
        <v>8735.8916558872279</v>
      </c>
      <c r="EU188" s="114">
        <v>8873.2994674605761</v>
      </c>
      <c r="EV188" s="114">
        <v>8987.6415087312525</v>
      </c>
      <c r="EW188" s="114">
        <v>1552.4127836109787</v>
      </c>
      <c r="EX188" s="114">
        <v>6023.4224114384597</v>
      </c>
      <c r="EY188" s="114">
        <v>3197.1066823161882</v>
      </c>
      <c r="EZ188" s="114">
        <v>5843.0172425995133</v>
      </c>
      <c r="FA188" s="114">
        <v>984.55872731658553</v>
      </c>
      <c r="FB188" s="114">
        <v>6143.9618761217571</v>
      </c>
      <c r="FC188" s="114">
        <v>8730.5498775370725</v>
      </c>
      <c r="FD188" s="114">
        <v>989.01413723049473</v>
      </c>
      <c r="FE188" s="114">
        <v>1270.97591357993</v>
      </c>
      <c r="FF188" s="114">
        <v>5551.1103287946435</v>
      </c>
      <c r="FG188" s="114">
        <v>8424.5977899977242</v>
      </c>
      <c r="FH188" s="114">
        <v>7306.9486253403165</v>
      </c>
      <c r="FI188" s="114">
        <v>5055.089357797815</v>
      </c>
      <c r="FJ188" s="114">
        <v>2835.4448936088838</v>
      </c>
      <c r="FK188" s="114">
        <v>2373.517546066093</v>
      </c>
      <c r="FL188" s="114">
        <v>6642.753166453851</v>
      </c>
      <c r="FM188" s="114">
        <v>3895.1750141349698</v>
      </c>
      <c r="FN188" s="114">
        <v>9209.3523533546995</v>
      </c>
      <c r="FO188" s="114">
        <v>1259.8135898216524</v>
      </c>
      <c r="FP188" s="114">
        <v>1739.1309011770431</v>
      </c>
      <c r="FQ188" s="114">
        <v>1950.9957850543442</v>
      </c>
      <c r="FR188" s="114">
        <v>7982.1474133631145</v>
      </c>
      <c r="FS188" s="114">
        <v>3272.5146138924169</v>
      </c>
      <c r="FT188" s="114">
        <v>6409.5298429891573</v>
      </c>
      <c r="FU188" s="114">
        <v>7446.5686437243357</v>
      </c>
      <c r="FV188" s="114">
        <v>11071.631163968765</v>
      </c>
      <c r="FW188" s="114">
        <v>5610.0305872233794</v>
      </c>
      <c r="FX188" s="114">
        <v>9223.6116025265728</v>
      </c>
      <c r="FY188" s="114">
        <v>2224.7933092230551</v>
      </c>
      <c r="FZ188" s="114">
        <v>1206.1571456996739</v>
      </c>
      <c r="GA188" s="114">
        <v>2544.4490827802338</v>
      </c>
      <c r="GB188" s="114">
        <v>5574.1615252614583</v>
      </c>
      <c r="GC188" s="114" t="s">
        <v>237</v>
      </c>
      <c r="GD188" s="114">
        <v>3552.2100092605219</v>
      </c>
      <c r="GE188" s="114">
        <v>2118.2059082288956</v>
      </c>
      <c r="GF188" s="114">
        <v>10138.408077866998</v>
      </c>
      <c r="GG188" s="114">
        <v>7507.7671303119714</v>
      </c>
      <c r="GH188" s="114">
        <v>7206.6154483309792</v>
      </c>
      <c r="GI188" s="114">
        <v>7828.3720458501239</v>
      </c>
      <c r="GJ188" s="114">
        <v>12647.72550287911</v>
      </c>
      <c r="GK188" s="114">
        <v>3136.3579316986616</v>
      </c>
      <c r="GL188" s="114">
        <v>9606.9910751443585</v>
      </c>
      <c r="GM188" s="114">
        <v>7186.7163305431714</v>
      </c>
      <c r="GN188" s="114">
        <v>4080.7928310570096</v>
      </c>
      <c r="GO188" s="114">
        <v>7295.1139732301663</v>
      </c>
      <c r="GP188" s="114">
        <v>7531.582311454843</v>
      </c>
      <c r="GQ188" s="114">
        <v>8116.0641094799903</v>
      </c>
      <c r="GR188" s="114">
        <v>14906.450561820728</v>
      </c>
      <c r="GS188" s="114">
        <v>1617.6551150163436</v>
      </c>
      <c r="GT188" s="115">
        <v>8509.2965950862836</v>
      </c>
    </row>
    <row r="189" spans="2:202" x14ac:dyDescent="0.6">
      <c r="B189" s="106" t="s">
        <v>174</v>
      </c>
      <c r="C189" s="63" t="s">
        <v>292</v>
      </c>
      <c r="D189" s="113">
        <v>1819.0373954275819</v>
      </c>
      <c r="E189" s="114">
        <v>5028.6035993243722</v>
      </c>
      <c r="F189" s="114">
        <v>5213.7960329692187</v>
      </c>
      <c r="G189" s="114">
        <v>5755.952900780957</v>
      </c>
      <c r="H189" s="114">
        <v>11694.240463627146</v>
      </c>
      <c r="I189" s="114">
        <v>13678.304297234967</v>
      </c>
      <c r="J189" s="114">
        <v>1987.7994707830655</v>
      </c>
      <c r="K189" s="114">
        <v>12072.729712151839</v>
      </c>
      <c r="L189" s="114">
        <v>4249.4969511990366</v>
      </c>
      <c r="M189" s="114">
        <v>1832.5754566577039</v>
      </c>
      <c r="N189" s="114">
        <v>12437.489343688527</v>
      </c>
      <c r="O189" s="114">
        <v>443.28261983090437</v>
      </c>
      <c r="P189" s="114">
        <v>3656.0713341813585</v>
      </c>
      <c r="Q189" s="114">
        <v>11693.332813548352</v>
      </c>
      <c r="R189" s="114">
        <v>3950.2772237514359</v>
      </c>
      <c r="S189" s="114">
        <v>5157.1855565853075</v>
      </c>
      <c r="T189" s="114">
        <v>13868.799138250728</v>
      </c>
      <c r="U189" s="114">
        <v>5867.8683158893109</v>
      </c>
      <c r="V189" s="114">
        <v>3531.6135951229894</v>
      </c>
      <c r="W189" s="114">
        <v>13970.801980716815</v>
      </c>
      <c r="X189" s="114">
        <v>3902.6163572979654</v>
      </c>
      <c r="Y189" s="114">
        <v>6235.9916302794436</v>
      </c>
      <c r="Z189" s="114">
        <v>12094.603591616635</v>
      </c>
      <c r="AA189" s="114">
        <v>11736.714245651941</v>
      </c>
      <c r="AB189" s="114">
        <v>6846.842769942431</v>
      </c>
      <c r="AC189" s="114">
        <v>3486.6945245119973</v>
      </c>
      <c r="AD189" s="114">
        <v>5978.9414210369641</v>
      </c>
      <c r="AE189" s="114">
        <v>4078.9929427362104</v>
      </c>
      <c r="AF189" s="114">
        <v>8091.5881041335633</v>
      </c>
      <c r="AG189" s="114">
        <v>5483.2158779816145</v>
      </c>
      <c r="AH189" s="114">
        <v>5266.1605775025018</v>
      </c>
      <c r="AI189" s="114">
        <v>5139.097375115567</v>
      </c>
      <c r="AJ189" s="114">
        <v>11099.384159061958</v>
      </c>
      <c r="AK189" s="114">
        <v>10755.536460364188</v>
      </c>
      <c r="AL189" s="114">
        <v>4438.4315458909996</v>
      </c>
      <c r="AM189" s="114">
        <v>4381.9030663604517</v>
      </c>
      <c r="AN189" s="114">
        <v>14587.507920553326</v>
      </c>
      <c r="AO189" s="114">
        <v>6562.6675653794982</v>
      </c>
      <c r="AP189" s="114">
        <v>5971.0993603393408</v>
      </c>
      <c r="AQ189" s="114">
        <v>13575.586960437893</v>
      </c>
      <c r="AR189" s="114">
        <v>4145.284699442198</v>
      </c>
      <c r="AS189" s="114">
        <v>5275.7055381050895</v>
      </c>
      <c r="AT189" s="114">
        <v>5275.85461874065</v>
      </c>
      <c r="AU189" s="114">
        <v>14125.75341716699</v>
      </c>
      <c r="AV189" s="114">
        <v>6553.6140671208241</v>
      </c>
      <c r="AW189" s="114">
        <v>4180.507830330469</v>
      </c>
      <c r="AX189" s="114">
        <v>12956.274167189851</v>
      </c>
      <c r="AY189" s="114">
        <v>2348.4492092376722</v>
      </c>
      <c r="AZ189" s="114">
        <v>4471.8982709839865</v>
      </c>
      <c r="BA189" s="114">
        <v>4851.5136129289112</v>
      </c>
      <c r="BB189" s="114">
        <v>1940.6331370230407</v>
      </c>
      <c r="BC189" s="114">
        <v>11751.559363559627</v>
      </c>
      <c r="BD189" s="114">
        <v>12302.345725190366</v>
      </c>
      <c r="BE189" s="114">
        <v>5280.9159568306377</v>
      </c>
      <c r="BF189" s="114">
        <v>14249.668582795033</v>
      </c>
      <c r="BG189" s="114">
        <v>2366.1373970223035</v>
      </c>
      <c r="BH189" s="114">
        <v>14234.476929781147</v>
      </c>
      <c r="BI189" s="114">
        <v>5415.1911328124452</v>
      </c>
      <c r="BJ189" s="114">
        <v>1923.9920572233234</v>
      </c>
      <c r="BK189" s="114">
        <v>4523.913893800388</v>
      </c>
      <c r="BL189" s="114">
        <v>6138.1307349859844</v>
      </c>
      <c r="BM189" s="114">
        <v>2385.3022066871504</v>
      </c>
      <c r="BN189" s="114">
        <v>4578.1702322318861</v>
      </c>
      <c r="BO189" s="114">
        <v>5246.4423716137344</v>
      </c>
      <c r="BP189" s="114">
        <v>5526.3121807326652</v>
      </c>
      <c r="BQ189" s="114">
        <v>7463.0907748946838</v>
      </c>
      <c r="BR189" s="114">
        <v>2108.6620928651769</v>
      </c>
      <c r="BS189" s="114">
        <v>4640.6263585313409</v>
      </c>
      <c r="BT189" s="114">
        <v>4568.2641661460011</v>
      </c>
      <c r="BU189" s="114">
        <v>4840.7572755204737</v>
      </c>
      <c r="BV189" s="114">
        <v>6157.4031806764706</v>
      </c>
      <c r="BW189" s="114">
        <v>3264.7763463858869</v>
      </c>
      <c r="BX189" s="114">
        <v>11978.500943402272</v>
      </c>
      <c r="BY189" s="114">
        <v>14235.625241616406</v>
      </c>
      <c r="BZ189" s="114">
        <v>7332.9119657205401</v>
      </c>
      <c r="CA189" s="114">
        <v>7441.1327614697484</v>
      </c>
      <c r="CB189" s="114">
        <v>11933.417399778049</v>
      </c>
      <c r="CC189" s="114">
        <v>12516.606417995117</v>
      </c>
      <c r="CD189" s="114">
        <v>14034.886567259724</v>
      </c>
      <c r="CE189" s="114">
        <v>4018.7236764635263</v>
      </c>
      <c r="CF189" s="114">
        <v>6907.3301070717253</v>
      </c>
      <c r="CG189" s="114">
        <v>2011.4242243362582</v>
      </c>
      <c r="CH189" s="114">
        <v>2324.3375467853321</v>
      </c>
      <c r="CI189" s="114">
        <v>6581.8229704880077</v>
      </c>
      <c r="CJ189" s="114">
        <v>1272.2841371177281</v>
      </c>
      <c r="CK189" s="114">
        <v>1383.8564744026173</v>
      </c>
      <c r="CL189" s="114">
        <v>5914.187796720742</v>
      </c>
      <c r="CM189" s="114">
        <v>8559.4905756618246</v>
      </c>
      <c r="CN189" s="114">
        <v>4304.808921093666</v>
      </c>
      <c r="CO189" s="114">
        <v>4653.1177533807631</v>
      </c>
      <c r="CP189" s="114">
        <v>12899.440769099472</v>
      </c>
      <c r="CQ189" s="114">
        <v>8083.4844264845842</v>
      </c>
      <c r="CR189" s="114">
        <v>2004.3615292325667</v>
      </c>
      <c r="CS189" s="114">
        <v>3321.0778003660557</v>
      </c>
      <c r="CT189" s="114">
        <v>3416.5230347352226</v>
      </c>
      <c r="CU189" s="114">
        <v>832.01946121597518</v>
      </c>
      <c r="CV189" s="114">
        <v>2751.6312581916377</v>
      </c>
      <c r="CW189" s="114">
        <v>5024.9577479520103</v>
      </c>
      <c r="CX189" s="114">
        <v>4330.3735105355508</v>
      </c>
      <c r="CY189" s="114">
        <v>2103.5436816972178</v>
      </c>
      <c r="CZ189" s="114">
        <v>6604.2223207673369</v>
      </c>
      <c r="DA189" s="114">
        <v>7163.6634880001084</v>
      </c>
      <c r="DB189" s="114">
        <v>4101.5423267570732</v>
      </c>
      <c r="DC189" s="114">
        <v>4693.0295224837464</v>
      </c>
      <c r="DD189" s="114">
        <v>4116.14065876528</v>
      </c>
      <c r="DE189" s="114">
        <v>4993.5023050076643</v>
      </c>
      <c r="DF189" s="114">
        <v>4821.0159532910729</v>
      </c>
      <c r="DG189" s="114">
        <v>4815.6355472271916</v>
      </c>
      <c r="DH189" s="114">
        <v>5575.922296283351</v>
      </c>
      <c r="DI189" s="114">
        <v>3041.9931419070795</v>
      </c>
      <c r="DJ189" s="114">
        <v>6604.6269164426712</v>
      </c>
      <c r="DK189" s="114">
        <v>4014.389959501204</v>
      </c>
      <c r="DL189" s="114">
        <v>4946.0844468133828</v>
      </c>
      <c r="DM189" s="114">
        <v>4954.4468222770729</v>
      </c>
      <c r="DN189" s="114">
        <v>14382.265579398876</v>
      </c>
      <c r="DO189" s="114">
        <v>3381.0756554979744</v>
      </c>
      <c r="DP189" s="114">
        <v>4745.660424464465</v>
      </c>
      <c r="DQ189" s="114">
        <v>5283.4486395234862</v>
      </c>
      <c r="DR189" s="114">
        <v>3783.0820488476711</v>
      </c>
      <c r="DS189" s="114">
        <v>5942.4861964449465</v>
      </c>
      <c r="DT189" s="114">
        <v>6023.8834700009056</v>
      </c>
      <c r="DU189" s="114">
        <v>4444.9750509784335</v>
      </c>
      <c r="DV189" s="114">
        <v>6558.2163731252986</v>
      </c>
      <c r="DW189" s="114">
        <v>3111.7262671829053</v>
      </c>
      <c r="DX189" s="114">
        <v>5188.5631315233304</v>
      </c>
      <c r="DY189" s="114">
        <v>14246.546422186364</v>
      </c>
      <c r="DZ189" s="114">
        <v>14232.811962854707</v>
      </c>
      <c r="EA189" s="114">
        <v>14116.388980569833</v>
      </c>
      <c r="EB189" s="114">
        <v>5594.0699595023752</v>
      </c>
      <c r="EC189" s="114">
        <v>5245.6126525266727</v>
      </c>
      <c r="ED189" s="114">
        <v>6754.6483194526782</v>
      </c>
      <c r="EE189" s="114">
        <v>3612.6622892205264</v>
      </c>
      <c r="EF189" s="114">
        <v>5173.0461238961134</v>
      </c>
      <c r="EG189" s="114">
        <v>433.08268806063177</v>
      </c>
      <c r="EH189" s="114">
        <v>1301.8289377857066</v>
      </c>
      <c r="EI189" s="114">
        <v>2095.0841737219112</v>
      </c>
      <c r="EJ189" s="114">
        <v>13756.578298198649</v>
      </c>
      <c r="EK189" s="114">
        <v>13177.132994451178</v>
      </c>
      <c r="EL189" s="114">
        <v>14711.25834766614</v>
      </c>
      <c r="EM189" s="114">
        <v>7031.2241327603106</v>
      </c>
      <c r="EN189" s="114">
        <v>4176.3878763779767</v>
      </c>
      <c r="EO189" s="114">
        <v>6095.3241046204275</v>
      </c>
      <c r="EP189" s="114">
        <v>305.60264915686872</v>
      </c>
      <c r="EQ189" s="114">
        <v>3377.8945639414492</v>
      </c>
      <c r="ER189" s="114">
        <v>3752.760477997891</v>
      </c>
      <c r="ES189" s="114">
        <v>3884.1643098679583</v>
      </c>
      <c r="ET189" s="114">
        <v>11744.3971050871</v>
      </c>
      <c r="EU189" s="114">
        <v>11758.224103740993</v>
      </c>
      <c r="EV189" s="114">
        <v>11858.781574702114</v>
      </c>
      <c r="EW189" s="114">
        <v>4359.335461730413</v>
      </c>
      <c r="EX189" s="114">
        <v>5806.3033946848564</v>
      </c>
      <c r="EY189" s="114">
        <v>790.22621814852562</v>
      </c>
      <c r="EZ189" s="114">
        <v>7510.8983436483404</v>
      </c>
      <c r="FA189" s="114">
        <v>3790.5090259226731</v>
      </c>
      <c r="FB189" s="114">
        <v>7343.0387292704518</v>
      </c>
      <c r="FC189" s="114">
        <v>5905.1507197913443</v>
      </c>
      <c r="FD189" s="114">
        <v>4191.5107513073108</v>
      </c>
      <c r="FE189" s="114">
        <v>4292.4546264020273</v>
      </c>
      <c r="FF189" s="114">
        <v>2656.3120557500702</v>
      </c>
      <c r="FG189" s="114">
        <v>6200.8200501104138</v>
      </c>
      <c r="FH189" s="114">
        <v>6890.944512537113</v>
      </c>
      <c r="FI189" s="114">
        <v>3244.827419081867</v>
      </c>
      <c r="FJ189" s="114">
        <v>5601.5087255704329</v>
      </c>
      <c r="FK189" s="114">
        <v>5134.2999223225979</v>
      </c>
      <c r="FL189" s="114">
        <v>3344.146084513709</v>
      </c>
      <c r="FM189" s="114">
        <v>2491.6104866733613</v>
      </c>
      <c r="FN189" s="114">
        <v>11688.403643079393</v>
      </c>
      <c r="FO189" s="114">
        <v>4794.9581480018769</v>
      </c>
      <c r="FP189" s="114">
        <v>4826.7654372436609</v>
      </c>
      <c r="FQ189" s="114">
        <v>2019.4977168061732</v>
      </c>
      <c r="FR189" s="114">
        <v>6729.5346052674431</v>
      </c>
      <c r="FS189" s="114">
        <v>2062.5611423782425</v>
      </c>
      <c r="FT189" s="114">
        <v>3817.3838050074037</v>
      </c>
      <c r="FU189" s="114">
        <v>4972.2329955977657</v>
      </c>
      <c r="FV189" s="114">
        <v>8508.0795337137279</v>
      </c>
      <c r="FW189" s="114">
        <v>5996.0743811896236</v>
      </c>
      <c r="FX189" s="114">
        <v>12034.183877314323</v>
      </c>
      <c r="FY189" s="114">
        <v>4401.3601304541662</v>
      </c>
      <c r="FZ189" s="114">
        <v>2647.409772634378</v>
      </c>
      <c r="GA189" s="114">
        <v>1556.8879080248928</v>
      </c>
      <c r="GB189" s="114">
        <v>3569.8874268576178</v>
      </c>
      <c r="GC189" s="114">
        <v>3552.2100092605219</v>
      </c>
      <c r="GD189" s="114" t="s">
        <v>237</v>
      </c>
      <c r="GE189" s="114">
        <v>5469.5460466283503</v>
      </c>
      <c r="GF189" s="114">
        <v>13480.122252589124</v>
      </c>
      <c r="GG189" s="114">
        <v>11026.919949552746</v>
      </c>
      <c r="GH189" s="114">
        <v>10722.357684986533</v>
      </c>
      <c r="GI189" s="114">
        <v>11351.229609291229</v>
      </c>
      <c r="GJ189" s="114">
        <v>13298.616072698569</v>
      </c>
      <c r="GK189" s="114">
        <v>2332.7493269067704</v>
      </c>
      <c r="GL189" s="114">
        <v>12527.505453198593</v>
      </c>
      <c r="GM189" s="114">
        <v>5245.0184934856261</v>
      </c>
      <c r="GN189" s="114">
        <v>1441.8301478716728</v>
      </c>
      <c r="GO189" s="114">
        <v>5229.9685140142283</v>
      </c>
      <c r="GP189" s="114">
        <v>5276.5332802513276</v>
      </c>
      <c r="GQ189" s="114">
        <v>5719.4598602881579</v>
      </c>
      <c r="GR189" s="114">
        <v>11954.03984627237</v>
      </c>
      <c r="GS189" s="114">
        <v>4758.0248754071927</v>
      </c>
      <c r="GT189" s="115">
        <v>6278.9440581457466</v>
      </c>
    </row>
    <row r="190" spans="2:202" x14ac:dyDescent="0.6">
      <c r="B190" s="106" t="s">
        <v>175</v>
      </c>
      <c r="C190" s="63" t="s">
        <v>263</v>
      </c>
      <c r="D190" s="113">
        <v>5718.564099951479</v>
      </c>
      <c r="E190" s="114">
        <v>1679.6759655408825</v>
      </c>
      <c r="F190" s="114">
        <v>1011.6464673209057</v>
      </c>
      <c r="G190" s="114">
        <v>6775.6898731454048</v>
      </c>
      <c r="H190" s="114">
        <v>6582.9037413641281</v>
      </c>
      <c r="I190" s="114">
        <v>11358.167890646633</v>
      </c>
      <c r="J190" s="114">
        <v>3599.4045457773445</v>
      </c>
      <c r="K190" s="114">
        <v>16984.391091911715</v>
      </c>
      <c r="L190" s="114">
        <v>1220.4553603899305</v>
      </c>
      <c r="M190" s="114">
        <v>3951.6514681519452</v>
      </c>
      <c r="N190" s="114">
        <v>6987.1260956891438</v>
      </c>
      <c r="O190" s="114">
        <v>5054.601994163595</v>
      </c>
      <c r="P190" s="114">
        <v>8016.31765270493</v>
      </c>
      <c r="Q190" s="114">
        <v>6764.0888964246315</v>
      </c>
      <c r="R190" s="114">
        <v>1857.6703245953406</v>
      </c>
      <c r="S190" s="114">
        <v>313.07163664692661</v>
      </c>
      <c r="T190" s="114">
        <v>8404.7520621983022</v>
      </c>
      <c r="U190" s="114">
        <v>5023.409344599102</v>
      </c>
      <c r="V190" s="114">
        <v>7639.3939206785726</v>
      </c>
      <c r="W190" s="114">
        <v>9967.8840806731514</v>
      </c>
      <c r="X190" s="114">
        <v>1622.9623869094103</v>
      </c>
      <c r="Y190" s="114">
        <v>8794.507862152599</v>
      </c>
      <c r="Z190" s="114">
        <v>9489.6360326149006</v>
      </c>
      <c r="AA190" s="114">
        <v>9268.1534298934785</v>
      </c>
      <c r="AB190" s="114">
        <v>11303.46661807031</v>
      </c>
      <c r="AC190" s="114">
        <v>2012.6120887069058</v>
      </c>
      <c r="AD190" s="114">
        <v>4361.4168858811236</v>
      </c>
      <c r="AE190" s="114">
        <v>6664.1199777520469</v>
      </c>
      <c r="AF190" s="114">
        <v>4542.8237344042045</v>
      </c>
      <c r="AG190" s="114">
        <v>10009.852004756485</v>
      </c>
      <c r="AH190" s="114">
        <v>5338.4361175948661</v>
      </c>
      <c r="AI190" s="114">
        <v>5426.6612920411717</v>
      </c>
      <c r="AJ190" s="114">
        <v>5721.94950798836</v>
      </c>
      <c r="AK190" s="114">
        <v>5364.987544564091</v>
      </c>
      <c r="AL190" s="114">
        <v>5512.0787795022097</v>
      </c>
      <c r="AM190" s="114">
        <v>4561.4212051706954</v>
      </c>
      <c r="AN190" s="114">
        <v>11634.008934575169</v>
      </c>
      <c r="AO190" s="114">
        <v>9203.8866948673822</v>
      </c>
      <c r="AP190" s="114">
        <v>8170.2322516293025</v>
      </c>
      <c r="AQ190" s="114">
        <v>8520.7785816113028</v>
      </c>
      <c r="AR190" s="114">
        <v>8121.3996632148519</v>
      </c>
      <c r="AS190" s="114">
        <v>6362.2746821994751</v>
      </c>
      <c r="AT190" s="114">
        <v>6332.1635849442437</v>
      </c>
      <c r="AU190" s="114">
        <v>8761.898434145005</v>
      </c>
      <c r="AV190" s="114">
        <v>5129.8267103372436</v>
      </c>
      <c r="AW190" s="114">
        <v>1320.7084066619002</v>
      </c>
      <c r="AX190" s="114">
        <v>7493.4233317962098</v>
      </c>
      <c r="AY190" s="114">
        <v>3204.8899090460009</v>
      </c>
      <c r="AZ190" s="114">
        <v>1013.75214208173</v>
      </c>
      <c r="BA190" s="114">
        <v>935.15364626045971</v>
      </c>
      <c r="BB190" s="114">
        <v>5878.252974828325</v>
      </c>
      <c r="BC190" s="114">
        <v>6707.1016231427911</v>
      </c>
      <c r="BD190" s="114">
        <v>7016.0355764675633</v>
      </c>
      <c r="BE190" s="114">
        <v>6344.8090251628146</v>
      </c>
      <c r="BF190" s="114">
        <v>9211.7756584716881</v>
      </c>
      <c r="BG190" s="114">
        <v>3495.609255996289</v>
      </c>
      <c r="BH190" s="114">
        <v>8782.6027178387667</v>
      </c>
      <c r="BI190" s="114">
        <v>5386.5704686681729</v>
      </c>
      <c r="BJ190" s="114">
        <v>5281.5732549986287</v>
      </c>
      <c r="BK190" s="114">
        <v>1767.4642884630339</v>
      </c>
      <c r="BL190" s="114">
        <v>9143.7677992320096</v>
      </c>
      <c r="BM190" s="114">
        <v>5865.5181674141431</v>
      </c>
      <c r="BN190" s="114">
        <v>1831.7412232566842</v>
      </c>
      <c r="BO190" s="114">
        <v>356.43056079522046</v>
      </c>
      <c r="BP190" s="114">
        <v>5750.2143109805284</v>
      </c>
      <c r="BQ190" s="114">
        <v>4482.0859639661367</v>
      </c>
      <c r="BR190" s="114">
        <v>3528.8357837865756</v>
      </c>
      <c r="BS190" s="114">
        <v>918.58658834536175</v>
      </c>
      <c r="BT190" s="114">
        <v>908.13812248160582</v>
      </c>
      <c r="BU190" s="114">
        <v>629.6133286456909</v>
      </c>
      <c r="BV190" s="114">
        <v>5116.0786587673565</v>
      </c>
      <c r="BW190" s="114">
        <v>2395.5197678860868</v>
      </c>
      <c r="BX190" s="114">
        <v>7014.7508474068336</v>
      </c>
      <c r="BY190" s="114">
        <v>8773.7250286994604</v>
      </c>
      <c r="BZ190" s="114">
        <v>4836.2749487690398</v>
      </c>
      <c r="CA190" s="114">
        <v>4651.7351770433925</v>
      </c>
      <c r="CB190" s="114">
        <v>7270.2892139743471</v>
      </c>
      <c r="CC190" s="114">
        <v>7188.6160794319421</v>
      </c>
      <c r="CD190" s="114">
        <v>8591.9154337380478</v>
      </c>
      <c r="CE190" s="114">
        <v>1451.4222070770738</v>
      </c>
      <c r="CF190" s="114">
        <v>1888.9502061531718</v>
      </c>
      <c r="CG190" s="114">
        <v>7186.6806930237608</v>
      </c>
      <c r="CH190" s="114">
        <v>6722.6669389416857</v>
      </c>
      <c r="CI190" s="114">
        <v>11674.626283008838</v>
      </c>
      <c r="CJ190" s="114">
        <v>4401.9781709634271</v>
      </c>
      <c r="CK190" s="114">
        <v>4085.690663702665</v>
      </c>
      <c r="CL190" s="114">
        <v>462.91915154878467</v>
      </c>
      <c r="CM190" s="114">
        <v>3589.5909869135153</v>
      </c>
      <c r="CN190" s="114">
        <v>1440.4173093441329</v>
      </c>
      <c r="CO190" s="114">
        <v>944.64341226178738</v>
      </c>
      <c r="CP190" s="114">
        <v>7520.658672979308</v>
      </c>
      <c r="CQ190" s="114">
        <v>9572.9772779749292</v>
      </c>
      <c r="CR190" s="114">
        <v>3634.201398605428</v>
      </c>
      <c r="CS190" s="114">
        <v>4763.480424298511</v>
      </c>
      <c r="CT190" s="114">
        <v>6776.4007944044888</v>
      </c>
      <c r="CU190" s="114">
        <v>4640.3962742277299</v>
      </c>
      <c r="CV190" s="114">
        <v>5491.3972470219014</v>
      </c>
      <c r="CW190" s="114">
        <v>9314.2841110547106</v>
      </c>
      <c r="CX190" s="114">
        <v>1670.0180289369375</v>
      </c>
      <c r="CY190" s="114">
        <v>3462.0691209644297</v>
      </c>
      <c r="CZ190" s="114">
        <v>9347.4943255766939</v>
      </c>
      <c r="DA190" s="114">
        <v>5115.0945295943484</v>
      </c>
      <c r="DB190" s="114">
        <v>2354.1125420340536</v>
      </c>
      <c r="DC190" s="114">
        <v>828.82127814689966</v>
      </c>
      <c r="DD190" s="114">
        <v>1717.2860508901051</v>
      </c>
      <c r="DE190" s="114">
        <v>488.28920677774261</v>
      </c>
      <c r="DF190" s="114">
        <v>9032.059001698397</v>
      </c>
      <c r="DG190" s="114">
        <v>7958.5585685984115</v>
      </c>
      <c r="DH190" s="114">
        <v>10528.456432293042</v>
      </c>
      <c r="DI190" s="114">
        <v>8508.2074485763696</v>
      </c>
      <c r="DJ190" s="114">
        <v>4391.3678737960254</v>
      </c>
      <c r="DK190" s="114">
        <v>2098.3815759077388</v>
      </c>
      <c r="DL190" s="114">
        <v>9702.0287051149735</v>
      </c>
      <c r="DM190" s="114">
        <v>9718.8202681224757</v>
      </c>
      <c r="DN190" s="114">
        <v>8957.2070358624205</v>
      </c>
      <c r="DO190" s="114">
        <v>2141.3228728402451</v>
      </c>
      <c r="DP190" s="114">
        <v>1015.1629182289487</v>
      </c>
      <c r="DQ190" s="114">
        <v>6979.3493973221384</v>
      </c>
      <c r="DR190" s="114">
        <v>1762.5487234512457</v>
      </c>
      <c r="DS190" s="114">
        <v>2004.1986513669783</v>
      </c>
      <c r="DT190" s="114">
        <v>9122.6264802393216</v>
      </c>
      <c r="DU190" s="114">
        <v>9009.6573359441663</v>
      </c>
      <c r="DV190" s="114">
        <v>8364.8053974918148</v>
      </c>
      <c r="DW190" s="114">
        <v>7344.3780307761363</v>
      </c>
      <c r="DX190" s="114">
        <v>330.08550689073286</v>
      </c>
      <c r="DY190" s="114">
        <v>18352.284477010922</v>
      </c>
      <c r="DZ190" s="114">
        <v>18807.337689478449</v>
      </c>
      <c r="EA190" s="114">
        <v>8697.3826590093067</v>
      </c>
      <c r="EB190" s="114">
        <v>4239.6685476284265</v>
      </c>
      <c r="EC190" s="114">
        <v>4752.6762038826155</v>
      </c>
      <c r="ED190" s="114">
        <v>8645.9068059246474</v>
      </c>
      <c r="EE190" s="114">
        <v>1918.7129320294064</v>
      </c>
      <c r="EF190" s="114">
        <v>1123.1071134366912</v>
      </c>
      <c r="EG190" s="114">
        <v>5827.0285977038793</v>
      </c>
      <c r="EH190" s="114">
        <v>6304.7365789994083</v>
      </c>
      <c r="EI190" s="114">
        <v>6057.1739586680633</v>
      </c>
      <c r="EJ190" s="114">
        <v>8478.1688915014511</v>
      </c>
      <c r="EK190" s="114">
        <v>10169.615886478405</v>
      </c>
      <c r="EL190" s="114">
        <v>10163.532405468495</v>
      </c>
      <c r="EM190" s="114">
        <v>10759.173833691744</v>
      </c>
      <c r="EN190" s="114">
        <v>1446.6702546676429</v>
      </c>
      <c r="EO190" s="114">
        <v>1602.9524646350173</v>
      </c>
      <c r="EP190" s="114">
        <v>5203.5709483117816</v>
      </c>
      <c r="EQ190" s="114">
        <v>2091.6894381044767</v>
      </c>
      <c r="ER190" s="114">
        <v>2502.8490905394442</v>
      </c>
      <c r="ES190" s="114">
        <v>6535.5133425761378</v>
      </c>
      <c r="ET190" s="114">
        <v>6618.8394038475044</v>
      </c>
      <c r="EU190" s="114">
        <v>6764.9396250882892</v>
      </c>
      <c r="EV190" s="114">
        <v>6880.0277082704633</v>
      </c>
      <c r="EW190" s="114">
        <v>1268.2584750120329</v>
      </c>
      <c r="EX190" s="114">
        <v>5731.9707747951716</v>
      </c>
      <c r="EY190" s="114">
        <v>4937.5891712866996</v>
      </c>
      <c r="EZ190" s="114">
        <v>4395.9990379853343</v>
      </c>
      <c r="FA190" s="114">
        <v>1694.1082325522927</v>
      </c>
      <c r="FB190" s="114">
        <v>4936.711796528165</v>
      </c>
      <c r="FC190" s="114">
        <v>10845.915272002318</v>
      </c>
      <c r="FD190" s="114">
        <v>1279.399330909418</v>
      </c>
      <c r="FE190" s="114">
        <v>1206.8351111159377</v>
      </c>
      <c r="FF190" s="114">
        <v>6915.6788010620103</v>
      </c>
      <c r="FG190" s="114">
        <v>8973.7138605346809</v>
      </c>
      <c r="FH190" s="114">
        <v>8869.5587505811563</v>
      </c>
      <c r="FI190" s="114">
        <v>5941.0718954242011</v>
      </c>
      <c r="FJ190" s="114">
        <v>1262.8102561593284</v>
      </c>
      <c r="FK190" s="114">
        <v>1122.0566916263165</v>
      </c>
      <c r="FL190" s="114">
        <v>8706.5545438232748</v>
      </c>
      <c r="FM190" s="114">
        <v>4934.5481553986483</v>
      </c>
      <c r="FN190" s="114">
        <v>7169.1450524404427</v>
      </c>
      <c r="FO190" s="114">
        <v>1431.4267742341335</v>
      </c>
      <c r="FP190" s="114">
        <v>754.30289139832212</v>
      </c>
      <c r="FQ190" s="114">
        <v>3536.8325626224691</v>
      </c>
      <c r="FR190" s="114">
        <v>9791.3737483551376</v>
      </c>
      <c r="FS190" s="114">
        <v>5383.7107473779388</v>
      </c>
      <c r="FT190" s="114">
        <v>7476.4850932631543</v>
      </c>
      <c r="FU190" s="114">
        <v>9544.7935609073775</v>
      </c>
      <c r="FV190" s="114">
        <v>13125.666193296362</v>
      </c>
      <c r="FW190" s="114">
        <v>5035.1192529510326</v>
      </c>
      <c r="FX190" s="114">
        <v>7121.354835934967</v>
      </c>
      <c r="FY190" s="114">
        <v>1837.751853603007</v>
      </c>
      <c r="FZ190" s="114">
        <v>2827.6218300774531</v>
      </c>
      <c r="GA190" s="114">
        <v>4653.4340948205354</v>
      </c>
      <c r="GB190" s="114">
        <v>6446.9367555852759</v>
      </c>
      <c r="GC190" s="114">
        <v>2118.2059082288956</v>
      </c>
      <c r="GD190" s="114">
        <v>5469.5460466283503</v>
      </c>
      <c r="GE190" s="114" t="s">
        <v>237</v>
      </c>
      <c r="GF190" s="114">
        <v>8770.5579953416454</v>
      </c>
      <c r="GG190" s="114">
        <v>5580.5161058886997</v>
      </c>
      <c r="GH190" s="114">
        <v>5274.4474082406059</v>
      </c>
      <c r="GI190" s="114">
        <v>5906.8300283186536</v>
      </c>
      <c r="GJ190" s="114">
        <v>10999.656622820869</v>
      </c>
      <c r="GK190" s="114">
        <v>5228.636191586409</v>
      </c>
      <c r="GL190" s="114">
        <v>7492.185919687322</v>
      </c>
      <c r="GM190" s="114">
        <v>9213.3989329025044</v>
      </c>
      <c r="GN190" s="114">
        <v>5596.4266448230583</v>
      </c>
      <c r="GO190" s="114">
        <v>7898.934625705102</v>
      </c>
      <c r="GP190" s="114">
        <v>8223.9068542923396</v>
      </c>
      <c r="GQ190" s="114">
        <v>10194.618490114763</v>
      </c>
      <c r="GR190" s="114">
        <v>16976.955020252924</v>
      </c>
      <c r="GS190" s="114">
        <v>762.8716403335419</v>
      </c>
      <c r="GT190" s="115">
        <v>9051.8172993882326</v>
      </c>
    </row>
    <row r="191" spans="2:202" x14ac:dyDescent="0.6">
      <c r="B191" s="106" t="s">
        <v>176</v>
      </c>
      <c r="C191" s="63" t="s">
        <v>528</v>
      </c>
      <c r="D191" s="113">
        <v>12378.336453950506</v>
      </c>
      <c r="E191" s="114">
        <v>10097.764209793566</v>
      </c>
      <c r="F191" s="114">
        <v>9531.6974920169105</v>
      </c>
      <c r="G191" s="114">
        <v>14305.500569613676</v>
      </c>
      <c r="H191" s="114">
        <v>5884.066369275668</v>
      </c>
      <c r="I191" s="114">
        <v>9880.5178928675905</v>
      </c>
      <c r="J191" s="114">
        <v>11577.454290674057</v>
      </c>
      <c r="K191" s="114">
        <v>12090.360891378848</v>
      </c>
      <c r="L191" s="114">
        <v>9819.688991056757</v>
      </c>
      <c r="M191" s="114">
        <v>11654.423451103716</v>
      </c>
      <c r="N191" s="114">
        <v>4065.72266301318</v>
      </c>
      <c r="O191" s="114">
        <v>13218.103964072223</v>
      </c>
      <c r="P191" s="114">
        <v>12948.625893598502</v>
      </c>
      <c r="Q191" s="114">
        <v>6351.9262378221301</v>
      </c>
      <c r="R191" s="114">
        <v>9726.7373390139692</v>
      </c>
      <c r="S191" s="114">
        <v>9052.2068568554259</v>
      </c>
      <c r="T191" s="114">
        <v>3519.0183415295342</v>
      </c>
      <c r="U191" s="114">
        <v>12348.907260684708</v>
      </c>
      <c r="V191" s="114">
        <v>12594.171396401931</v>
      </c>
      <c r="W191" s="114">
        <v>7704.4767305214727</v>
      </c>
      <c r="X191" s="114">
        <v>10327.7734717726</v>
      </c>
      <c r="Y191" s="114">
        <v>16367.112801986228</v>
      </c>
      <c r="Z191" s="114">
        <v>9906.2460685435035</v>
      </c>
      <c r="AA191" s="114">
        <v>10143.469515457191</v>
      </c>
      <c r="AB191" s="114">
        <v>12982.24479067735</v>
      </c>
      <c r="AC191" s="114">
        <v>10646.560775140364</v>
      </c>
      <c r="AD191" s="114">
        <v>11611.813398103261</v>
      </c>
      <c r="AE191" s="114">
        <v>15202.3186833124</v>
      </c>
      <c r="AF191" s="114">
        <v>9518.3431053356471</v>
      </c>
      <c r="AG191" s="114">
        <v>13245.270257503076</v>
      </c>
      <c r="AH191" s="114">
        <v>13115.419742717191</v>
      </c>
      <c r="AI191" s="114">
        <v>13291.167192606232</v>
      </c>
      <c r="AJ191" s="114">
        <v>3493.5470380046431</v>
      </c>
      <c r="AK191" s="114">
        <v>3821.0685935621109</v>
      </c>
      <c r="AL191" s="114">
        <v>13786.55851574189</v>
      </c>
      <c r="AM191" s="114">
        <v>12863.445370821508</v>
      </c>
      <c r="AN191" s="114">
        <v>8995.6982359902122</v>
      </c>
      <c r="AO191" s="114">
        <v>10436.009179456078</v>
      </c>
      <c r="AP191" s="114">
        <v>10102.772005107976</v>
      </c>
      <c r="AQ191" s="114">
        <v>5630.7399060721473</v>
      </c>
      <c r="AR191" s="114">
        <v>16867.968552034195</v>
      </c>
      <c r="AS191" s="114">
        <v>14199.751671346387</v>
      </c>
      <c r="AT191" s="114">
        <v>14166.251976996286</v>
      </c>
      <c r="AU191" s="114">
        <v>4423.6787644807482</v>
      </c>
      <c r="AV191" s="114">
        <v>11857.08391076672</v>
      </c>
      <c r="AW191" s="114">
        <v>10024.958613324989</v>
      </c>
      <c r="AX191" s="114">
        <v>3700.9623645144557</v>
      </c>
      <c r="AY191" s="114">
        <v>11773.866434449437</v>
      </c>
      <c r="AZ191" s="114">
        <v>9560.6683047109273</v>
      </c>
      <c r="BA191" s="114">
        <v>9016.198524051395</v>
      </c>
      <c r="BB191" s="114">
        <v>14587.754732305792</v>
      </c>
      <c r="BC191" s="114">
        <v>6048.155121426099</v>
      </c>
      <c r="BD191" s="114">
        <v>5107.7665248493804</v>
      </c>
      <c r="BE191" s="114">
        <v>14176.746272449132</v>
      </c>
      <c r="BF191" s="114">
        <v>5630.770516581787</v>
      </c>
      <c r="BG191" s="114">
        <v>12200.010958636374</v>
      </c>
      <c r="BH191" s="114">
        <v>3727.1352144904381</v>
      </c>
      <c r="BI191" s="114">
        <v>13060.466135353769</v>
      </c>
      <c r="BJ191" s="114">
        <v>14013.594342885975</v>
      </c>
      <c r="BK191" s="114">
        <v>9088.9065834627017</v>
      </c>
      <c r="BL191" s="114">
        <v>16948.758759554374</v>
      </c>
      <c r="BM191" s="114">
        <v>14630.087467350244</v>
      </c>
      <c r="BN191" s="114">
        <v>9015.1754181403721</v>
      </c>
      <c r="BO191" s="114">
        <v>9104.9220166876039</v>
      </c>
      <c r="BP191" s="114">
        <v>13357.89446850407</v>
      </c>
      <c r="BQ191" s="114">
        <v>10242.53528974282</v>
      </c>
      <c r="BR191" s="114">
        <v>11438.485876095003</v>
      </c>
      <c r="BS191" s="114">
        <v>9322.2451999161822</v>
      </c>
      <c r="BT191" s="114">
        <v>9606.7213523026458</v>
      </c>
      <c r="BU191" s="114">
        <v>9302.5972143035906</v>
      </c>
      <c r="BV191" s="114">
        <v>12200.144081947321</v>
      </c>
      <c r="BW191" s="114">
        <v>11120.629672912619</v>
      </c>
      <c r="BX191" s="114">
        <v>6188.1751495854869</v>
      </c>
      <c r="BY191" s="114">
        <v>3562.8862377196047</v>
      </c>
      <c r="BZ191" s="114">
        <v>10760.023502718092</v>
      </c>
      <c r="CA191" s="114">
        <v>10445.333993067045</v>
      </c>
      <c r="CB191" s="114">
        <v>6865.3532580261035</v>
      </c>
      <c r="CC191" s="114">
        <v>4864.1215997528807</v>
      </c>
      <c r="CD191" s="114">
        <v>3836.198589077776</v>
      </c>
      <c r="CE191" s="114">
        <v>10017.214705341054</v>
      </c>
      <c r="CF191" s="114">
        <v>6950.4118211929053</v>
      </c>
      <c r="CG191" s="114">
        <v>13991.429790386064</v>
      </c>
      <c r="CH191" s="114">
        <v>12887.94868242853</v>
      </c>
      <c r="CI191" s="114">
        <v>14478.498378031332</v>
      </c>
      <c r="CJ191" s="114">
        <v>12211.82578386036</v>
      </c>
      <c r="CK191" s="114">
        <v>12317.945780937276</v>
      </c>
      <c r="CL191" s="114">
        <v>8319.9657554895639</v>
      </c>
      <c r="CM191" s="114">
        <v>7534.7269399395764</v>
      </c>
      <c r="CN191" s="114">
        <v>10209.571270726479</v>
      </c>
      <c r="CO191" s="114">
        <v>9714.8510551949166</v>
      </c>
      <c r="CP191" s="114">
        <v>4497.8882226282049</v>
      </c>
      <c r="CQ191" s="114">
        <v>8810.8441757709497</v>
      </c>
      <c r="CR191" s="114">
        <v>12217.940385804577</v>
      </c>
      <c r="CS191" s="114">
        <v>10500.565344726221</v>
      </c>
      <c r="CT191" s="114">
        <v>15512.430709202366</v>
      </c>
      <c r="CU191" s="114">
        <v>12823.747951947698</v>
      </c>
      <c r="CV191" s="114">
        <v>11400.721948530634</v>
      </c>
      <c r="CW191" s="114">
        <v>12847.007162040847</v>
      </c>
      <c r="CX191" s="114">
        <v>9334.518145642618</v>
      </c>
      <c r="CY191" s="114">
        <v>12009.485652901923</v>
      </c>
      <c r="CZ191" s="114">
        <v>16723.461706884962</v>
      </c>
      <c r="DA191" s="114">
        <v>11233.000990782171</v>
      </c>
      <c r="DB191" s="114">
        <v>11035.117473859871</v>
      </c>
      <c r="DC191" s="114">
        <v>9585.6953706374134</v>
      </c>
      <c r="DD191" s="114">
        <v>9576.4107145256003</v>
      </c>
      <c r="DE191" s="114">
        <v>9236.8806568084019</v>
      </c>
      <c r="DF191" s="114">
        <v>17774.337205870444</v>
      </c>
      <c r="DG191" s="114">
        <v>16401.969022317262</v>
      </c>
      <c r="DH191" s="114">
        <v>14162.236591967718</v>
      </c>
      <c r="DI191" s="114">
        <v>15614.523283447508</v>
      </c>
      <c r="DJ191" s="114">
        <v>11072.286309859559</v>
      </c>
      <c r="DK191" s="114">
        <v>10841.043393877118</v>
      </c>
      <c r="DL191" s="114">
        <v>18402.694048869424</v>
      </c>
      <c r="DM191" s="114">
        <v>18414.59312386387</v>
      </c>
      <c r="DN191" s="114">
        <v>2511.1766642463358</v>
      </c>
      <c r="DO191" s="114">
        <v>10420.596851877721</v>
      </c>
      <c r="DP191" s="114">
        <v>9764.8632275171967</v>
      </c>
      <c r="DQ191" s="114">
        <v>9853.9441086562329</v>
      </c>
      <c r="DR191" s="114">
        <v>10472.891357621045</v>
      </c>
      <c r="DS191" s="114">
        <v>9607.821461115007</v>
      </c>
      <c r="DT191" s="114">
        <v>17035.413556025265</v>
      </c>
      <c r="DU191" s="114">
        <v>13319.425577413342</v>
      </c>
      <c r="DV191" s="114">
        <v>15482.780879448828</v>
      </c>
      <c r="DW191" s="114">
        <v>12743.994419240296</v>
      </c>
      <c r="DX191" s="114">
        <v>8933.1024004589872</v>
      </c>
      <c r="DY191" s="114">
        <v>10497.554058803689</v>
      </c>
      <c r="DZ191" s="114">
        <v>10829.863691298606</v>
      </c>
      <c r="EA191" s="114">
        <v>4059.3372259524863</v>
      </c>
      <c r="EB191" s="114">
        <v>11804.769126839066</v>
      </c>
      <c r="EC191" s="114">
        <v>12544.765149629668</v>
      </c>
      <c r="ED191" s="114">
        <v>9583.0887731959938</v>
      </c>
      <c r="EE191" s="114">
        <v>10603.434565607131</v>
      </c>
      <c r="EF191" s="114">
        <v>8592.9238139951613</v>
      </c>
      <c r="EG191" s="114">
        <v>13619.935167707485</v>
      </c>
      <c r="EH191" s="114">
        <v>13435.183792305203</v>
      </c>
      <c r="EI191" s="114">
        <v>12421.810441423435</v>
      </c>
      <c r="EJ191" s="114">
        <v>4853.2736702374204</v>
      </c>
      <c r="EK191" s="114">
        <v>9197.1198315415586</v>
      </c>
      <c r="EL191" s="114">
        <v>6723.46171720447</v>
      </c>
      <c r="EM191" s="114">
        <v>11756.835919621293</v>
      </c>
      <c r="EN191" s="114">
        <v>9645.7470132378985</v>
      </c>
      <c r="EO191" s="114">
        <v>9144.2572761668453</v>
      </c>
      <c r="EP191" s="114">
        <v>13340.992414817234</v>
      </c>
      <c r="EQ191" s="114">
        <v>10589.296110881363</v>
      </c>
      <c r="ER191" s="114">
        <v>9769.0976887678517</v>
      </c>
      <c r="ES191" s="114">
        <v>15129.140424426745</v>
      </c>
      <c r="ET191" s="114">
        <v>5827.0476632173677</v>
      </c>
      <c r="EU191" s="114">
        <v>6177.3851858570733</v>
      </c>
      <c r="EV191" s="114">
        <v>6184.3493238429182</v>
      </c>
      <c r="EW191" s="114">
        <v>10036.476293498819</v>
      </c>
      <c r="EX191" s="114">
        <v>13124.074054295523</v>
      </c>
      <c r="EY191" s="114">
        <v>13315.430517470719</v>
      </c>
      <c r="EZ191" s="114">
        <v>10095.738500434118</v>
      </c>
      <c r="FA191" s="114">
        <v>10331.9496066429</v>
      </c>
      <c r="FB191" s="114">
        <v>10853.414174601767</v>
      </c>
      <c r="FC191" s="114">
        <v>14120.976115578687</v>
      </c>
      <c r="FD191" s="114">
        <v>9858.5460225668648</v>
      </c>
      <c r="FE191" s="114">
        <v>9918.5460094930513</v>
      </c>
      <c r="FF191" s="114">
        <v>15648.263471482267</v>
      </c>
      <c r="FG191" s="114">
        <v>16646.636393924473</v>
      </c>
      <c r="FH191" s="114">
        <v>9636.3366475025923</v>
      </c>
      <c r="FI191" s="114">
        <v>14653.824647944044</v>
      </c>
      <c r="FJ191" s="114">
        <v>9391.0506993638592</v>
      </c>
      <c r="FK191" s="114">
        <v>9653.9940388256946</v>
      </c>
      <c r="FL191" s="114">
        <v>15075.776086195385</v>
      </c>
      <c r="FM191" s="114">
        <v>13704.945615782726</v>
      </c>
      <c r="FN191" s="114">
        <v>7202.2113543417781</v>
      </c>
      <c r="FO191" s="114">
        <v>8890.7650359181298</v>
      </c>
      <c r="FP191" s="114">
        <v>9524.8586020753792</v>
      </c>
      <c r="FQ191" s="114">
        <v>12064.007939299914</v>
      </c>
      <c r="FR191" s="114">
        <v>10906.137235658594</v>
      </c>
      <c r="FS191" s="114">
        <v>11936.695052721359</v>
      </c>
      <c r="FT191" s="114">
        <v>16207.18477905448</v>
      </c>
      <c r="FU191" s="114">
        <v>13343.419978190006</v>
      </c>
      <c r="FV191" s="114">
        <v>12952.800321103454</v>
      </c>
      <c r="FW191" s="114">
        <v>12255.55438191939</v>
      </c>
      <c r="FX191" s="114">
        <v>6296.7531496859147</v>
      </c>
      <c r="FY191" s="114">
        <v>10519.070590159439</v>
      </c>
      <c r="FZ191" s="114">
        <v>11295.079786668954</v>
      </c>
      <c r="GA191" s="114">
        <v>11991.192658620736</v>
      </c>
      <c r="GB191" s="114">
        <v>15123.666186530019</v>
      </c>
      <c r="GC191" s="114">
        <v>10138.408077866998</v>
      </c>
      <c r="GD191" s="114">
        <v>13480.122252589124</v>
      </c>
      <c r="GE191" s="114">
        <v>8770.5579953416454</v>
      </c>
      <c r="GF191" s="114" t="s">
        <v>237</v>
      </c>
      <c r="GG191" s="114">
        <v>3935.7462546097222</v>
      </c>
      <c r="GH191" s="114">
        <v>4169.6072038102739</v>
      </c>
      <c r="GI191" s="114">
        <v>3693.4588950232283</v>
      </c>
      <c r="GJ191" s="114">
        <v>9994.8344312542722</v>
      </c>
      <c r="GK191" s="114">
        <v>11613.758782616665</v>
      </c>
      <c r="GL191" s="114">
        <v>5864.5292239825467</v>
      </c>
      <c r="GM191" s="114">
        <v>12336.677028807795</v>
      </c>
      <c r="GN191" s="114">
        <v>14213.382449779674</v>
      </c>
      <c r="GO191" s="114">
        <v>16058.709146101564</v>
      </c>
      <c r="GP191" s="114">
        <v>16446.322173391807</v>
      </c>
      <c r="GQ191" s="114">
        <v>13136.144126534688</v>
      </c>
      <c r="GR191" s="114">
        <v>12311.375423189385</v>
      </c>
      <c r="GS191" s="114">
        <v>9522.5413483293105</v>
      </c>
      <c r="GT191" s="115">
        <v>16673.024946916343</v>
      </c>
    </row>
    <row r="192" spans="2:202" x14ac:dyDescent="0.6">
      <c r="B192" s="106" t="s">
        <v>176</v>
      </c>
      <c r="C192" s="63" t="s">
        <v>529</v>
      </c>
      <c r="D192" s="113">
        <v>10861.15540998237</v>
      </c>
      <c r="E192" s="114">
        <v>6496.9209696937869</v>
      </c>
      <c r="F192" s="114">
        <v>6057.2919938381156</v>
      </c>
      <c r="G192" s="114">
        <v>10385.025898710503</v>
      </c>
      <c r="H192" s="114">
        <v>2871.3897692998312</v>
      </c>
      <c r="I192" s="114">
        <v>8681.928776540266</v>
      </c>
      <c r="J192" s="114">
        <v>9079.6987836099015</v>
      </c>
      <c r="K192" s="114">
        <v>16006.318477968565</v>
      </c>
      <c r="L192" s="114">
        <v>6791.3598262155492</v>
      </c>
      <c r="M192" s="114">
        <v>9355.8040776161979</v>
      </c>
      <c r="N192" s="114">
        <v>1766.6215967701451</v>
      </c>
      <c r="O192" s="114">
        <v>10624.518925759732</v>
      </c>
      <c r="P192" s="114">
        <v>12699.489889484608</v>
      </c>
      <c r="Q192" s="114">
        <v>3392.9944384058917</v>
      </c>
      <c r="R192" s="114">
        <v>7132.4601820552352</v>
      </c>
      <c r="S192" s="114">
        <v>5893.2807701546644</v>
      </c>
      <c r="T192" s="114">
        <v>2954.1074295423555</v>
      </c>
      <c r="U192" s="114">
        <v>8413.28010491022</v>
      </c>
      <c r="V192" s="114">
        <v>12260.860382884652</v>
      </c>
      <c r="W192" s="114">
        <v>6357.7499196825293</v>
      </c>
      <c r="X192" s="114">
        <v>7193.8431758100278</v>
      </c>
      <c r="Y192" s="114">
        <v>12523.76130694038</v>
      </c>
      <c r="Z192" s="114">
        <v>7685.9535038067716</v>
      </c>
      <c r="AA192" s="114">
        <v>7759.0442207048736</v>
      </c>
      <c r="AB192" s="114">
        <v>14902.370702866865</v>
      </c>
      <c r="AC192" s="114">
        <v>7592.2626182768663</v>
      </c>
      <c r="AD192" s="114">
        <v>7677.9114982897136</v>
      </c>
      <c r="AE192" s="114">
        <v>11346.366268847883</v>
      </c>
      <c r="AF192" s="114">
        <v>5640.1534699224067</v>
      </c>
      <c r="AG192" s="114">
        <v>14226.150271048258</v>
      </c>
      <c r="AH192" s="114">
        <v>9184.1391142415614</v>
      </c>
      <c r="AI192" s="114">
        <v>9362.4892109331777</v>
      </c>
      <c r="AJ192" s="114">
        <v>554.43182133224332</v>
      </c>
      <c r="AK192" s="114">
        <v>519.5997963653183</v>
      </c>
      <c r="AL192" s="114">
        <v>9898.9972095759786</v>
      </c>
      <c r="AM192" s="114">
        <v>9016.7694203681476</v>
      </c>
      <c r="AN192" s="114">
        <v>8231.495482965207</v>
      </c>
      <c r="AO192" s="114">
        <v>11859.658947274673</v>
      </c>
      <c r="AP192" s="114">
        <v>11030.538228467558</v>
      </c>
      <c r="AQ192" s="114">
        <v>4044.4708723786093</v>
      </c>
      <c r="AR192" s="114">
        <v>13111.633450949286</v>
      </c>
      <c r="AS192" s="114">
        <v>10264.006451037889</v>
      </c>
      <c r="AT192" s="114">
        <v>10230.50590853908</v>
      </c>
      <c r="AU192" s="114">
        <v>3602.8964294649836</v>
      </c>
      <c r="AV192" s="114">
        <v>7938.2941699934918</v>
      </c>
      <c r="AW192" s="114">
        <v>6896.9891396930425</v>
      </c>
      <c r="AX192" s="114">
        <v>2105.9360770568728</v>
      </c>
      <c r="AY192" s="114">
        <v>8782.5387245737329</v>
      </c>
      <c r="AZ192" s="114">
        <v>6560.0461182757008</v>
      </c>
      <c r="BA192" s="114">
        <v>6186.8605006166526</v>
      </c>
      <c r="BB192" s="114">
        <v>11310.791639717176</v>
      </c>
      <c r="BC192" s="114">
        <v>3093.5866909848664</v>
      </c>
      <c r="BD192" s="114">
        <v>2527.6497691112841</v>
      </c>
      <c r="BE192" s="114">
        <v>10241.001630923456</v>
      </c>
      <c r="BF192" s="114">
        <v>4564.899633142013</v>
      </c>
      <c r="BG192" s="114">
        <v>9017.7429083937513</v>
      </c>
      <c r="BH192" s="114">
        <v>3373.2393065403658</v>
      </c>
      <c r="BI192" s="114">
        <v>9125.9722908153235</v>
      </c>
      <c r="BJ192" s="114">
        <v>10707.774779788546</v>
      </c>
      <c r="BK192" s="114">
        <v>6648.5159552112291</v>
      </c>
      <c r="BL192" s="114">
        <v>13085.818892456095</v>
      </c>
      <c r="BM192" s="114">
        <v>11182.163424214024</v>
      </c>
      <c r="BN192" s="114">
        <v>6623.9248401877649</v>
      </c>
      <c r="BO192" s="114">
        <v>5841.6467087738765</v>
      </c>
      <c r="BP192" s="114">
        <v>9422.3280328759665</v>
      </c>
      <c r="BQ192" s="114">
        <v>6334.9351775237437</v>
      </c>
      <c r="BR192" s="114">
        <v>8981.3264424386452</v>
      </c>
      <c r="BS192" s="114">
        <v>6386.296293141585</v>
      </c>
      <c r="BT192" s="114">
        <v>6488.6489006765087</v>
      </c>
      <c r="BU192" s="114">
        <v>6202.6765127726567</v>
      </c>
      <c r="BV192" s="114">
        <v>8268.9284801424183</v>
      </c>
      <c r="BW192" s="114">
        <v>7934.0495727478892</v>
      </c>
      <c r="BX192" s="114">
        <v>3404.18093627082</v>
      </c>
      <c r="BY192" s="114">
        <v>3321.029999897758</v>
      </c>
      <c r="BZ192" s="114">
        <v>6865.1946939511663</v>
      </c>
      <c r="CA192" s="114">
        <v>6545.6843029377251</v>
      </c>
      <c r="CB192" s="114">
        <v>4118.903678828874</v>
      </c>
      <c r="CC192" s="114">
        <v>2487.0585336726626</v>
      </c>
      <c r="CD192" s="114">
        <v>3227.1699719497592</v>
      </c>
      <c r="CE192" s="114">
        <v>7020.4024015685236</v>
      </c>
      <c r="CF192" s="114">
        <v>4219.2942203582434</v>
      </c>
      <c r="CG192" s="114">
        <v>12538.56524035198</v>
      </c>
      <c r="CH192" s="114">
        <v>11776.883545680173</v>
      </c>
      <c r="CI192" s="114">
        <v>16164.994913104198</v>
      </c>
      <c r="CJ192" s="114">
        <v>9871.7783243364993</v>
      </c>
      <c r="CK192" s="114">
        <v>9647.9950941440748</v>
      </c>
      <c r="CL192" s="114">
        <v>5125.4982404468847</v>
      </c>
      <c r="CM192" s="114">
        <v>3598.9846684003196</v>
      </c>
      <c r="CN192" s="114">
        <v>6896.0555046316604</v>
      </c>
      <c r="CO192" s="114">
        <v>6464.2605100000892</v>
      </c>
      <c r="CP192" s="114">
        <v>2536.7915360345278</v>
      </c>
      <c r="CQ192" s="114">
        <v>10846.882518508603</v>
      </c>
      <c r="CR192" s="114">
        <v>9204.9887346410833</v>
      </c>
      <c r="CS192" s="114">
        <v>9265.1520359767146</v>
      </c>
      <c r="CT192" s="114">
        <v>11805.92867701825</v>
      </c>
      <c r="CU192" s="114">
        <v>10205.948001700133</v>
      </c>
      <c r="CV192" s="114">
        <v>10230.67974063355</v>
      </c>
      <c r="CW192" s="114">
        <v>13521.98669125014</v>
      </c>
      <c r="CX192" s="114">
        <v>6779.2791880427794</v>
      </c>
      <c r="CY192" s="114">
        <v>9039.9521094218253</v>
      </c>
      <c r="CZ192" s="114">
        <v>12965.337138432002</v>
      </c>
      <c r="DA192" s="114">
        <v>7343.7107246080204</v>
      </c>
      <c r="DB192" s="114">
        <v>7503.6028959466976</v>
      </c>
      <c r="DC192" s="114">
        <v>6390.3949257398899</v>
      </c>
      <c r="DD192" s="114">
        <v>6964.5571105495119</v>
      </c>
      <c r="DE192" s="114">
        <v>6066.2430477152147</v>
      </c>
      <c r="DF192" s="114">
        <v>13957.363006527372</v>
      </c>
      <c r="DG192" s="114">
        <v>12482.586482178764</v>
      </c>
      <c r="DH192" s="114">
        <v>15122.096692891682</v>
      </c>
      <c r="DI192" s="114">
        <v>14033.561066839056</v>
      </c>
      <c r="DJ192" s="114">
        <v>7139.0514236723575</v>
      </c>
      <c r="DK192" s="114">
        <v>7404.7350216690575</v>
      </c>
      <c r="DL192" s="114">
        <v>14894.454139568697</v>
      </c>
      <c r="DM192" s="114">
        <v>14915.089652611174</v>
      </c>
      <c r="DN192" s="114">
        <v>3377.0832795676888</v>
      </c>
      <c r="DO192" s="114">
        <v>7647.6471852153254</v>
      </c>
      <c r="DP192" s="114">
        <v>6429.4472847923116</v>
      </c>
      <c r="DQ192" s="114">
        <v>10159.014175326942</v>
      </c>
      <c r="DR192" s="114">
        <v>7328.1906334083415</v>
      </c>
      <c r="DS192" s="114">
        <v>5837.7787879453517</v>
      </c>
      <c r="DT192" s="114">
        <v>13152.404076786966</v>
      </c>
      <c r="DU192" s="114">
        <v>13578.858494475311</v>
      </c>
      <c r="DV192" s="114">
        <v>11688.743138532303</v>
      </c>
      <c r="DW192" s="114">
        <v>12137.693324102795</v>
      </c>
      <c r="DX192" s="114">
        <v>5845.4848984577693</v>
      </c>
      <c r="DY192" s="114">
        <v>14194.514819214211</v>
      </c>
      <c r="DZ192" s="114">
        <v>14427.900382028965</v>
      </c>
      <c r="EA192" s="114">
        <v>3401.6238850338577</v>
      </c>
      <c r="EB192" s="114">
        <v>7882.6627509508835</v>
      </c>
      <c r="EC192" s="114">
        <v>8623.8014431740012</v>
      </c>
      <c r="ED192" s="114">
        <v>10927.867815794851</v>
      </c>
      <c r="EE192" s="114">
        <v>7490.7376475848387</v>
      </c>
      <c r="EF192" s="114">
        <v>5912.4693053655092</v>
      </c>
      <c r="EG192" s="114">
        <v>11356.430794369639</v>
      </c>
      <c r="EH192" s="114">
        <v>11685.000810907179</v>
      </c>
      <c r="EI192" s="114">
        <v>11110.713540518887</v>
      </c>
      <c r="EJ192" s="114">
        <v>3564.0991377189544</v>
      </c>
      <c r="EK192" s="114">
        <v>7519.0018253903399</v>
      </c>
      <c r="EL192" s="114">
        <v>5869.4961069115116</v>
      </c>
      <c r="EM192" s="114">
        <v>13694.366921035935</v>
      </c>
      <c r="EN192" s="114">
        <v>6859.1869537166649</v>
      </c>
      <c r="EO192" s="114">
        <v>5438.9596634111349</v>
      </c>
      <c r="EP192" s="114">
        <v>10772.791166687743</v>
      </c>
      <c r="EQ192" s="114">
        <v>7660.8267616468293</v>
      </c>
      <c r="ER192" s="114">
        <v>7510.2646075796347</v>
      </c>
      <c r="ES192" s="114">
        <v>11303.351568726624</v>
      </c>
      <c r="ET192" s="114">
        <v>2843.6603105716235</v>
      </c>
      <c r="EU192" s="114">
        <v>3241.5664473101724</v>
      </c>
      <c r="EV192" s="114">
        <v>3317.6515443557432</v>
      </c>
      <c r="EW192" s="114">
        <v>6782.9684799961187</v>
      </c>
      <c r="EX192" s="114">
        <v>9192.3864719348621</v>
      </c>
      <c r="EY192" s="114">
        <v>10517.724245545647</v>
      </c>
      <c r="EZ192" s="114">
        <v>6185.5314335457615</v>
      </c>
      <c r="FA192" s="114">
        <v>7274.6111490761614</v>
      </c>
      <c r="FB192" s="114">
        <v>6964.6305574919852</v>
      </c>
      <c r="FC192" s="114">
        <v>15332.498089280069</v>
      </c>
      <c r="FD192" s="114">
        <v>6846.9977465212805</v>
      </c>
      <c r="FE192" s="114">
        <v>6782.9811793134322</v>
      </c>
      <c r="FF192" s="114">
        <v>12266.711998172004</v>
      </c>
      <c r="FG192" s="114">
        <v>12796.974847536812</v>
      </c>
      <c r="FH192" s="114">
        <v>11091.51143115591</v>
      </c>
      <c r="FI192" s="114">
        <v>10952.566262428756</v>
      </c>
      <c r="FJ192" s="114">
        <v>5795.3384905934527</v>
      </c>
      <c r="FK192" s="114">
        <v>6166.1151345649669</v>
      </c>
      <c r="FL192" s="114">
        <v>14082.387961732225</v>
      </c>
      <c r="FM192" s="114">
        <v>10221.982635233779</v>
      </c>
      <c r="FN192" s="114">
        <v>4345.0383419265963</v>
      </c>
      <c r="FO192" s="114">
        <v>6324.0942028148575</v>
      </c>
      <c r="FP192" s="114">
        <v>6277.1919941856095</v>
      </c>
      <c r="FQ192" s="114">
        <v>9115.8966041598396</v>
      </c>
      <c r="FR192" s="114">
        <v>12529.40536043527</v>
      </c>
      <c r="FS192" s="114">
        <v>10435.448097292583</v>
      </c>
      <c r="FT192" s="114">
        <v>12456.449532157476</v>
      </c>
      <c r="FU192" s="114">
        <v>13963.918956024327</v>
      </c>
      <c r="FV192" s="114">
        <v>15935.937865546081</v>
      </c>
      <c r="FW192" s="114">
        <v>8320.9044155885895</v>
      </c>
      <c r="FX192" s="114">
        <v>3560.6116713206779</v>
      </c>
      <c r="FY192" s="114">
        <v>7030.5889141557464</v>
      </c>
      <c r="FZ192" s="114">
        <v>8403.5732861866145</v>
      </c>
      <c r="GA192" s="114">
        <v>9970.946826418558</v>
      </c>
      <c r="GB192" s="114">
        <v>11359.007946044945</v>
      </c>
      <c r="GC192" s="114">
        <v>7507.7671303119714</v>
      </c>
      <c r="GD192" s="114">
        <v>11026.919949552746</v>
      </c>
      <c r="GE192" s="114">
        <v>5580.5161058886997</v>
      </c>
      <c r="GF192" s="114">
        <v>3935.7462546097222</v>
      </c>
      <c r="GG192" s="114" t="s">
        <v>237</v>
      </c>
      <c r="GH192" s="114">
        <v>306.10849421147475</v>
      </c>
      <c r="GI192" s="114">
        <v>326.44358230637147</v>
      </c>
      <c r="GJ192" s="114">
        <v>8561.6550590253901</v>
      </c>
      <c r="GK192" s="114">
        <v>10176.214146145901</v>
      </c>
      <c r="GL192" s="114">
        <v>3460.2849211032735</v>
      </c>
      <c r="GM192" s="114">
        <v>13147.186640140677</v>
      </c>
      <c r="GN192" s="114">
        <v>11111.850262917429</v>
      </c>
      <c r="GO192" s="114">
        <v>12123.099184588062</v>
      </c>
      <c r="GP192" s="114">
        <v>12510.725791409111</v>
      </c>
      <c r="GQ192" s="114">
        <v>14284.195269611842</v>
      </c>
      <c r="GR192" s="114">
        <v>16222.285125993909</v>
      </c>
      <c r="GS192" s="114">
        <v>6323.743135281271</v>
      </c>
      <c r="GT192" s="115">
        <v>12838.33142568567</v>
      </c>
    </row>
    <row r="193" spans="2:202" x14ac:dyDescent="0.6">
      <c r="B193" s="106" t="s">
        <v>176</v>
      </c>
      <c r="C193" s="63" t="s">
        <v>530</v>
      </c>
      <c r="D193" s="113">
        <v>10577.717016911007</v>
      </c>
      <c r="E193" s="114">
        <v>6201.1863673074122</v>
      </c>
      <c r="F193" s="114">
        <v>5755.3023697325571</v>
      </c>
      <c r="G193" s="114">
        <v>10172.267158907651</v>
      </c>
      <c r="H193" s="114">
        <v>2939.9040842272957</v>
      </c>
      <c r="I193" s="114">
        <v>8818.3810174622231</v>
      </c>
      <c r="J193" s="114">
        <v>8777.7232840433317</v>
      </c>
      <c r="K193" s="114">
        <v>16257.120252546456</v>
      </c>
      <c r="L193" s="114">
        <v>6485.5694623307036</v>
      </c>
      <c r="M193" s="114">
        <v>9057.0716387778557</v>
      </c>
      <c r="N193" s="114">
        <v>2005.4149492073579</v>
      </c>
      <c r="O193" s="114">
        <v>10319.188886949631</v>
      </c>
      <c r="P193" s="114">
        <v>12452.144198771161</v>
      </c>
      <c r="Q193" s="114">
        <v>3450.6408459090899</v>
      </c>
      <c r="R193" s="114">
        <v>6833.0895314686632</v>
      </c>
      <c r="S193" s="114">
        <v>5587.2270793515854</v>
      </c>
      <c r="T193" s="114">
        <v>3242.561237122613</v>
      </c>
      <c r="U193" s="114">
        <v>8186.1789665559836</v>
      </c>
      <c r="V193" s="114">
        <v>12014.295741524886</v>
      </c>
      <c r="W193" s="114">
        <v>6518.6477198952998</v>
      </c>
      <c r="X193" s="114">
        <v>6887.781540881123</v>
      </c>
      <c r="Y193" s="114">
        <v>12330.104554183137</v>
      </c>
      <c r="Z193" s="114">
        <v>7746.5799845524707</v>
      </c>
      <c r="AA193" s="114">
        <v>7801.7087225467112</v>
      </c>
      <c r="AB193" s="114">
        <v>14766.435927452665</v>
      </c>
      <c r="AC193" s="114">
        <v>7286.1578999249223</v>
      </c>
      <c r="AD193" s="114">
        <v>7443.1201485913689</v>
      </c>
      <c r="AE193" s="114">
        <v>11084.835805685776</v>
      </c>
      <c r="AF193" s="114">
        <v>5459.5299078332673</v>
      </c>
      <c r="AG193" s="114">
        <v>14027.837886941908</v>
      </c>
      <c r="AH193" s="114">
        <v>8945.8125495829918</v>
      </c>
      <c r="AI193" s="114">
        <v>9121.8932226769193</v>
      </c>
      <c r="AJ193" s="114">
        <v>693.73247568266311</v>
      </c>
      <c r="AK193" s="114">
        <v>476.45492800298786</v>
      </c>
      <c r="AL193" s="114">
        <v>9642.2775219751493</v>
      </c>
      <c r="AM193" s="114">
        <v>8750.3415692709568</v>
      </c>
      <c r="AN193" s="114">
        <v>8406.6163754595273</v>
      </c>
      <c r="AO193" s="114">
        <v>11733.602263181376</v>
      </c>
      <c r="AP193" s="114">
        <v>10877.723459254888</v>
      </c>
      <c r="AQ193" s="114">
        <v>4237.670730214506</v>
      </c>
      <c r="AR193" s="114">
        <v>12841.689403753764</v>
      </c>
      <c r="AS193" s="114">
        <v>10034.461283382627</v>
      </c>
      <c r="AT193" s="114">
        <v>10000.785596180369</v>
      </c>
      <c r="AU193" s="114">
        <v>3861.1260515043969</v>
      </c>
      <c r="AV193" s="114">
        <v>7730.6403802128807</v>
      </c>
      <c r="AW193" s="114">
        <v>6590.8835198448178</v>
      </c>
      <c r="AX193" s="114">
        <v>2379.5180205263082</v>
      </c>
      <c r="AY193" s="114">
        <v>8476.4406095823069</v>
      </c>
      <c r="AZ193" s="114">
        <v>6254.6289604334625</v>
      </c>
      <c r="BA193" s="114">
        <v>5884.6006152461223</v>
      </c>
      <c r="BB193" s="114">
        <v>11011.069965724977</v>
      </c>
      <c r="BC193" s="114">
        <v>3162.7471291371307</v>
      </c>
      <c r="BD193" s="114">
        <v>2678.9614013453211</v>
      </c>
      <c r="BE193" s="114">
        <v>10011.501872391505</v>
      </c>
      <c r="BF193" s="114">
        <v>4782.972227324738</v>
      </c>
      <c r="BG193" s="114">
        <v>8713.0578606189774</v>
      </c>
      <c r="BH193" s="114">
        <v>3658.3511152173587</v>
      </c>
      <c r="BI193" s="114">
        <v>8891.923478073275</v>
      </c>
      <c r="BJ193" s="114">
        <v>10407.722059793916</v>
      </c>
      <c r="BK193" s="114">
        <v>6355.2670950684178</v>
      </c>
      <c r="BL193" s="114">
        <v>12885.258992131643</v>
      </c>
      <c r="BM193" s="114">
        <v>10887.745946251873</v>
      </c>
      <c r="BN193" s="114">
        <v>6332.4354087978554</v>
      </c>
      <c r="BO193" s="114">
        <v>5535.7110598300396</v>
      </c>
      <c r="BP193" s="114">
        <v>9194.9542428141358</v>
      </c>
      <c r="BQ193" s="114">
        <v>6137.5074783660102</v>
      </c>
      <c r="BR193" s="114">
        <v>8680.2943935275689</v>
      </c>
      <c r="BS193" s="114">
        <v>6081.8215633335358</v>
      </c>
      <c r="BT193" s="114">
        <v>6182.576826850046</v>
      </c>
      <c r="BU193" s="114">
        <v>5896.7597692285017</v>
      </c>
      <c r="BV193" s="114">
        <v>8050.5830225632935</v>
      </c>
      <c r="BW193" s="114">
        <v>7628.6075039590542</v>
      </c>
      <c r="BX193" s="114">
        <v>3487.9415452084918</v>
      </c>
      <c r="BY193" s="114">
        <v>3611.0818068906487</v>
      </c>
      <c r="BZ193" s="114">
        <v>6672.8185242259487</v>
      </c>
      <c r="CA193" s="114">
        <v>6351.9010886015376</v>
      </c>
      <c r="CB193" s="114">
        <v>4185.9491545018163</v>
      </c>
      <c r="CC193" s="114">
        <v>2666.4221542774335</v>
      </c>
      <c r="CD193" s="114">
        <v>3506.23700433151</v>
      </c>
      <c r="CE193" s="114">
        <v>6714.6906390219656</v>
      </c>
      <c r="CF193" s="114">
        <v>3929.1549901485328</v>
      </c>
      <c r="CG193" s="114">
        <v>12247.538182203602</v>
      </c>
      <c r="CH193" s="114">
        <v>11501.536152822091</v>
      </c>
      <c r="CI193" s="114">
        <v>15974.261348672035</v>
      </c>
      <c r="CJ193" s="114">
        <v>9570.8980165629837</v>
      </c>
      <c r="CK193" s="114">
        <v>9342.9319066743337</v>
      </c>
      <c r="CL193" s="114">
        <v>4819.5727063823442</v>
      </c>
      <c r="CM193" s="114">
        <v>3374.4025562870324</v>
      </c>
      <c r="CN193" s="114">
        <v>6591.3833269922952</v>
      </c>
      <c r="CO193" s="114">
        <v>6158.5303107406007</v>
      </c>
      <c r="CP193" s="114">
        <v>2757.2217652167319</v>
      </c>
      <c r="CQ193" s="114">
        <v>10789.49737702112</v>
      </c>
      <c r="CR193" s="114">
        <v>8899.0255156023995</v>
      </c>
      <c r="CS193" s="114">
        <v>9003.5418957817128</v>
      </c>
      <c r="CT193" s="114">
        <v>11527.968552989658</v>
      </c>
      <c r="CU193" s="114">
        <v>9900.8075873915404</v>
      </c>
      <c r="CV193" s="114">
        <v>9964.4805161829736</v>
      </c>
      <c r="CW193" s="114">
        <v>13315.313883756968</v>
      </c>
      <c r="CX193" s="114">
        <v>6482.0374300537796</v>
      </c>
      <c r="CY193" s="114">
        <v>8733.8533165847384</v>
      </c>
      <c r="CZ193" s="114">
        <v>12785.152729244985</v>
      </c>
      <c r="DA193" s="114">
        <v>7152.4309371292256</v>
      </c>
      <c r="DB193" s="114">
        <v>7206.1175023328642</v>
      </c>
      <c r="DC193" s="114">
        <v>6084.3406593539485</v>
      </c>
      <c r="DD193" s="114">
        <v>6665.2390092212872</v>
      </c>
      <c r="DE193" s="114">
        <v>5760.1400465172337</v>
      </c>
      <c r="DF193" s="114">
        <v>13696.529172694227</v>
      </c>
      <c r="DG193" s="114">
        <v>12238.029717213865</v>
      </c>
      <c r="DH193" s="114">
        <v>14904.462510563402</v>
      </c>
      <c r="DI193" s="114">
        <v>13732.273270944879</v>
      </c>
      <c r="DJ193" s="114">
        <v>6919.2111779263159</v>
      </c>
      <c r="DK193" s="114">
        <v>7103.5047116687601</v>
      </c>
      <c r="DL193" s="114">
        <v>14618.479060812393</v>
      </c>
      <c r="DM193" s="114">
        <v>14638.900840633505</v>
      </c>
      <c r="DN193" s="114">
        <v>3683.191265457654</v>
      </c>
      <c r="DO193" s="114">
        <v>7343.7294195586946</v>
      </c>
      <c r="DP193" s="114">
        <v>6124.6870874400356</v>
      </c>
      <c r="DQ193" s="114">
        <v>9974.2988992072442</v>
      </c>
      <c r="DR193" s="114">
        <v>7022.1943168403986</v>
      </c>
      <c r="DS193" s="114">
        <v>5554.9006825654078</v>
      </c>
      <c r="DT193" s="114">
        <v>12946.700144487691</v>
      </c>
      <c r="DU193" s="114">
        <v>13346.526572635908</v>
      </c>
      <c r="DV193" s="114">
        <v>11509.328006702061</v>
      </c>
      <c r="DW193" s="114">
        <v>11879.671638373757</v>
      </c>
      <c r="DX193" s="114">
        <v>5539.8634296109949</v>
      </c>
      <c r="DY193" s="114">
        <v>14484.892767952766</v>
      </c>
      <c r="DZ193" s="114">
        <v>14725.527249784152</v>
      </c>
      <c r="EA193" s="114">
        <v>3673.6549941703861</v>
      </c>
      <c r="EB193" s="114">
        <v>7637.3498521605989</v>
      </c>
      <c r="EC193" s="114">
        <v>8378.1051782780632</v>
      </c>
      <c r="ED193" s="114">
        <v>10808.912274107855</v>
      </c>
      <c r="EE193" s="114">
        <v>7184.6773989382154</v>
      </c>
      <c r="EF193" s="114">
        <v>5614.7738026625748</v>
      </c>
      <c r="EG193" s="114">
        <v>11053.539265112247</v>
      </c>
      <c r="EH193" s="114">
        <v>11390.784490093676</v>
      </c>
      <c r="EI193" s="114">
        <v>10832.795533744522</v>
      </c>
      <c r="EJ193" s="114">
        <v>3794.8681023768263</v>
      </c>
      <c r="EK193" s="114">
        <v>7633.1111316724882</v>
      </c>
      <c r="EL193" s="114">
        <v>6074.9491421181401</v>
      </c>
      <c r="EM193" s="114">
        <v>13584.077130744183</v>
      </c>
      <c r="EN193" s="114">
        <v>6556.3574383286905</v>
      </c>
      <c r="EO193" s="114">
        <v>5148.4865925487375</v>
      </c>
      <c r="EP193" s="114">
        <v>10467.516131156928</v>
      </c>
      <c r="EQ193" s="114">
        <v>7355.204660989014</v>
      </c>
      <c r="ER193" s="114">
        <v>7219.1173168009436</v>
      </c>
      <c r="ES193" s="114">
        <v>11037.024056895634</v>
      </c>
      <c r="ET193" s="114">
        <v>2918.3394221538233</v>
      </c>
      <c r="EU193" s="114">
        <v>3308.1799067831162</v>
      </c>
      <c r="EV193" s="114">
        <v>3392.243762760439</v>
      </c>
      <c r="EW193" s="114">
        <v>6477.4491941695242</v>
      </c>
      <c r="EX193" s="114">
        <v>8972.4761667064558</v>
      </c>
      <c r="EY193" s="114">
        <v>10211.62009835794</v>
      </c>
      <c r="EZ193" s="114">
        <v>5986.9878721983014</v>
      </c>
      <c r="FA193" s="114">
        <v>6968.535785829933</v>
      </c>
      <c r="FB193" s="114">
        <v>6774.6814024572586</v>
      </c>
      <c r="FC193" s="114">
        <v>15127.383957578946</v>
      </c>
      <c r="FD193" s="114">
        <v>6541.2872332909246</v>
      </c>
      <c r="FE193" s="114">
        <v>6476.8749557484562</v>
      </c>
      <c r="FF193" s="114">
        <v>11972.43481385992</v>
      </c>
      <c r="FG193" s="114">
        <v>12600.694465682718</v>
      </c>
      <c r="FH193" s="114">
        <v>10979.26748109533</v>
      </c>
      <c r="FI193" s="114">
        <v>10672.223280117327</v>
      </c>
      <c r="FJ193" s="114">
        <v>5497.9940773053531</v>
      </c>
      <c r="FK193" s="114">
        <v>5864.7373993699402</v>
      </c>
      <c r="FL193" s="114">
        <v>13792.844345613383</v>
      </c>
      <c r="FM193" s="114">
        <v>9927.0551825379571</v>
      </c>
      <c r="FN193" s="114">
        <v>4390.8938983572916</v>
      </c>
      <c r="FO193" s="114">
        <v>6028.2141472447574</v>
      </c>
      <c r="FP193" s="114">
        <v>5971.347863547534</v>
      </c>
      <c r="FQ193" s="114">
        <v>8809.7887136648442</v>
      </c>
      <c r="FR193" s="114">
        <v>12410.01094569509</v>
      </c>
      <c r="FS193" s="114">
        <v>10155.038508466812</v>
      </c>
      <c r="FT193" s="114">
        <v>12184.057859506484</v>
      </c>
      <c r="FU193" s="114">
        <v>13746.66449742779</v>
      </c>
      <c r="FV193" s="114">
        <v>15902.096569515268</v>
      </c>
      <c r="FW193" s="114">
        <v>8097.2166528831585</v>
      </c>
      <c r="FX193" s="114">
        <v>3645.8051499969492</v>
      </c>
      <c r="FY193" s="114">
        <v>6730.5755914758811</v>
      </c>
      <c r="FZ193" s="114">
        <v>8097.7724414172799</v>
      </c>
      <c r="GA193" s="114">
        <v>9676.8750399333931</v>
      </c>
      <c r="GB193" s="114">
        <v>11085.398742205691</v>
      </c>
      <c r="GC193" s="114">
        <v>7206.6154483309792</v>
      </c>
      <c r="GD193" s="114">
        <v>10722.357684986533</v>
      </c>
      <c r="GE193" s="114">
        <v>5274.4474082406059</v>
      </c>
      <c r="GF193" s="114">
        <v>4169.6072038102739</v>
      </c>
      <c r="GG193" s="114">
        <v>306.10849421147475</v>
      </c>
      <c r="GH193" s="114" t="s">
        <v>237</v>
      </c>
      <c r="GI193" s="114">
        <v>632.53876508494432</v>
      </c>
      <c r="GJ193" s="114">
        <v>8680.9664841628801</v>
      </c>
      <c r="GK193" s="114">
        <v>9899.7173119324234</v>
      </c>
      <c r="GL193" s="114">
        <v>3591.8355162127245</v>
      </c>
      <c r="GM193" s="114">
        <v>12955.350124825747</v>
      </c>
      <c r="GN193" s="114">
        <v>10808.235012372275</v>
      </c>
      <c r="GO193" s="114">
        <v>11893.806042095741</v>
      </c>
      <c r="GP193" s="114">
        <v>12281.229727804308</v>
      </c>
      <c r="GQ193" s="114">
        <v>14096.694990845128</v>
      </c>
      <c r="GR193" s="114">
        <v>16476.136299081194</v>
      </c>
      <c r="GS193" s="114">
        <v>6017.6849238807717</v>
      </c>
      <c r="GT193" s="115">
        <v>12645.035850495258</v>
      </c>
    </row>
    <row r="194" spans="2:202" x14ac:dyDescent="0.6">
      <c r="B194" s="106" t="s">
        <v>176</v>
      </c>
      <c r="C194" s="63" t="s">
        <v>552</v>
      </c>
      <c r="D194" s="113">
        <v>11161.465742748445</v>
      </c>
      <c r="E194" s="114">
        <v>6813.9652762825554</v>
      </c>
      <c r="F194" s="114">
        <v>6380.2724399763019</v>
      </c>
      <c r="G194" s="114">
        <v>10614.450021830806</v>
      </c>
      <c r="H194" s="114">
        <v>2834.9551635842163</v>
      </c>
      <c r="I194" s="114">
        <v>8543.0021032778441</v>
      </c>
      <c r="J194" s="114">
        <v>9401.0842123865386</v>
      </c>
      <c r="K194" s="114">
        <v>15729.734474451863</v>
      </c>
      <c r="L194" s="114">
        <v>7117.2701523662736</v>
      </c>
      <c r="M194" s="114">
        <v>9673.5152017416822</v>
      </c>
      <c r="N194" s="114">
        <v>1540.9428762372047</v>
      </c>
      <c r="O194" s="114">
        <v>10949.792367255772</v>
      </c>
      <c r="P194" s="114">
        <v>12958.096952491267</v>
      </c>
      <c r="Q194" s="114">
        <v>3362.6086750406744</v>
      </c>
      <c r="R194" s="114">
        <v>7451.1720288462002</v>
      </c>
      <c r="S194" s="114">
        <v>6219.5678383206578</v>
      </c>
      <c r="T194" s="114">
        <v>2652.1774752591782</v>
      </c>
      <c r="U194" s="114">
        <v>8660.0867113270815</v>
      </c>
      <c r="V194" s="114">
        <v>12519.075290795648</v>
      </c>
      <c r="W194" s="114">
        <v>6197.5732667313596</v>
      </c>
      <c r="X194" s="114">
        <v>7520.2837890263036</v>
      </c>
      <c r="Y194" s="114">
        <v>12729.496942761911</v>
      </c>
      <c r="Z194" s="114">
        <v>7631.4396805415263</v>
      </c>
      <c r="AA194" s="114">
        <v>7723.6249719556135</v>
      </c>
      <c r="AB194" s="114">
        <v>15030.566163098491</v>
      </c>
      <c r="AC194" s="114">
        <v>7918.6549424364812</v>
      </c>
      <c r="AD194" s="114">
        <v>7933.4497434674895</v>
      </c>
      <c r="AE194" s="114">
        <v>11626.532281324218</v>
      </c>
      <c r="AF194" s="114">
        <v>5844.4743686968886</v>
      </c>
      <c r="AG194" s="114">
        <v>14426.740187023932</v>
      </c>
      <c r="AH194" s="114">
        <v>9441.7353179325</v>
      </c>
      <c r="AI194" s="114">
        <v>9622.2720377106707</v>
      </c>
      <c r="AJ194" s="114">
        <v>568.70009152235707</v>
      </c>
      <c r="AK194" s="114">
        <v>719.68155743395914</v>
      </c>
      <c r="AL194" s="114">
        <v>10175.130791751651</v>
      </c>
      <c r="AM194" s="114">
        <v>9303.5459835612546</v>
      </c>
      <c r="AN194" s="114">
        <v>8051.4265747789241</v>
      </c>
      <c r="AO194" s="114">
        <v>11986.127485129904</v>
      </c>
      <c r="AP194" s="114">
        <v>11187.814008728838</v>
      </c>
      <c r="AQ194" s="114">
        <v>3855.7810958150249</v>
      </c>
      <c r="AR194" s="114">
        <v>13399.594644373024</v>
      </c>
      <c r="AS194" s="114">
        <v>10511.297039778867</v>
      </c>
      <c r="AT194" s="114">
        <v>10478.017645550717</v>
      </c>
      <c r="AU194" s="114">
        <v>3337.9504299655428</v>
      </c>
      <c r="AV194" s="114">
        <v>8165.6885488462667</v>
      </c>
      <c r="AW194" s="114">
        <v>7223.4206842917574</v>
      </c>
      <c r="AX194" s="114">
        <v>1827.4653981962147</v>
      </c>
      <c r="AY194" s="114">
        <v>9108.9786060550414</v>
      </c>
      <c r="AZ194" s="114">
        <v>6885.4962314013992</v>
      </c>
      <c r="BA194" s="114">
        <v>6508.8040468816716</v>
      </c>
      <c r="BB194" s="114">
        <v>11631.13028202665</v>
      </c>
      <c r="BC194" s="114">
        <v>3053.7117067522586</v>
      </c>
      <c r="BD194" s="114">
        <v>2401.196208545748</v>
      </c>
      <c r="BE194" s="114">
        <v>10488.269539111157</v>
      </c>
      <c r="BF194" s="114">
        <v>4345.0817781605529</v>
      </c>
      <c r="BG194" s="114">
        <v>9343.0680145760271</v>
      </c>
      <c r="BH194" s="114">
        <v>3074.9522463647172</v>
      </c>
      <c r="BI194" s="114">
        <v>9379.1840997135714</v>
      </c>
      <c r="BJ194" s="114">
        <v>11028.5076776968</v>
      </c>
      <c r="BK194" s="114">
        <v>6960.8081188501319</v>
      </c>
      <c r="BL194" s="114">
        <v>13298.020982678183</v>
      </c>
      <c r="BM194" s="114">
        <v>11497.0584795738</v>
      </c>
      <c r="BN194" s="114">
        <v>6934.3738095353783</v>
      </c>
      <c r="BO194" s="114">
        <v>6168.027463896733</v>
      </c>
      <c r="BP194" s="114">
        <v>9668.2691429073257</v>
      </c>
      <c r="BQ194" s="114">
        <v>6554.6118330280142</v>
      </c>
      <c r="BR194" s="114">
        <v>9301.6555129469452</v>
      </c>
      <c r="BS194" s="114">
        <v>6710.6607446135622</v>
      </c>
      <c r="BT194" s="114">
        <v>6814.9668571818565</v>
      </c>
      <c r="BU194" s="114">
        <v>6528.7598242138865</v>
      </c>
      <c r="BV194" s="114">
        <v>8506.8836548321251</v>
      </c>
      <c r="BW194" s="114">
        <v>8260.0513231766417</v>
      </c>
      <c r="BX194" s="114">
        <v>3344.905145039791</v>
      </c>
      <c r="BY194" s="114">
        <v>3016.425399834834</v>
      </c>
      <c r="BZ194" s="114">
        <v>7078.7182518991967</v>
      </c>
      <c r="CA194" s="114">
        <v>6761.2537284324562</v>
      </c>
      <c r="CB194" s="114">
        <v>4072.3157390228985</v>
      </c>
      <c r="CC194" s="114">
        <v>2327.3206020309244</v>
      </c>
      <c r="CD194" s="114">
        <v>2936.9507404717624</v>
      </c>
      <c r="CE194" s="114">
        <v>7346.2091454851316</v>
      </c>
      <c r="CF194" s="114">
        <v>4529.4371686960903</v>
      </c>
      <c r="CG194" s="114">
        <v>12846.875756952042</v>
      </c>
      <c r="CH194" s="114">
        <v>12067.713016475333</v>
      </c>
      <c r="CI194" s="114">
        <v>16349.812953749808</v>
      </c>
      <c r="CJ194" s="114">
        <v>10191.851843336721</v>
      </c>
      <c r="CK194" s="114">
        <v>9972.9542484178546</v>
      </c>
      <c r="CL194" s="114">
        <v>5451.6019151678365</v>
      </c>
      <c r="CM194" s="114">
        <v>3852.227887506936</v>
      </c>
      <c r="CN194" s="114">
        <v>7221.4132130647922</v>
      </c>
      <c r="CO194" s="114">
        <v>6790.4991942659935</v>
      </c>
      <c r="CP194" s="114">
        <v>2325.3186629623478</v>
      </c>
      <c r="CQ194" s="114">
        <v>10901.830898644033</v>
      </c>
      <c r="CR194" s="114">
        <v>9531.381308788883</v>
      </c>
      <c r="CS194" s="114">
        <v>9542.4394508751193</v>
      </c>
      <c r="CT194" s="114">
        <v>12103.299984443856</v>
      </c>
      <c r="CU194" s="114">
        <v>10530.990851473638</v>
      </c>
      <c r="CV194" s="114">
        <v>10512.299833928877</v>
      </c>
      <c r="CW194" s="114">
        <v>13733.5975335691</v>
      </c>
      <c r="CX194" s="114">
        <v>7095.7676993965824</v>
      </c>
      <c r="CY194" s="114">
        <v>9366.3915622939003</v>
      </c>
      <c r="CZ194" s="114">
        <v>13155.583861168436</v>
      </c>
      <c r="DA194" s="114">
        <v>7555.2387179393336</v>
      </c>
      <c r="DB194" s="114">
        <v>7822.1583523210247</v>
      </c>
      <c r="DC194" s="114">
        <v>6716.8336375013369</v>
      </c>
      <c r="DD194" s="114">
        <v>7283.2366341413872</v>
      </c>
      <c r="DE194" s="114">
        <v>6392.6305601138556</v>
      </c>
      <c r="DF194" s="114">
        <v>14234.545325901692</v>
      </c>
      <c r="DG194" s="114">
        <v>12743.532528713804</v>
      </c>
      <c r="DH194" s="114">
        <v>15342.398903525689</v>
      </c>
      <c r="DI194" s="114">
        <v>14353.658626440845</v>
      </c>
      <c r="DJ194" s="114">
        <v>7380.0686777548372</v>
      </c>
      <c r="DK194" s="114">
        <v>7726.8964249531282</v>
      </c>
      <c r="DL194" s="114">
        <v>15187.629444937675</v>
      </c>
      <c r="DM194" s="114">
        <v>15208.487010834342</v>
      </c>
      <c r="DN194" s="114">
        <v>3050.6616820300073</v>
      </c>
      <c r="DO194" s="114">
        <v>7971.323884790344</v>
      </c>
      <c r="DP194" s="114">
        <v>6754.8923441959696</v>
      </c>
      <c r="DQ194" s="114">
        <v>10352.350709213875</v>
      </c>
      <c r="DR194" s="114">
        <v>7654.6038288102536</v>
      </c>
      <c r="DS194" s="114">
        <v>6142.7101476064609</v>
      </c>
      <c r="DT194" s="114">
        <v>13370.098278271409</v>
      </c>
      <c r="DU194" s="114">
        <v>13819.318548084042</v>
      </c>
      <c r="DV194" s="114">
        <v>11880.628744344518</v>
      </c>
      <c r="DW194" s="114">
        <v>12408.842159372827</v>
      </c>
      <c r="DX194" s="114">
        <v>6171.1949060880534</v>
      </c>
      <c r="DY194" s="114">
        <v>13882.396600077363</v>
      </c>
      <c r="DZ194" s="114">
        <v>14108.888197386326</v>
      </c>
      <c r="EA194" s="114">
        <v>3119.9689952702765</v>
      </c>
      <c r="EB194" s="114">
        <v>8148.7081844839213</v>
      </c>
      <c r="EC194" s="114">
        <v>8889.5475178187717</v>
      </c>
      <c r="ED194" s="114">
        <v>11048.784213614139</v>
      </c>
      <c r="EE194" s="114">
        <v>7817.1778564441256</v>
      </c>
      <c r="EF194" s="114">
        <v>6229.6146695312054</v>
      </c>
      <c r="EG194" s="114">
        <v>11678.719434886252</v>
      </c>
      <c r="EH194" s="114">
        <v>11997.203811536894</v>
      </c>
      <c r="EI194" s="114">
        <v>11404.766033769123</v>
      </c>
      <c r="EJ194" s="114">
        <v>3332.958915191331</v>
      </c>
      <c r="EK194" s="114">
        <v>7407.0902559163751</v>
      </c>
      <c r="EL194" s="114">
        <v>5660.6227503387381</v>
      </c>
      <c r="EM194" s="114">
        <v>13798.632777905956</v>
      </c>
      <c r="EN194" s="114">
        <v>7181.6937119128615</v>
      </c>
      <c r="EO194" s="114">
        <v>5751.3092885951555</v>
      </c>
      <c r="EP194" s="114">
        <v>11097.992138816746</v>
      </c>
      <c r="EQ194" s="114">
        <v>7986.512136021106</v>
      </c>
      <c r="ER194" s="114">
        <v>7820.0819858931973</v>
      </c>
      <c r="ES194" s="114">
        <v>11588.640651246402</v>
      </c>
      <c r="ET194" s="114">
        <v>2800.7614380683049</v>
      </c>
      <c r="EU194" s="114">
        <v>3202.8754652131074</v>
      </c>
      <c r="EV194" s="114">
        <v>3269.3778320961378</v>
      </c>
      <c r="EW194" s="114">
        <v>7109.0427207989778</v>
      </c>
      <c r="EX194" s="114">
        <v>9430.8106246933439</v>
      </c>
      <c r="EY194" s="114">
        <v>10844.112809876156</v>
      </c>
      <c r="EZ194" s="114">
        <v>6406.6344192475808</v>
      </c>
      <c r="FA194" s="114">
        <v>7600.9338401802952</v>
      </c>
      <c r="FB194" s="114">
        <v>7175.4899233609131</v>
      </c>
      <c r="FC194" s="114">
        <v>15537.633137769508</v>
      </c>
      <c r="FD194" s="114">
        <v>7172.8048666012946</v>
      </c>
      <c r="FE194" s="114">
        <v>7109.4113812191872</v>
      </c>
      <c r="FF194" s="114">
        <v>12581.245043395558</v>
      </c>
      <c r="FG194" s="114">
        <v>13005.05672142523</v>
      </c>
      <c r="FH194" s="114">
        <v>11204.82114462121</v>
      </c>
      <c r="FI194" s="114">
        <v>11252.830539978273</v>
      </c>
      <c r="FJ194" s="114">
        <v>6114.0460208937293</v>
      </c>
      <c r="FK194" s="114">
        <v>6488.5233921644776</v>
      </c>
      <c r="FL194" s="114">
        <v>14388.369555578893</v>
      </c>
      <c r="FM194" s="114">
        <v>10537.573109662384</v>
      </c>
      <c r="FN194" s="114">
        <v>4320.0222560390903</v>
      </c>
      <c r="FO194" s="114">
        <v>6639.2404699511226</v>
      </c>
      <c r="FP194" s="114">
        <v>6603.5125721469813</v>
      </c>
      <c r="FQ194" s="114">
        <v>9442.3205688233083</v>
      </c>
      <c r="FR194" s="114">
        <v>12646.980912355693</v>
      </c>
      <c r="FS194" s="114">
        <v>10732.574338375329</v>
      </c>
      <c r="FT194" s="114">
        <v>12747.503745426166</v>
      </c>
      <c r="FU194" s="114">
        <v>14186.574339172746</v>
      </c>
      <c r="FV194" s="114">
        <v>15946.193132723534</v>
      </c>
      <c r="FW194" s="114">
        <v>8564.3023262642309</v>
      </c>
      <c r="FX194" s="114">
        <v>3498.3280687132542</v>
      </c>
      <c r="FY194" s="114">
        <v>7351.6309321810913</v>
      </c>
      <c r="FZ194" s="114">
        <v>8729.4835692167981</v>
      </c>
      <c r="GA194" s="114">
        <v>10283.357402493612</v>
      </c>
      <c r="GB194" s="114">
        <v>11651.983957585464</v>
      </c>
      <c r="GC194" s="114">
        <v>7828.3720458501239</v>
      </c>
      <c r="GD194" s="114">
        <v>11351.229609291229</v>
      </c>
      <c r="GE194" s="114">
        <v>5906.8300283186536</v>
      </c>
      <c r="GF194" s="114">
        <v>3693.4588950232283</v>
      </c>
      <c r="GG194" s="114">
        <v>326.44358230637147</v>
      </c>
      <c r="GH194" s="114">
        <v>632.53876508494432</v>
      </c>
      <c r="GI194" s="114" t="s">
        <v>237</v>
      </c>
      <c r="GJ194" s="114">
        <v>8441.5475944061654</v>
      </c>
      <c r="GK194" s="114">
        <v>10469.150604550425</v>
      </c>
      <c r="GL194" s="114">
        <v>3346.6636879743146</v>
      </c>
      <c r="GM194" s="114">
        <v>13342.982658324301</v>
      </c>
      <c r="GN194" s="114">
        <v>11436.107601428977</v>
      </c>
      <c r="GO194" s="114">
        <v>12367.973184827068</v>
      </c>
      <c r="GP194" s="114">
        <v>12755.320798604105</v>
      </c>
      <c r="GQ194" s="114">
        <v>14472.413573544047</v>
      </c>
      <c r="GR194" s="114">
        <v>15942.409948705834</v>
      </c>
      <c r="GS194" s="114">
        <v>6650.1829906191551</v>
      </c>
      <c r="GT194" s="115">
        <v>13043.091130066769</v>
      </c>
    </row>
    <row r="195" spans="2:202" x14ac:dyDescent="0.6">
      <c r="B195" s="106" t="s">
        <v>177</v>
      </c>
      <c r="C195" s="63" t="s">
        <v>320</v>
      </c>
      <c r="D195" s="113">
        <v>15053.283439067696</v>
      </c>
      <c r="E195" s="114">
        <v>9985.931796717372</v>
      </c>
      <c r="F195" s="114">
        <v>10346.546582954154</v>
      </c>
      <c r="G195" s="114">
        <v>7576.6811154423267</v>
      </c>
      <c r="H195" s="114">
        <v>5771.8022796009691</v>
      </c>
      <c r="I195" s="114">
        <v>405.37978521501265</v>
      </c>
      <c r="J195" s="114">
        <v>13188.864802937765</v>
      </c>
      <c r="K195" s="114">
        <v>11905.128229709586</v>
      </c>
      <c r="L195" s="114">
        <v>11648.453417700586</v>
      </c>
      <c r="M195" s="114">
        <v>13612.022486030337</v>
      </c>
      <c r="N195" s="114">
        <v>6985.3490067627572</v>
      </c>
      <c r="O195" s="114">
        <v>13040.413398255616</v>
      </c>
      <c r="P195" s="114">
        <v>16539.283048283734</v>
      </c>
      <c r="Q195" s="114">
        <v>5298.0517178252694</v>
      </c>
      <c r="R195" s="114">
        <v>12623.725393359273</v>
      </c>
      <c r="S195" s="114">
        <v>11145.10619910676</v>
      </c>
      <c r="T195" s="114">
        <v>6678.8616865216973</v>
      </c>
      <c r="U195" s="114">
        <v>7618.712498138163</v>
      </c>
      <c r="V195" s="114">
        <v>16650.78923335352</v>
      </c>
      <c r="W195" s="114">
        <v>2360.2143540616157</v>
      </c>
      <c r="X195" s="114">
        <v>11479.717431664949</v>
      </c>
      <c r="Y195" s="114">
        <v>7777.0468692489621</v>
      </c>
      <c r="Z195" s="114">
        <v>1524.2354122712204</v>
      </c>
      <c r="AA195" s="114">
        <v>1800.5385669197365</v>
      </c>
      <c r="AB195" s="114">
        <v>16557.704684651937</v>
      </c>
      <c r="AC195" s="114">
        <v>11745.990835974395</v>
      </c>
      <c r="AD195" s="114">
        <v>7762.8577174108059</v>
      </c>
      <c r="AE195" s="114">
        <v>9377.1178845829672</v>
      </c>
      <c r="AF195" s="114">
        <v>6504.8625244066825</v>
      </c>
      <c r="AG195" s="114">
        <v>16775.861344694164</v>
      </c>
      <c r="AH195" s="114">
        <v>8087.6267851839648</v>
      </c>
      <c r="AI195" s="114">
        <v>8194.5570048360278</v>
      </c>
      <c r="AJ195" s="114">
        <v>9009.9023024393628</v>
      </c>
      <c r="AK195" s="114">
        <v>9080.6635056652249</v>
      </c>
      <c r="AL195" s="114">
        <v>8864.7575854176703</v>
      </c>
      <c r="AM195" s="114">
        <v>9063.7046871298917</v>
      </c>
      <c r="AN195" s="114">
        <v>1325.628702376629</v>
      </c>
      <c r="AO195" s="114">
        <v>19585.64126381266</v>
      </c>
      <c r="AP195" s="114">
        <v>19131.739984683467</v>
      </c>
      <c r="AQ195" s="114">
        <v>4707.9421121573105</v>
      </c>
      <c r="AR195" s="114">
        <v>10123.391199259406</v>
      </c>
      <c r="AS195" s="114">
        <v>8036.0512661901112</v>
      </c>
      <c r="AT195" s="114">
        <v>8033.5831148003508</v>
      </c>
      <c r="AU195" s="114">
        <v>5712.7847536649097</v>
      </c>
      <c r="AV195" s="114">
        <v>7023.4714159306559</v>
      </c>
      <c r="AW195" s="114">
        <v>11437.185787282913</v>
      </c>
      <c r="AX195" s="114">
        <v>6971.1897815237598</v>
      </c>
      <c r="AY195" s="114">
        <v>12070.364339627127</v>
      </c>
      <c r="AZ195" s="114">
        <v>11657.436912194678</v>
      </c>
      <c r="BA195" s="114">
        <v>11911.61367387696</v>
      </c>
      <c r="BB195" s="114">
        <v>11458.24594236847</v>
      </c>
      <c r="BC195" s="114">
        <v>5552.9524827747182</v>
      </c>
      <c r="BD195" s="114">
        <v>6041.786195518931</v>
      </c>
      <c r="BE195" s="114">
        <v>8029.2995018406364</v>
      </c>
      <c r="BF195" s="114">
        <v>4465.0903909135586</v>
      </c>
      <c r="BG195" s="114">
        <v>11611.115895123983</v>
      </c>
      <c r="BH195" s="114">
        <v>6364.453959636031</v>
      </c>
      <c r="BI195" s="114">
        <v>7941.4544638120242</v>
      </c>
      <c r="BJ195" s="114">
        <v>11375.207144443191</v>
      </c>
      <c r="BK195" s="114">
        <v>12752.659392804349</v>
      </c>
      <c r="BL195" s="114">
        <v>8156.9136260356818</v>
      </c>
      <c r="BM195" s="114">
        <v>10986.705594084031</v>
      </c>
      <c r="BN195" s="114">
        <v>12825.891087040813</v>
      </c>
      <c r="BO195" s="114">
        <v>10885.332714478327</v>
      </c>
      <c r="BP195" s="114">
        <v>7790.6580367037623</v>
      </c>
      <c r="BQ195" s="114">
        <v>6767.4507946902477</v>
      </c>
      <c r="BR195" s="114">
        <v>13259.571549557983</v>
      </c>
      <c r="BS195" s="114">
        <v>11752.672699120705</v>
      </c>
      <c r="BT195" s="114">
        <v>11375.313451530012</v>
      </c>
      <c r="BU195" s="114">
        <v>11352.226206781719</v>
      </c>
      <c r="BV195" s="114">
        <v>7347.9558500280627</v>
      </c>
      <c r="BW195" s="114">
        <v>11467.759940713553</v>
      </c>
      <c r="BX195" s="114">
        <v>5210.9665773236329</v>
      </c>
      <c r="BY195" s="114">
        <v>6523.1911566957988</v>
      </c>
      <c r="BZ195" s="114">
        <v>6619.6928475424029</v>
      </c>
      <c r="CA195" s="114">
        <v>6669.5432269745997</v>
      </c>
      <c r="CB195" s="114">
        <v>4563.8823243729448</v>
      </c>
      <c r="CC195" s="114">
        <v>6123.503441573389</v>
      </c>
      <c r="CD195" s="114">
        <v>6315.8979027087526</v>
      </c>
      <c r="CE195" s="114">
        <v>11769.341875408134</v>
      </c>
      <c r="CF195" s="114">
        <v>11374.969691758983</v>
      </c>
      <c r="CG195" s="114">
        <v>14729.734142531614</v>
      </c>
      <c r="CH195" s="114">
        <v>15565.873172001895</v>
      </c>
      <c r="CI195" s="114">
        <v>15142.354719241124</v>
      </c>
      <c r="CJ195" s="114">
        <v>13561.346889417979</v>
      </c>
      <c r="CK195" s="114">
        <v>12872.95077951828</v>
      </c>
      <c r="CL195" s="114">
        <v>10877.226563099388</v>
      </c>
      <c r="CM195" s="114">
        <v>7683.3173223600234</v>
      </c>
      <c r="CN195" s="114">
        <v>10957.339761625673</v>
      </c>
      <c r="CO195" s="114">
        <v>11045.583852575443</v>
      </c>
      <c r="CP195" s="114">
        <v>6223.3924227768539</v>
      </c>
      <c r="CQ195" s="114">
        <v>18566.833133654283</v>
      </c>
      <c r="CR195" s="114">
        <v>12059.305674088006</v>
      </c>
      <c r="CS195" s="114">
        <v>15460.889989640207</v>
      </c>
      <c r="CT195" s="114">
        <v>10171.091942704914</v>
      </c>
      <c r="CU195" s="114">
        <v>12998.409306914045</v>
      </c>
      <c r="CV195" s="114">
        <v>15685.840854411326</v>
      </c>
      <c r="CW195" s="114">
        <v>17164.95773111183</v>
      </c>
      <c r="CX195" s="114">
        <v>12594.895556515312</v>
      </c>
      <c r="CY195" s="114">
        <v>12149.405802502597</v>
      </c>
      <c r="CZ195" s="114">
        <v>7669.9717080601686</v>
      </c>
      <c r="DA195" s="114">
        <v>6583.9757794425859</v>
      </c>
      <c r="DB195" s="114">
        <v>10371.979939723591</v>
      </c>
      <c r="DC195" s="114">
        <v>11169.282850973235</v>
      </c>
      <c r="DD195" s="114">
        <v>12544.9508211995</v>
      </c>
      <c r="DE195" s="114">
        <v>11157.87276127326</v>
      </c>
      <c r="DF195" s="114">
        <v>10014.807659387028</v>
      </c>
      <c r="DG195" s="114">
        <v>9094.9774961357634</v>
      </c>
      <c r="DH195" s="114">
        <v>15819.388959898002</v>
      </c>
      <c r="DI195" s="114">
        <v>13803.787934062422</v>
      </c>
      <c r="DJ195" s="114">
        <v>7303.6049361846099</v>
      </c>
      <c r="DK195" s="114">
        <v>10674.546295944896</v>
      </c>
      <c r="DL195" s="114">
        <v>10727.971817753181</v>
      </c>
      <c r="DM195" s="114">
        <v>10739.299055232992</v>
      </c>
      <c r="DN195" s="114">
        <v>7503.3202508495315</v>
      </c>
      <c r="DO195" s="114">
        <v>12388.516452911304</v>
      </c>
      <c r="DP195" s="114">
        <v>10813.936527068148</v>
      </c>
      <c r="DQ195" s="114">
        <v>17964.304805728229</v>
      </c>
      <c r="DR195" s="114">
        <v>11477.293143734661</v>
      </c>
      <c r="DS195" s="114">
        <v>9184.6180708801076</v>
      </c>
      <c r="DT195" s="114">
        <v>8299.3172109428815</v>
      </c>
      <c r="DU195" s="114">
        <v>16606.576331068653</v>
      </c>
      <c r="DV195" s="114">
        <v>7130.9710029467042</v>
      </c>
      <c r="DW195" s="114">
        <v>16267.644712873205</v>
      </c>
      <c r="DX195" s="114">
        <v>11292.475295324079</v>
      </c>
      <c r="DY195" s="114">
        <v>10493.576524083202</v>
      </c>
      <c r="DZ195" s="114">
        <v>10143.815174496152</v>
      </c>
      <c r="EA195" s="114">
        <v>6073.5525833495012</v>
      </c>
      <c r="EB195" s="114">
        <v>8112.8674623009101</v>
      </c>
      <c r="EC195" s="114">
        <v>8233.0350807444611</v>
      </c>
      <c r="ED195" s="114">
        <v>19489.508380169736</v>
      </c>
      <c r="EE195" s="114">
        <v>11585.677882733296</v>
      </c>
      <c r="EF195" s="114">
        <v>12097.189858066973</v>
      </c>
      <c r="EG195" s="114">
        <v>13626.948734719075</v>
      </c>
      <c r="EH195" s="114">
        <v>14496.60222654795</v>
      </c>
      <c r="EI195" s="114">
        <v>15379.210263715078</v>
      </c>
      <c r="EJ195" s="114">
        <v>5416.1605980824152</v>
      </c>
      <c r="EK195" s="114">
        <v>1051.4924457532554</v>
      </c>
      <c r="EL195" s="114">
        <v>3273.3202557115487</v>
      </c>
      <c r="EM195" s="114">
        <v>17761.323306700117</v>
      </c>
      <c r="EN195" s="114">
        <v>12178.950117743032</v>
      </c>
      <c r="EO195" s="114">
        <v>9444.2772726909079</v>
      </c>
      <c r="EP195" s="114">
        <v>13085.511110030169</v>
      </c>
      <c r="EQ195" s="114">
        <v>12051.775504807552</v>
      </c>
      <c r="ER195" s="114">
        <v>13331.372871278612</v>
      </c>
      <c r="ES195" s="114">
        <v>9554.6266391446206</v>
      </c>
      <c r="ET195" s="114">
        <v>5784.2133975875831</v>
      </c>
      <c r="EU195" s="114">
        <v>5415.8304896202799</v>
      </c>
      <c r="EV195" s="114">
        <v>5319.0762147780879</v>
      </c>
      <c r="EW195" s="114">
        <v>11098.88046884749</v>
      </c>
      <c r="EX195" s="114">
        <v>7527.2504702447604</v>
      </c>
      <c r="EY195" s="114">
        <v>12607.697660088983</v>
      </c>
      <c r="EZ195" s="114">
        <v>6804.7783925725871</v>
      </c>
      <c r="FA195" s="114">
        <v>11680.47853230783</v>
      </c>
      <c r="FB195" s="114">
        <v>6559.0556580910225</v>
      </c>
      <c r="FC195" s="114">
        <v>15781.596266788998</v>
      </c>
      <c r="FD195" s="114">
        <v>11698.582946247252</v>
      </c>
      <c r="FE195" s="114">
        <v>11395.831056575769</v>
      </c>
      <c r="FF195" s="114">
        <v>11174.824708902112</v>
      </c>
      <c r="FG195" s="114">
        <v>7944.9008198635029</v>
      </c>
      <c r="FH195" s="114">
        <v>19624.116154901105</v>
      </c>
      <c r="FI195" s="114">
        <v>10102.06197233433</v>
      </c>
      <c r="FJ195" s="114">
        <v>9908.4882593613347</v>
      </c>
      <c r="FK195" s="114">
        <v>10322.363759080215</v>
      </c>
      <c r="FL195" s="114">
        <v>14570.477158829575</v>
      </c>
      <c r="FM195" s="114">
        <v>10826.511079008804</v>
      </c>
      <c r="FN195" s="114">
        <v>4449.0601570774279</v>
      </c>
      <c r="FO195" s="114">
        <v>12430.414567810356</v>
      </c>
      <c r="FP195" s="114">
        <v>11015.569411126024</v>
      </c>
      <c r="FQ195" s="114">
        <v>12207.54482217549</v>
      </c>
      <c r="FR195" s="114">
        <v>18938.863378195612</v>
      </c>
      <c r="FS195" s="114">
        <v>15112.891659958683</v>
      </c>
      <c r="FT195" s="114">
        <v>10070.189313820716</v>
      </c>
      <c r="FU195" s="114">
        <v>16682.562622147678</v>
      </c>
      <c r="FV195" s="114">
        <v>15254.74048918363</v>
      </c>
      <c r="FW195" s="114">
        <v>7506.9027650810167</v>
      </c>
      <c r="FX195" s="114">
        <v>5053.1171873466137</v>
      </c>
      <c r="FY195" s="114">
        <v>10452.48902673544</v>
      </c>
      <c r="FZ195" s="114">
        <v>12257.39622184399</v>
      </c>
      <c r="GA195" s="114">
        <v>14177.768495405577</v>
      </c>
      <c r="GB195" s="114">
        <v>9874.4441237303745</v>
      </c>
      <c r="GC195" s="114">
        <v>12647.72550287911</v>
      </c>
      <c r="GD195" s="114">
        <v>13298.616072698569</v>
      </c>
      <c r="GE195" s="114">
        <v>10999.656622820869</v>
      </c>
      <c r="GF195" s="114">
        <v>9994.8344312542722</v>
      </c>
      <c r="GG195" s="114">
        <v>8561.6550590253901</v>
      </c>
      <c r="GH195" s="114">
        <v>8680.9664841628801</v>
      </c>
      <c r="GI195" s="114">
        <v>8441.5475944061654</v>
      </c>
      <c r="GJ195" s="114" t="s">
        <v>237</v>
      </c>
      <c r="GK195" s="114">
        <v>15226.772643528735</v>
      </c>
      <c r="GL195" s="114">
        <v>5101.7658567508261</v>
      </c>
      <c r="GM195" s="114">
        <v>17674.917852199891</v>
      </c>
      <c r="GN195" s="114">
        <v>11896.848831486879</v>
      </c>
      <c r="GO195" s="114">
        <v>8537.8696928021363</v>
      </c>
      <c r="GP195" s="114">
        <v>8665.9139086890245</v>
      </c>
      <c r="GQ195" s="114">
        <v>16853.393584845893</v>
      </c>
      <c r="GR195" s="114">
        <v>11833.109337996142</v>
      </c>
      <c r="GS195" s="114">
        <v>11146.706448576057</v>
      </c>
      <c r="GT195" s="115">
        <v>7895.1833995403604</v>
      </c>
    </row>
    <row r="196" spans="2:202" x14ac:dyDescent="0.6">
      <c r="B196" s="106" t="s">
        <v>178</v>
      </c>
      <c r="C196" s="63" t="s">
        <v>523</v>
      </c>
      <c r="D196" s="113">
        <v>769.46939310340656</v>
      </c>
      <c r="E196" s="114">
        <v>5606.631999488568</v>
      </c>
      <c r="F196" s="114">
        <v>5467.5152540115696</v>
      </c>
      <c r="G196" s="114">
        <v>7937.0189395103907</v>
      </c>
      <c r="H196" s="114">
        <v>11797.594961304145</v>
      </c>
      <c r="I196" s="114">
        <v>15630.558180931115</v>
      </c>
      <c r="J196" s="114">
        <v>2087.8735174963986</v>
      </c>
      <c r="K196" s="114">
        <v>11809.276498156294</v>
      </c>
      <c r="L196" s="114">
        <v>4167.7526972330952</v>
      </c>
      <c r="M196" s="114">
        <v>1645.7608546742601</v>
      </c>
      <c r="N196" s="114">
        <v>11870.080624741393</v>
      </c>
      <c r="O196" s="114">
        <v>2407.9015948277829</v>
      </c>
      <c r="P196" s="114">
        <v>2788.3984043555247</v>
      </c>
      <c r="Q196" s="114">
        <v>11992.583742399052</v>
      </c>
      <c r="R196" s="114">
        <v>3372.7878923849826</v>
      </c>
      <c r="S196" s="114">
        <v>4965.0953919838457</v>
      </c>
      <c r="T196" s="114">
        <v>13118.200565529016</v>
      </c>
      <c r="U196" s="114">
        <v>7609.4818349861789</v>
      </c>
      <c r="V196" s="114">
        <v>2414.6711831826169</v>
      </c>
      <c r="W196" s="114">
        <v>15072.975586759074</v>
      </c>
      <c r="X196" s="114">
        <v>4119.6703653612885</v>
      </c>
      <c r="Y196" s="114">
        <v>8568.4859889276813</v>
      </c>
      <c r="Z196" s="114">
        <v>13815.725124299503</v>
      </c>
      <c r="AA196" s="114">
        <v>13484.623154440445</v>
      </c>
      <c r="AB196" s="114">
        <v>6113.2347830275739</v>
      </c>
      <c r="AC196" s="114">
        <v>3758.9168733239799</v>
      </c>
      <c r="AD196" s="114">
        <v>7487.0471940969192</v>
      </c>
      <c r="AE196" s="114">
        <v>6374.2674447378276</v>
      </c>
      <c r="AF196" s="114">
        <v>9114.1747543972597</v>
      </c>
      <c r="AG196" s="114">
        <v>4786.8522727711652</v>
      </c>
      <c r="AH196" s="114">
        <v>7185.5247722315626</v>
      </c>
      <c r="AI196" s="114">
        <v>7098.0926298658269</v>
      </c>
      <c r="AJ196" s="114">
        <v>10063.150414377385</v>
      </c>
      <c r="AK196" s="114">
        <v>9773.3440105115224</v>
      </c>
      <c r="AL196" s="114">
        <v>6498.5742200562172</v>
      </c>
      <c r="AM196" s="114">
        <v>6180.7051358937133</v>
      </c>
      <c r="AN196" s="114">
        <v>16356.388085068156</v>
      </c>
      <c r="AO196" s="114">
        <v>4752.8548599763953</v>
      </c>
      <c r="AP196" s="114">
        <v>3944.8343201054254</v>
      </c>
      <c r="AQ196" s="114">
        <v>13718.724947601831</v>
      </c>
      <c r="AR196" s="114">
        <v>6425.6267377694221</v>
      </c>
      <c r="AS196" s="114">
        <v>7430.5139665702536</v>
      </c>
      <c r="AT196" s="114">
        <v>7424.8948466873317</v>
      </c>
      <c r="AU196" s="114">
        <v>13737.163366326304</v>
      </c>
      <c r="AV196" s="114">
        <v>8207.2259578060912</v>
      </c>
      <c r="AW196" s="114">
        <v>4273.3352849925168</v>
      </c>
      <c r="AX196" s="114">
        <v>12279.17811882919</v>
      </c>
      <c r="AY196" s="114">
        <v>3183.7175462907048</v>
      </c>
      <c r="AZ196" s="114">
        <v>4278.0110333606672</v>
      </c>
      <c r="BA196" s="114">
        <v>4344.1946277469506</v>
      </c>
      <c r="BB196" s="114">
        <v>4255.6362425103198</v>
      </c>
      <c r="BC196" s="114">
        <v>11930.813702088366</v>
      </c>
      <c r="BD196" s="114">
        <v>12148.572100857536</v>
      </c>
      <c r="BE196" s="114">
        <v>7431.8604826724822</v>
      </c>
      <c r="BF196" s="114">
        <v>14398.680542989965</v>
      </c>
      <c r="BG196" s="114">
        <v>3616.7150920126533</v>
      </c>
      <c r="BH196" s="114">
        <v>13543.406619063726</v>
      </c>
      <c r="BI196" s="114">
        <v>7327.7336995546502</v>
      </c>
      <c r="BJ196" s="114">
        <v>4121.7720335769482</v>
      </c>
      <c r="BK196" s="114">
        <v>3654.1827684728319</v>
      </c>
      <c r="BL196" s="114">
        <v>8455.6429031934276</v>
      </c>
      <c r="BM196" s="114">
        <v>4677.5947594597319</v>
      </c>
      <c r="BN196" s="114">
        <v>3649.4231733864699</v>
      </c>
      <c r="BO196" s="114">
        <v>5165.4653658616517</v>
      </c>
      <c r="BP196" s="114">
        <v>7517.9779785179326</v>
      </c>
      <c r="BQ196" s="114">
        <v>8667.6605575185404</v>
      </c>
      <c r="BR196" s="114">
        <v>2047.7434982095533</v>
      </c>
      <c r="BS196" s="114">
        <v>4313.0676306320947</v>
      </c>
      <c r="BT196" s="114">
        <v>4505.3335135810066</v>
      </c>
      <c r="BU196" s="114">
        <v>4665.7285302745131</v>
      </c>
      <c r="BV196" s="114">
        <v>7878.9284322032217</v>
      </c>
      <c r="BW196" s="114">
        <v>3897.736553032646</v>
      </c>
      <c r="BX196" s="114">
        <v>12242.74596830366</v>
      </c>
      <c r="BY196" s="114">
        <v>13476.698532404427</v>
      </c>
      <c r="BZ196" s="114">
        <v>8711.0440240360349</v>
      </c>
      <c r="CA196" s="114">
        <v>8719.5016071469709</v>
      </c>
      <c r="CB196" s="114">
        <v>12474.601342493388</v>
      </c>
      <c r="CC196" s="114">
        <v>12280.681026639159</v>
      </c>
      <c r="CD196" s="114">
        <v>13403.370099370506</v>
      </c>
      <c r="CE196" s="114">
        <v>3973.7305274964788</v>
      </c>
      <c r="CF196" s="114">
        <v>5997.4289471941165</v>
      </c>
      <c r="CG196" s="114">
        <v>2486.503496057961</v>
      </c>
      <c r="CH196" s="114">
        <v>1602.2641850057162</v>
      </c>
      <c r="CI196" s="114">
        <v>6484.1920803935</v>
      </c>
      <c r="CJ196" s="114">
        <v>1675.7819388980888</v>
      </c>
      <c r="CK196" s="114">
        <v>2359.4187979029398</v>
      </c>
      <c r="CL196" s="114">
        <v>5564.3979319025866</v>
      </c>
      <c r="CM196" s="114">
        <v>8794.8359620436113</v>
      </c>
      <c r="CN196" s="114">
        <v>4651.5594755694901</v>
      </c>
      <c r="CO196" s="114">
        <v>4755.7233769391387</v>
      </c>
      <c r="CP196" s="114">
        <v>12538.506297279837</v>
      </c>
      <c r="CQ196" s="114">
        <v>6013.7351911179303</v>
      </c>
      <c r="CR196" s="114">
        <v>3167.6126949302516</v>
      </c>
      <c r="CS196" s="114">
        <v>1113.6609987262866</v>
      </c>
      <c r="CT196" s="114">
        <v>5745.7627825067593</v>
      </c>
      <c r="CU196" s="114">
        <v>2318.4055456921828</v>
      </c>
      <c r="CV196" s="114">
        <v>468.06446287338269</v>
      </c>
      <c r="CW196" s="114">
        <v>4108.8879936057629</v>
      </c>
      <c r="CX196" s="114">
        <v>3621.0956525582287</v>
      </c>
      <c r="CY196" s="114">
        <v>3084.0423319002048</v>
      </c>
      <c r="CZ196" s="114">
        <v>8928.3893238425371</v>
      </c>
      <c r="DA196" s="114">
        <v>8683.500461362386</v>
      </c>
      <c r="DB196" s="114">
        <v>4991.8082720575276</v>
      </c>
      <c r="DC196" s="114">
        <v>4698.3959392949264</v>
      </c>
      <c r="DD196" s="114">
        <v>3520.795017468884</v>
      </c>
      <c r="DE196" s="114">
        <v>4865.7677872438926</v>
      </c>
      <c r="DF196" s="114">
        <v>7013.7370267391452</v>
      </c>
      <c r="DG196" s="114">
        <v>7146.5985899385696</v>
      </c>
      <c r="DH196" s="114">
        <v>5325.011850526108</v>
      </c>
      <c r="DI196" s="114">
        <v>4157.444637281219</v>
      </c>
      <c r="DJ196" s="114">
        <v>7996.1773587519174</v>
      </c>
      <c r="DK196" s="114">
        <v>4738.9116730750829</v>
      </c>
      <c r="DL196" s="114">
        <v>6924.2098275258113</v>
      </c>
      <c r="DM196" s="114">
        <v>6927.4105969814782</v>
      </c>
      <c r="DN196" s="114">
        <v>13189.416131551718</v>
      </c>
      <c r="DO196" s="114">
        <v>3239.7340837310644</v>
      </c>
      <c r="DP196" s="114">
        <v>4947.481682371259</v>
      </c>
      <c r="DQ196" s="114">
        <v>3055.0225806936473</v>
      </c>
      <c r="DR196" s="114">
        <v>4071.7136803300195</v>
      </c>
      <c r="DS196" s="114">
        <v>6523.4121561736292</v>
      </c>
      <c r="DT196" s="114">
        <v>8337.318960029761</v>
      </c>
      <c r="DU196" s="114">
        <v>3781.9790705482778</v>
      </c>
      <c r="DV196" s="114">
        <v>8871.4178314852979</v>
      </c>
      <c r="DW196" s="114">
        <v>2119.8226863113773</v>
      </c>
      <c r="DX196" s="114">
        <v>4898.9638695233616</v>
      </c>
      <c r="DY196" s="114">
        <v>13776.978301306741</v>
      </c>
      <c r="DZ196" s="114">
        <v>13974.479478917128</v>
      </c>
      <c r="EA196" s="114">
        <v>13572.882962760737</v>
      </c>
      <c r="EB196" s="114">
        <v>7127.1322548912385</v>
      </c>
      <c r="EC196" s="114">
        <v>6998.3025368327726</v>
      </c>
      <c r="ED196" s="114">
        <v>4698.1355676098037</v>
      </c>
      <c r="EE196" s="114">
        <v>3925.8026420029637</v>
      </c>
      <c r="EF196" s="114">
        <v>4446.0419413598584</v>
      </c>
      <c r="EG196" s="114">
        <v>2220.5852336186476</v>
      </c>
      <c r="EH196" s="114">
        <v>1821.4405368904768</v>
      </c>
      <c r="EI196" s="114">
        <v>936.41730593337593</v>
      </c>
      <c r="EJ196" s="114">
        <v>13563.234890280899</v>
      </c>
      <c r="EK196" s="114">
        <v>14804.19813549181</v>
      </c>
      <c r="EL196" s="114">
        <v>15389.547178532859</v>
      </c>
      <c r="EM196" s="114">
        <v>5799.6687184239945</v>
      </c>
      <c r="EN196" s="114">
        <v>3787.4765756716351</v>
      </c>
      <c r="EO196" s="114">
        <v>6449.6459703371083</v>
      </c>
      <c r="EP196" s="114">
        <v>2422.1191427628546</v>
      </c>
      <c r="EQ196" s="114">
        <v>3488.1602785500527</v>
      </c>
      <c r="ER196" s="114">
        <v>2790.8546894495503</v>
      </c>
      <c r="ES196" s="114">
        <v>6176.4804771155295</v>
      </c>
      <c r="ET196" s="114">
        <v>11830.049633309805</v>
      </c>
      <c r="EU196" s="114">
        <v>11992.404562498488</v>
      </c>
      <c r="EV196" s="114">
        <v>12107.801746508749</v>
      </c>
      <c r="EW196" s="114">
        <v>4581.070431346493</v>
      </c>
      <c r="EX196" s="114">
        <v>7755.7774782168844</v>
      </c>
      <c r="EY196" s="114">
        <v>2808.6662098652346</v>
      </c>
      <c r="EZ196" s="114">
        <v>8665.8496555337952</v>
      </c>
      <c r="FA196" s="114">
        <v>3930.3655173800112</v>
      </c>
      <c r="FB196" s="114">
        <v>8755.6965085918582</v>
      </c>
      <c r="FC196" s="114">
        <v>5634.0005295862375</v>
      </c>
      <c r="FD196" s="114">
        <v>4105.8493905168862</v>
      </c>
      <c r="FE196" s="114">
        <v>4353.9341809056277</v>
      </c>
      <c r="FF196" s="114">
        <v>4969.0121603697135</v>
      </c>
      <c r="FG196" s="114">
        <v>8528.9879780933225</v>
      </c>
      <c r="FH196" s="114">
        <v>4871.1211658179191</v>
      </c>
      <c r="FI196" s="114">
        <v>5496.5159745998608</v>
      </c>
      <c r="FJ196" s="114">
        <v>5925.2793674873128</v>
      </c>
      <c r="FK196" s="114">
        <v>5443.0259746856073</v>
      </c>
      <c r="FL196" s="114">
        <v>3957.1323976420713</v>
      </c>
      <c r="FM196" s="114">
        <v>4552.2699728686757</v>
      </c>
      <c r="FN196" s="114">
        <v>12339.036340132327</v>
      </c>
      <c r="FO196" s="114">
        <v>4015.3325381743439</v>
      </c>
      <c r="FP196" s="114">
        <v>4862.3909190247614</v>
      </c>
      <c r="FQ196" s="114">
        <v>3022.8996345695623</v>
      </c>
      <c r="FR196" s="114">
        <v>5120.270796037069</v>
      </c>
      <c r="FS196" s="114">
        <v>323.49659371768053</v>
      </c>
      <c r="FT196" s="114">
        <v>6142.4375937496889</v>
      </c>
      <c r="FU196" s="114">
        <v>4316.3115972482919</v>
      </c>
      <c r="FV196" s="114">
        <v>7937.5695451300044</v>
      </c>
      <c r="FW196" s="114">
        <v>7720.2064312547045</v>
      </c>
      <c r="FX196" s="114">
        <v>12349.964214540572</v>
      </c>
      <c r="FY196" s="114">
        <v>5037.0247802729236</v>
      </c>
      <c r="FZ196" s="114">
        <v>3079.0326296841445</v>
      </c>
      <c r="GA196" s="114">
        <v>1054.6093723560048</v>
      </c>
      <c r="GB196" s="114">
        <v>5869.6627517175948</v>
      </c>
      <c r="GC196" s="114">
        <v>3136.3579316986616</v>
      </c>
      <c r="GD196" s="114">
        <v>2332.7493269067704</v>
      </c>
      <c r="GE196" s="114">
        <v>5228.636191586409</v>
      </c>
      <c r="GF196" s="114">
        <v>11613.758782616665</v>
      </c>
      <c r="GG196" s="114">
        <v>10176.214146145901</v>
      </c>
      <c r="GH196" s="114">
        <v>9899.7173119324234</v>
      </c>
      <c r="GI196" s="114">
        <v>10469.150604550425</v>
      </c>
      <c r="GJ196" s="114">
        <v>15226.772643528735</v>
      </c>
      <c r="GK196" s="114" t="s">
        <v>237</v>
      </c>
      <c r="GL196" s="114">
        <v>12710.133212374032</v>
      </c>
      <c r="GM196" s="114">
        <v>4080.7051501389378</v>
      </c>
      <c r="GN196" s="114">
        <v>3739.8686894704147</v>
      </c>
      <c r="GO196" s="114">
        <v>7560.6783369273971</v>
      </c>
      <c r="GP196" s="114">
        <v>7608.1967538782137</v>
      </c>
      <c r="GQ196" s="114">
        <v>4979.7246727825359</v>
      </c>
      <c r="GR196" s="114">
        <v>11770.865259513532</v>
      </c>
      <c r="GS196" s="114">
        <v>4746.0403072820727</v>
      </c>
      <c r="GT196" s="115">
        <v>8606.2040699834743</v>
      </c>
    </row>
    <row r="197" spans="2:202" ht="12" customHeight="1" x14ac:dyDescent="0.6">
      <c r="B197" s="106" t="s">
        <v>179</v>
      </c>
      <c r="C197" s="63" t="s">
        <v>524</v>
      </c>
      <c r="D197" s="113">
        <v>13202.580160298503</v>
      </c>
      <c r="E197" s="114">
        <v>7512.1798517042334</v>
      </c>
      <c r="F197" s="114">
        <v>7424.2880080614823</v>
      </c>
      <c r="G197" s="114">
        <v>9063.9941954955702</v>
      </c>
      <c r="H197" s="114">
        <v>913.02171723012259</v>
      </c>
      <c r="I197" s="114">
        <v>5226.9160818658102</v>
      </c>
      <c r="J197" s="114">
        <v>10984.973504977224</v>
      </c>
      <c r="K197" s="114">
        <v>15384.920392960865</v>
      </c>
      <c r="L197" s="114">
        <v>8621.8578594063838</v>
      </c>
      <c r="M197" s="114">
        <v>11385.891911721919</v>
      </c>
      <c r="N197" s="114">
        <v>1988.3626176582034</v>
      </c>
      <c r="O197" s="114">
        <v>12085.465984753157</v>
      </c>
      <c r="P197" s="114">
        <v>15495.218718235928</v>
      </c>
      <c r="Q197" s="114">
        <v>846.53529823838289</v>
      </c>
      <c r="R197" s="114">
        <v>9340.6105610384129</v>
      </c>
      <c r="S197" s="114">
        <v>7769.0573964182777</v>
      </c>
      <c r="T197" s="114">
        <v>2468.3479921709527</v>
      </c>
      <c r="U197" s="114">
        <v>7590.1871272285689</v>
      </c>
      <c r="V197" s="114">
        <v>15097.460502153062</v>
      </c>
      <c r="W197" s="114">
        <v>2951.5978987289968</v>
      </c>
      <c r="X197" s="114">
        <v>8804.8159496004264</v>
      </c>
      <c r="Y197" s="114">
        <v>10691.435642062474</v>
      </c>
      <c r="Z197" s="114">
        <v>4342.8279263513668</v>
      </c>
      <c r="AA197" s="114">
        <v>4484.7378113085952</v>
      </c>
      <c r="AB197" s="114">
        <v>18358.262560948293</v>
      </c>
      <c r="AC197" s="114">
        <v>9216.4664075800374</v>
      </c>
      <c r="AD197" s="114">
        <v>7102.6609187645745</v>
      </c>
      <c r="AE197" s="114">
        <v>10696.564049283512</v>
      </c>
      <c r="AF197" s="114">
        <v>4710.0657335932838</v>
      </c>
      <c r="AG197" s="114">
        <v>17414.459305279259</v>
      </c>
      <c r="AH197" s="114">
        <v>8425.181635484405</v>
      </c>
      <c r="AI197" s="114">
        <v>8615.4409391567187</v>
      </c>
      <c r="AJ197" s="114">
        <v>3915.2521005212438</v>
      </c>
      <c r="AK197" s="114">
        <v>3979.6070012889145</v>
      </c>
      <c r="AL197" s="114">
        <v>9366.7383618106505</v>
      </c>
      <c r="AM197" s="114">
        <v>8817.8514559589676</v>
      </c>
      <c r="AN197" s="114">
        <v>4858.5782725897834</v>
      </c>
      <c r="AO197" s="114">
        <v>15319.740268033067</v>
      </c>
      <c r="AP197" s="114">
        <v>14464.741141244749</v>
      </c>
      <c r="AQ197" s="114">
        <v>1055.2987258182457</v>
      </c>
      <c r="AR197" s="114">
        <v>12358.010571594112</v>
      </c>
      <c r="AS197" s="114">
        <v>9206.7666637400416</v>
      </c>
      <c r="AT197" s="114">
        <v>9180.6644629859256</v>
      </c>
      <c r="AU197" s="114">
        <v>1915.0827463017008</v>
      </c>
      <c r="AV197" s="114">
        <v>6900.3692650891953</v>
      </c>
      <c r="AW197" s="114">
        <v>8581.5806559757984</v>
      </c>
      <c r="AX197" s="114">
        <v>2188.3604862498219</v>
      </c>
      <c r="AY197" s="114">
        <v>10225.477422879838</v>
      </c>
      <c r="AZ197" s="114">
        <v>8473.892619907283</v>
      </c>
      <c r="BA197" s="114">
        <v>8365.9458077310683</v>
      </c>
      <c r="BB197" s="114">
        <v>11789.080696094841</v>
      </c>
      <c r="BC197" s="114">
        <v>792.63297651997561</v>
      </c>
      <c r="BD197" s="114">
        <v>947.84008229905214</v>
      </c>
      <c r="BE197" s="114">
        <v>9186.2573607191116</v>
      </c>
      <c r="BF197" s="114">
        <v>1747.4117012747481</v>
      </c>
      <c r="BG197" s="114">
        <v>10164.149018209464</v>
      </c>
      <c r="BH197" s="114">
        <v>2477.0916088778099</v>
      </c>
      <c r="BI197" s="114">
        <v>8304.6389960917568</v>
      </c>
      <c r="BJ197" s="114">
        <v>11293.657928704371</v>
      </c>
      <c r="BK197" s="114">
        <v>9083.2806895759368</v>
      </c>
      <c r="BL197" s="114">
        <v>11263.192966587452</v>
      </c>
      <c r="BM197" s="114">
        <v>11440.160927663303</v>
      </c>
      <c r="BN197" s="114">
        <v>9102.5081942933575</v>
      </c>
      <c r="BO197" s="114">
        <v>7591.4813028982289</v>
      </c>
      <c r="BP197" s="114">
        <v>8450.5270453012472</v>
      </c>
      <c r="BQ197" s="114">
        <v>5460.2885307044144</v>
      </c>
      <c r="BR197" s="114">
        <v>10945.221585260017</v>
      </c>
      <c r="BS197" s="114">
        <v>8410.7456063568388</v>
      </c>
      <c r="BT197" s="114">
        <v>8277.6835344697611</v>
      </c>
      <c r="BU197" s="114">
        <v>8079.5043027102674</v>
      </c>
      <c r="BV197" s="114">
        <v>7333.9425412416758</v>
      </c>
      <c r="BW197" s="114">
        <v>9312.3002404568106</v>
      </c>
      <c r="BX197" s="114">
        <v>558.97414229031301</v>
      </c>
      <c r="BY197" s="114">
        <v>2609.7273919919089</v>
      </c>
      <c r="BZ197" s="114">
        <v>5808.4425100313365</v>
      </c>
      <c r="CA197" s="114">
        <v>5574.2515988989835</v>
      </c>
      <c r="CB197" s="114">
        <v>1018.8665568042043</v>
      </c>
      <c r="CC197" s="114">
        <v>1086.7013842102333</v>
      </c>
      <c r="CD197" s="114">
        <v>2275.5401619027998</v>
      </c>
      <c r="CE197" s="114">
        <v>8837.7503239223097</v>
      </c>
      <c r="CF197" s="114">
        <v>6927.4792829181806</v>
      </c>
      <c r="CG197" s="114">
        <v>14498.344019078901</v>
      </c>
      <c r="CH197" s="114">
        <v>14207.973122988258</v>
      </c>
      <c r="CI197" s="114">
        <v>19109.054898113762</v>
      </c>
      <c r="CJ197" s="114">
        <v>11754.57721954819</v>
      </c>
      <c r="CK197" s="114">
        <v>11258.668807410691</v>
      </c>
      <c r="CL197" s="114">
        <v>7145.7399301745063</v>
      </c>
      <c r="CM197" s="114">
        <v>4013.6832854298823</v>
      </c>
      <c r="CN197" s="114">
        <v>8324.5224516199851</v>
      </c>
      <c r="CO197" s="114">
        <v>8083.5176734642882</v>
      </c>
      <c r="CP197" s="114">
        <v>1371.7820201078309</v>
      </c>
      <c r="CQ197" s="114">
        <v>14204.132109992326</v>
      </c>
      <c r="CR197" s="114">
        <v>10528.493804445865</v>
      </c>
      <c r="CS197" s="114">
        <v>12075.448807114253</v>
      </c>
      <c r="CT197" s="114">
        <v>11456.226287980577</v>
      </c>
      <c r="CU197" s="114">
        <v>11742.661306850299</v>
      </c>
      <c r="CV197" s="114">
        <v>12928.397996298083</v>
      </c>
      <c r="CW197" s="114">
        <v>16681.779833567172</v>
      </c>
      <c r="CX197" s="114">
        <v>9092.1587106195966</v>
      </c>
      <c r="CY197" s="114">
        <v>10452.570327439113</v>
      </c>
      <c r="CZ197" s="114">
        <v>10933.670564688409</v>
      </c>
      <c r="DA197" s="114">
        <v>6181.41198142539</v>
      </c>
      <c r="DB197" s="114">
        <v>8426.8457041442307</v>
      </c>
      <c r="DC197" s="114">
        <v>8102.2851178760993</v>
      </c>
      <c r="DD197" s="114">
        <v>9190.1420346663072</v>
      </c>
      <c r="DE197" s="114">
        <v>7886.1299920177962</v>
      </c>
      <c r="DF197" s="114">
        <v>12869.011946441178</v>
      </c>
      <c r="DG197" s="114">
        <v>11352.381215270736</v>
      </c>
      <c r="DH197" s="114">
        <v>18015.892341989718</v>
      </c>
      <c r="DI197" s="114">
        <v>15291.552456715966</v>
      </c>
      <c r="DJ197" s="114">
        <v>6424.3042314442109</v>
      </c>
      <c r="DK197" s="114">
        <v>8521.7396161760516</v>
      </c>
      <c r="DL197" s="114">
        <v>13919.109956333108</v>
      </c>
      <c r="DM197" s="114">
        <v>13939.689498450534</v>
      </c>
      <c r="DN197" s="114">
        <v>3630.1844585341346</v>
      </c>
      <c r="DO197" s="114">
        <v>9577.2111902081997</v>
      </c>
      <c r="DP197" s="114">
        <v>7933.2580869577823</v>
      </c>
      <c r="DQ197" s="114">
        <v>13509.162267905656</v>
      </c>
      <c r="DR197" s="114">
        <v>8895.4779526586008</v>
      </c>
      <c r="DS197" s="114">
        <v>6587.7559055535548</v>
      </c>
      <c r="DT197" s="114">
        <v>11381.824516573099</v>
      </c>
      <c r="DU197" s="114">
        <v>16486.864163301019</v>
      </c>
      <c r="DV197" s="114">
        <v>9793.439398525099</v>
      </c>
      <c r="DW197" s="114">
        <v>14829.951400455115</v>
      </c>
      <c r="DX197" s="114">
        <v>7820.0946777432027</v>
      </c>
      <c r="DY197" s="114">
        <v>13234.145059836987</v>
      </c>
      <c r="DZ197" s="114">
        <v>13177.412969806024</v>
      </c>
      <c r="EA197" s="114">
        <v>2151.9392504530356</v>
      </c>
      <c r="EB197" s="114">
        <v>7453.0577348662355</v>
      </c>
      <c r="EC197" s="114">
        <v>8079.2795845072305</v>
      </c>
      <c r="ED197" s="114">
        <v>14387.81356414426</v>
      </c>
      <c r="EE197" s="114">
        <v>9063.7271523069958</v>
      </c>
      <c r="EF197" s="114">
        <v>8290.1901962544671</v>
      </c>
      <c r="EG197" s="114">
        <v>12952.437747687107</v>
      </c>
      <c r="EH197" s="114">
        <v>13645.356882199716</v>
      </c>
      <c r="EI197" s="114">
        <v>13548.075334282048</v>
      </c>
      <c r="EJ197" s="114">
        <v>1399.5655893055625</v>
      </c>
      <c r="EK197" s="114">
        <v>4061.9873417794015</v>
      </c>
      <c r="EL197" s="114">
        <v>2735.225688054727</v>
      </c>
      <c r="EM197" s="114">
        <v>17145.19906710344</v>
      </c>
      <c r="EN197" s="114">
        <v>8938.7968489289869</v>
      </c>
      <c r="EO197" s="114">
        <v>6479.7814525841213</v>
      </c>
      <c r="EP197" s="114">
        <v>12222.862370183026</v>
      </c>
      <c r="EQ197" s="114">
        <v>9419.0591006617342</v>
      </c>
      <c r="ER197" s="114">
        <v>9929.1944377713644</v>
      </c>
      <c r="ES197" s="114">
        <v>10760.000095525011</v>
      </c>
      <c r="ET197" s="114">
        <v>883.9217514689534</v>
      </c>
      <c r="EU197" s="114">
        <v>769.44078385633657</v>
      </c>
      <c r="EV197" s="114">
        <v>670.07072649625491</v>
      </c>
      <c r="EW197" s="114">
        <v>8324.6410222465584</v>
      </c>
      <c r="EX197" s="114">
        <v>8139.9669425013553</v>
      </c>
      <c r="EY197" s="114">
        <v>11787.383838385847</v>
      </c>
      <c r="EZ197" s="114">
        <v>5360.8199845573254</v>
      </c>
      <c r="FA197" s="114">
        <v>8964.2243357133666</v>
      </c>
      <c r="FB197" s="114">
        <v>5855.422314953199</v>
      </c>
      <c r="FC197" s="114">
        <v>18337.470314232367</v>
      </c>
      <c r="FD197" s="114">
        <v>8685.0049731511062</v>
      </c>
      <c r="FE197" s="114">
        <v>8483.3817316341665</v>
      </c>
      <c r="FF197" s="114">
        <v>12345.952210044043</v>
      </c>
      <c r="FG197" s="114">
        <v>10961.302308423925</v>
      </c>
      <c r="FH197" s="114">
        <v>14548.861592405909</v>
      </c>
      <c r="FI197" s="114">
        <v>10796.718676489436</v>
      </c>
      <c r="FJ197" s="114">
        <v>6996.0812531299689</v>
      </c>
      <c r="FK197" s="114">
        <v>7482.2346379619994</v>
      </c>
      <c r="FL197" s="114">
        <v>15831.73615691628</v>
      </c>
      <c r="FM197" s="114">
        <v>10643.174873171885</v>
      </c>
      <c r="FN197" s="114">
        <v>1368.9991340732731</v>
      </c>
      <c r="FO197" s="114">
        <v>8717.083662984136</v>
      </c>
      <c r="FP197" s="114">
        <v>7944.3183795101759</v>
      </c>
      <c r="FQ197" s="114">
        <v>10537.210659115217</v>
      </c>
      <c r="FR197" s="114">
        <v>15988.935058766381</v>
      </c>
      <c r="FS197" s="114">
        <v>12875.775162654572</v>
      </c>
      <c r="FT197" s="114">
        <v>11867.715543997694</v>
      </c>
      <c r="FU197" s="114">
        <v>17001.797279833998</v>
      </c>
      <c r="FV197" s="114">
        <v>18695.791316625902</v>
      </c>
      <c r="FW197" s="114">
        <v>7459.1772128265302</v>
      </c>
      <c r="FX197" s="114">
        <v>553.36597820591885</v>
      </c>
      <c r="FY197" s="114">
        <v>8140.7456780992534</v>
      </c>
      <c r="FZ197" s="114">
        <v>10045.257470829816</v>
      </c>
      <c r="GA197" s="114">
        <v>12109.872720322905</v>
      </c>
      <c r="GB197" s="114">
        <v>10971.607463813045</v>
      </c>
      <c r="GC197" s="114">
        <v>9606.9910751443585</v>
      </c>
      <c r="GD197" s="114">
        <v>12527.505453198593</v>
      </c>
      <c r="GE197" s="114">
        <v>7492.185919687322</v>
      </c>
      <c r="GF197" s="114">
        <v>5864.5292239825467</v>
      </c>
      <c r="GG197" s="114">
        <v>3460.2849211032735</v>
      </c>
      <c r="GH197" s="114">
        <v>3591.8355162127245</v>
      </c>
      <c r="GI197" s="114">
        <v>3346.6636879743146</v>
      </c>
      <c r="GJ197" s="114">
        <v>5101.7658567508261</v>
      </c>
      <c r="GK197" s="114">
        <v>12710.133212374032</v>
      </c>
      <c r="GL197" s="114" t="s">
        <v>237</v>
      </c>
      <c r="GM197" s="114">
        <v>16422.517282553286</v>
      </c>
      <c r="GN197" s="114">
        <v>11872.651896739857</v>
      </c>
      <c r="GO197" s="114">
        <v>10806.354754334821</v>
      </c>
      <c r="GP197" s="114">
        <v>11142.616883857496</v>
      </c>
      <c r="GQ197" s="114">
        <v>17548.218157890667</v>
      </c>
      <c r="GR197" s="114">
        <v>15469.799651145768</v>
      </c>
      <c r="GS197" s="114">
        <v>8046.451407027881</v>
      </c>
      <c r="GT197" s="115">
        <v>10963.566446090968</v>
      </c>
    </row>
    <row r="198" spans="2:202" ht="12" customHeight="1" x14ac:dyDescent="0.6">
      <c r="B198" s="106" t="s">
        <v>180</v>
      </c>
      <c r="C198" s="63" t="s">
        <v>308</v>
      </c>
      <c r="D198" s="113">
        <v>3847.9530778017483</v>
      </c>
      <c r="E198" s="114">
        <v>9677.8436824012606</v>
      </c>
      <c r="F198" s="114">
        <v>9543.8863963893418</v>
      </c>
      <c r="G198" s="114">
        <v>10587.708811551242</v>
      </c>
      <c r="H198" s="114">
        <v>15551.96591729079</v>
      </c>
      <c r="I198" s="114">
        <v>17812.466598264778</v>
      </c>
      <c r="J198" s="114">
        <v>6101.6860356127845</v>
      </c>
      <c r="K198" s="114">
        <v>7777.1453641442567</v>
      </c>
      <c r="L198" s="114">
        <v>8230.9496327947909</v>
      </c>
      <c r="M198" s="114">
        <v>5657.462542055966</v>
      </c>
      <c r="N198" s="114">
        <v>14880.70698885616</v>
      </c>
      <c r="O198" s="114">
        <v>5613.2367008795891</v>
      </c>
      <c r="P198" s="114">
        <v>1589.887073893331</v>
      </c>
      <c r="Q198" s="114">
        <v>15875.735042865595</v>
      </c>
      <c r="R198" s="114">
        <v>7369.953985241491</v>
      </c>
      <c r="S198" s="114">
        <v>8977.3258001042414</v>
      </c>
      <c r="T198" s="114">
        <v>15505.707463748122</v>
      </c>
      <c r="U198" s="114">
        <v>11102.256076607084</v>
      </c>
      <c r="V198" s="114">
        <v>1768.6320585029362</v>
      </c>
      <c r="W198" s="114">
        <v>19151.829842270905</v>
      </c>
      <c r="X198" s="114">
        <v>8200.0038310655364</v>
      </c>
      <c r="Y198" s="114">
        <v>10008.283314087721</v>
      </c>
      <c r="Z198" s="114">
        <v>17139.86877406514</v>
      </c>
      <c r="AA198" s="114">
        <v>16784.218939416001</v>
      </c>
      <c r="AB198" s="114">
        <v>2105.0009919486342</v>
      </c>
      <c r="AC198" s="114">
        <v>7833.2354232106582</v>
      </c>
      <c r="AD198" s="114">
        <v>11213.135397133055</v>
      </c>
      <c r="AE198" s="114">
        <v>8720.9110549508623</v>
      </c>
      <c r="AF198" s="114">
        <v>13140.818486040875</v>
      </c>
      <c r="AG198" s="114">
        <v>1086.0613010355421</v>
      </c>
      <c r="AH198" s="114">
        <v>10445.262432084974</v>
      </c>
      <c r="AI198" s="114">
        <v>10297.428398952799</v>
      </c>
      <c r="AJ198" s="114">
        <v>12797.866147431259</v>
      </c>
      <c r="AK198" s="114">
        <v>12640.05025090237</v>
      </c>
      <c r="AL198" s="114">
        <v>9543.5132080629519</v>
      </c>
      <c r="AM198" s="114">
        <v>9619.9563062958605</v>
      </c>
      <c r="AN198" s="114">
        <v>18600.611414297553</v>
      </c>
      <c r="AO198" s="114">
        <v>1949.9501337206618</v>
      </c>
      <c r="AP198" s="114">
        <v>2295.1010697465817</v>
      </c>
      <c r="AQ198" s="114">
        <v>17191.321156492748</v>
      </c>
      <c r="AR198" s="114">
        <v>7704.2582255886782</v>
      </c>
      <c r="AS198" s="114">
        <v>10199.536966278498</v>
      </c>
      <c r="AT198" s="114">
        <v>10210.12409371035</v>
      </c>
      <c r="AU198" s="114">
        <v>16457.077992205253</v>
      </c>
      <c r="AV198" s="114">
        <v>11796.282994712343</v>
      </c>
      <c r="AW198" s="114">
        <v>8350.9523098112386</v>
      </c>
      <c r="AX198" s="114">
        <v>15037.256318788184</v>
      </c>
      <c r="AY198" s="114">
        <v>7109.8065802034689</v>
      </c>
      <c r="AZ198" s="114">
        <v>8318.8639844018271</v>
      </c>
      <c r="BA198" s="114">
        <v>8288.9959724770652</v>
      </c>
      <c r="BB198" s="114">
        <v>6813.9081310969332</v>
      </c>
      <c r="BC198" s="114">
        <v>15732.294275337348</v>
      </c>
      <c r="BD198" s="114">
        <v>15606.996337354398</v>
      </c>
      <c r="BE198" s="114">
        <v>10211.396282421723</v>
      </c>
      <c r="BF198" s="114">
        <v>17653.78531543315</v>
      </c>
      <c r="BG198" s="114">
        <v>7403.0200184084842</v>
      </c>
      <c r="BH198" s="114">
        <v>15865.740912628156</v>
      </c>
      <c r="BI198" s="114">
        <v>10593.967020023521</v>
      </c>
      <c r="BJ198" s="114">
        <v>7056.9252643501804</v>
      </c>
      <c r="BK198" s="114">
        <v>7502.5439275380768</v>
      </c>
      <c r="BL198" s="114">
        <v>9585.5041111135888</v>
      </c>
      <c r="BM198" s="114">
        <v>7279.1976435582592</v>
      </c>
      <c r="BN198" s="114">
        <v>7465.9268439832213</v>
      </c>
      <c r="BO198" s="114">
        <v>9197.8497275810278</v>
      </c>
      <c r="BP198" s="114">
        <v>10644.889095875535</v>
      </c>
      <c r="BQ198" s="114">
        <v>12611.799925552148</v>
      </c>
      <c r="BR198" s="114">
        <v>6089.7648730683231</v>
      </c>
      <c r="BS198" s="114">
        <v>8320.0331064509901</v>
      </c>
      <c r="BT198" s="114">
        <v>8562.129435177374</v>
      </c>
      <c r="BU198" s="114">
        <v>8695.12613486394</v>
      </c>
      <c r="BV198" s="114">
        <v>11393.083913393051</v>
      </c>
      <c r="BW198" s="114">
        <v>7922.3823882005236</v>
      </c>
      <c r="BX198" s="114">
        <v>16079.006663337865</v>
      </c>
      <c r="BY198" s="114">
        <v>15715.731328657961</v>
      </c>
      <c r="BZ198" s="114">
        <v>12548.890859578256</v>
      </c>
      <c r="CA198" s="114">
        <v>12623.169509386335</v>
      </c>
      <c r="CB198" s="114">
        <v>16467.972658912193</v>
      </c>
      <c r="CC198" s="114">
        <v>15621.298702314518</v>
      </c>
      <c r="CD198" s="114">
        <v>15875.243581395764</v>
      </c>
      <c r="CE198" s="114">
        <v>8045.4816054844769</v>
      </c>
      <c r="CF198" s="114">
        <v>9514.0860697323515</v>
      </c>
      <c r="CG198" s="114">
        <v>3408.1203163794207</v>
      </c>
      <c r="CH198" s="114">
        <v>2970.9894957190759</v>
      </c>
      <c r="CI198" s="114">
        <v>3019.4288625516783</v>
      </c>
      <c r="CJ198" s="114">
        <v>5473.9320408845442</v>
      </c>
      <c r="CK198" s="114">
        <v>6121.069635210999</v>
      </c>
      <c r="CL198" s="114">
        <v>9488.1066499272511</v>
      </c>
      <c r="CM198" s="114">
        <v>12802.179194655568</v>
      </c>
      <c r="CN198" s="114">
        <v>8730.7141532762453</v>
      </c>
      <c r="CO198" s="114">
        <v>8827.9821985421859</v>
      </c>
      <c r="CP198" s="114">
        <v>15667.459890916423</v>
      </c>
      <c r="CQ198" s="114">
        <v>3700.0958763336712</v>
      </c>
      <c r="CR198" s="114">
        <v>6960.3506877582158</v>
      </c>
      <c r="CS198" s="114">
        <v>4465.5727043692541</v>
      </c>
      <c r="CT198" s="114">
        <v>7886.9073253099932</v>
      </c>
      <c r="CU198" s="114">
        <v>5803.0477160543314</v>
      </c>
      <c r="CV198" s="114">
        <v>3746.5452722266682</v>
      </c>
      <c r="CW198" s="114">
        <v>511.45480367532792</v>
      </c>
      <c r="CX198" s="114">
        <v>7548.8669461047675</v>
      </c>
      <c r="CY198" s="114">
        <v>6947.4596310482157</v>
      </c>
      <c r="CZ198" s="114">
        <v>10061.646475038791</v>
      </c>
      <c r="DA198" s="114">
        <v>12406.009174645133</v>
      </c>
      <c r="DB198" s="114">
        <v>8986.6259140520106</v>
      </c>
      <c r="DC198" s="114">
        <v>8760.4066786971853</v>
      </c>
      <c r="DD198" s="114">
        <v>7500.2601942419078</v>
      </c>
      <c r="DE198" s="114">
        <v>8898.274085477984</v>
      </c>
      <c r="DF198" s="114">
        <v>7715.1416462065845</v>
      </c>
      <c r="DG198" s="114">
        <v>8772.5514681747081</v>
      </c>
      <c r="DH198" s="114">
        <v>2045.7636823419696</v>
      </c>
      <c r="DI198" s="114">
        <v>3963.111468141019</v>
      </c>
      <c r="DJ198" s="114">
        <v>11816.937965642139</v>
      </c>
      <c r="DK198" s="114">
        <v>8770.1039058332062</v>
      </c>
      <c r="DL198" s="114">
        <v>6956.9982132836094</v>
      </c>
      <c r="DM198" s="114">
        <v>6945.018732687764</v>
      </c>
      <c r="DN198" s="114">
        <v>14799.725660731378</v>
      </c>
      <c r="DO198" s="114">
        <v>7317.3549351027204</v>
      </c>
      <c r="DP198" s="114">
        <v>9025.0342793876971</v>
      </c>
      <c r="DQ198" s="114">
        <v>2990.6419754819963</v>
      </c>
      <c r="DR198" s="114">
        <v>8149.0263148015429</v>
      </c>
      <c r="DS198" s="114">
        <v>10601.395181418671</v>
      </c>
      <c r="DT198" s="114">
        <v>9442.963331654857</v>
      </c>
      <c r="DU198" s="114">
        <v>1104.3611763325118</v>
      </c>
      <c r="DV198" s="114">
        <v>10731.487139479124</v>
      </c>
      <c r="DW198" s="114">
        <v>2174.2781550599993</v>
      </c>
      <c r="DX198" s="114">
        <v>8885.2518177620186</v>
      </c>
      <c r="DY198" s="114">
        <v>9696.2934198463499</v>
      </c>
      <c r="DZ198" s="114">
        <v>9903.7721243168762</v>
      </c>
      <c r="EA198" s="114">
        <v>16117.809911436403</v>
      </c>
      <c r="EB198" s="114">
        <v>10829.629379796508</v>
      </c>
      <c r="EC198" s="114">
        <v>10483.500633936097</v>
      </c>
      <c r="ED198" s="114">
        <v>2753.9960567624335</v>
      </c>
      <c r="EE198" s="114">
        <v>7999.5705097736218</v>
      </c>
      <c r="EF198" s="114">
        <v>8278.9321665163898</v>
      </c>
      <c r="EG198" s="114">
        <v>4838.4613027291225</v>
      </c>
      <c r="EH198" s="114">
        <v>3943.4946127348458</v>
      </c>
      <c r="EI198" s="114">
        <v>3466.7561917559947</v>
      </c>
      <c r="EJ198" s="114">
        <v>16633.618410704865</v>
      </c>
      <c r="EK198" s="114">
        <v>18200.376258834458</v>
      </c>
      <c r="EL198" s="114">
        <v>18974.171158168279</v>
      </c>
      <c r="EM198" s="114">
        <v>1799.0212240314115</v>
      </c>
      <c r="EN198" s="114">
        <v>7807.8241131179711</v>
      </c>
      <c r="EO198" s="114">
        <v>10525.29802627555</v>
      </c>
      <c r="EP198" s="114">
        <v>5521.1707369252917</v>
      </c>
      <c r="EQ198" s="114">
        <v>7567.8006083742939</v>
      </c>
      <c r="ER198" s="114">
        <v>6711.0173152950629</v>
      </c>
      <c r="ES198" s="114">
        <v>8566.6209818042717</v>
      </c>
      <c r="ET198" s="114">
        <v>15566.141737810372</v>
      </c>
      <c r="EU198" s="114">
        <v>15829.66764892042</v>
      </c>
      <c r="EV198" s="114">
        <v>15945.428491464487</v>
      </c>
      <c r="EW198" s="114">
        <v>8661.4621244435457</v>
      </c>
      <c r="EX198" s="114">
        <v>10948.372045306711</v>
      </c>
      <c r="EY198" s="114">
        <v>6025.47842867701</v>
      </c>
      <c r="EZ198" s="114">
        <v>12634.27831821021</v>
      </c>
      <c r="FA198" s="114">
        <v>8011.0706154375557</v>
      </c>
      <c r="FB198" s="114">
        <v>12568.328884695984</v>
      </c>
      <c r="FC198" s="114">
        <v>2197.8762716003675</v>
      </c>
      <c r="FD198" s="114">
        <v>8170.1375338895778</v>
      </c>
      <c r="FE198" s="114">
        <v>8428.4902745931759</v>
      </c>
      <c r="FF198" s="114">
        <v>6850.6847336608034</v>
      </c>
      <c r="FG198" s="114">
        <v>9817.4046452736366</v>
      </c>
      <c r="FH198" s="114">
        <v>2712.9293707850743</v>
      </c>
      <c r="FI198" s="114">
        <v>8146.4721693972397</v>
      </c>
      <c r="FJ198" s="114">
        <v>10002.688166091992</v>
      </c>
      <c r="FK198" s="114">
        <v>9522.4899895368872</v>
      </c>
      <c r="FL198" s="114">
        <v>3172.5458738099114</v>
      </c>
      <c r="FM198" s="114">
        <v>7690.2238667381207</v>
      </c>
      <c r="FN198" s="114">
        <v>16382.426600306973</v>
      </c>
      <c r="FO198" s="114">
        <v>7867.5321529930025</v>
      </c>
      <c r="FP198" s="114">
        <v>8924.9247851344917</v>
      </c>
      <c r="FQ198" s="114">
        <v>6871.0115024249335</v>
      </c>
      <c r="FR198" s="114">
        <v>1701.1956237036559</v>
      </c>
      <c r="FS198" s="114">
        <v>4021.686390571937</v>
      </c>
      <c r="FT198" s="114">
        <v>7856.8196420361464</v>
      </c>
      <c r="FU198" s="114">
        <v>1009.2067872780533</v>
      </c>
      <c r="FV198" s="114">
        <v>3914.2274640908417</v>
      </c>
      <c r="FW198" s="114">
        <v>11232.636865856886</v>
      </c>
      <c r="FX198" s="114">
        <v>16214.320656756841</v>
      </c>
      <c r="FY198" s="114">
        <v>9092.2042588896402</v>
      </c>
      <c r="FZ198" s="114">
        <v>7107.6137031547396</v>
      </c>
      <c r="GA198" s="114">
        <v>4948.3600102860337</v>
      </c>
      <c r="GB198" s="114">
        <v>8259.1646790441446</v>
      </c>
      <c r="GC198" s="114">
        <v>7186.7163305431714</v>
      </c>
      <c r="GD198" s="114">
        <v>5245.0184934856261</v>
      </c>
      <c r="GE198" s="114">
        <v>9213.3989329025044</v>
      </c>
      <c r="GF198" s="114">
        <v>12336.677028807795</v>
      </c>
      <c r="GG198" s="114">
        <v>13147.186640140677</v>
      </c>
      <c r="GH198" s="114">
        <v>12955.350124825747</v>
      </c>
      <c r="GI198" s="114">
        <v>13342.982658324301</v>
      </c>
      <c r="GJ198" s="114">
        <v>17674.917852199891</v>
      </c>
      <c r="GK198" s="114">
        <v>4080.7051501389378</v>
      </c>
      <c r="GL198" s="114">
        <v>16422.517282553286</v>
      </c>
      <c r="GM198" s="114" t="s">
        <v>237</v>
      </c>
      <c r="GN198" s="114">
        <v>6469.5418028559234</v>
      </c>
      <c r="GO198" s="114">
        <v>9352.3973060206918</v>
      </c>
      <c r="GP198" s="114">
        <v>9172.7029362995745</v>
      </c>
      <c r="GQ198" s="114">
        <v>1143.558457303561</v>
      </c>
      <c r="GR198" s="114">
        <v>7763.8711055009553</v>
      </c>
      <c r="GS198" s="114">
        <v>8804.3576987891483</v>
      </c>
      <c r="GT198" s="115">
        <v>9860.0636198061165</v>
      </c>
    </row>
    <row r="199" spans="2:202" ht="12" customHeight="1" x14ac:dyDescent="0.6">
      <c r="B199" s="106" t="s">
        <v>181</v>
      </c>
      <c r="C199" s="63" t="s">
        <v>553</v>
      </c>
      <c r="D199" s="113">
        <v>3260.8389362513217</v>
      </c>
      <c r="E199" s="114">
        <v>4681.5202571115215</v>
      </c>
      <c r="F199" s="114">
        <v>5058.4904197726864</v>
      </c>
      <c r="G199" s="114">
        <v>4328.8947570095506</v>
      </c>
      <c r="H199" s="114">
        <v>11137.695264036167</v>
      </c>
      <c r="I199" s="114">
        <v>12268.086523610244</v>
      </c>
      <c r="J199" s="114">
        <v>2749.9414789412776</v>
      </c>
      <c r="K199" s="114">
        <v>12485.633902228115</v>
      </c>
      <c r="L199" s="114">
        <v>4449.8251169171244</v>
      </c>
      <c r="M199" s="114">
        <v>2819.4390485137801</v>
      </c>
      <c r="N199" s="114">
        <v>12236.625727388164</v>
      </c>
      <c r="O199" s="114">
        <v>1351.1316880366689</v>
      </c>
      <c r="P199" s="114">
        <v>4893.7872733473232</v>
      </c>
      <c r="Q199" s="114">
        <v>11026.741263061864</v>
      </c>
      <c r="R199" s="114">
        <v>4491.097664249015</v>
      </c>
      <c r="S199" s="114">
        <v>5291.9404082573892</v>
      </c>
      <c r="T199" s="114">
        <v>13671.896764718029</v>
      </c>
      <c r="U199" s="114">
        <v>4665.3177274373547</v>
      </c>
      <c r="V199" s="114">
        <v>4843.4160192502868</v>
      </c>
      <c r="W199" s="114">
        <v>12805.347056665103</v>
      </c>
      <c r="X199" s="114">
        <v>3978.0320155585728</v>
      </c>
      <c r="Y199" s="114">
        <v>4867.053792657458</v>
      </c>
      <c r="Z199" s="114">
        <v>10765.795699974711</v>
      </c>
      <c r="AA199" s="114">
        <v>10404.79408018408</v>
      </c>
      <c r="AB199" s="114">
        <v>7818.5701725915542</v>
      </c>
      <c r="AC199" s="114">
        <v>3616.6857644356287</v>
      </c>
      <c r="AD199" s="114">
        <v>4917.7167931060303</v>
      </c>
      <c r="AE199" s="114">
        <v>2640.946708818336</v>
      </c>
      <c r="AF199" s="114">
        <v>7213.644947153557</v>
      </c>
      <c r="AG199" s="114">
        <v>6520.7938750974254</v>
      </c>
      <c r="AH199" s="114">
        <v>3975.9418885449868</v>
      </c>
      <c r="AI199" s="114">
        <v>3828.6298971524479</v>
      </c>
      <c r="AJ199" s="114">
        <v>11307.035214159197</v>
      </c>
      <c r="AK199" s="114">
        <v>10947.53652866761</v>
      </c>
      <c r="AL199" s="114">
        <v>3085.4104731831062</v>
      </c>
      <c r="AM199" s="114">
        <v>3215.409552393543</v>
      </c>
      <c r="AN199" s="114">
        <v>13203.640203584948</v>
      </c>
      <c r="AO199" s="114">
        <v>7938.169989848835</v>
      </c>
      <c r="AP199" s="114">
        <v>7396.8430682861672</v>
      </c>
      <c r="AQ199" s="114">
        <v>12868.755227081076</v>
      </c>
      <c r="AR199" s="114">
        <v>2978.7852972994715</v>
      </c>
      <c r="AS199" s="114">
        <v>3860.8344160293732</v>
      </c>
      <c r="AT199" s="114">
        <v>3863.3087016593145</v>
      </c>
      <c r="AU199" s="114">
        <v>13673.636448864161</v>
      </c>
      <c r="AV199" s="114">
        <v>5377.807469855441</v>
      </c>
      <c r="AW199" s="114">
        <v>4283.5742756446525</v>
      </c>
      <c r="AX199" s="114">
        <v>12787.52474830044</v>
      </c>
      <c r="AY199" s="114">
        <v>2450.2483437557707</v>
      </c>
      <c r="AZ199" s="114">
        <v>4704.3854028713231</v>
      </c>
      <c r="BA199" s="114">
        <v>5216.0044680779711</v>
      </c>
      <c r="BB199" s="114">
        <v>523.36682041809149</v>
      </c>
      <c r="BC199" s="114">
        <v>11148.276014094074</v>
      </c>
      <c r="BD199" s="114">
        <v>11855.021560731837</v>
      </c>
      <c r="BE199" s="114">
        <v>3867.5538163118695</v>
      </c>
      <c r="BF199" s="114">
        <v>13486.744227270719</v>
      </c>
      <c r="BG199" s="114">
        <v>2103.9976401663589</v>
      </c>
      <c r="BH199" s="114">
        <v>13963.226980733256</v>
      </c>
      <c r="BI199" s="114">
        <v>4124.5317106809307</v>
      </c>
      <c r="BJ199" s="114">
        <v>605.38926748953111</v>
      </c>
      <c r="BK199" s="114">
        <v>5136.3872423078101</v>
      </c>
      <c r="BL199" s="114">
        <v>4833.4199769296129</v>
      </c>
      <c r="BM199" s="114">
        <v>944.14205891488916</v>
      </c>
      <c r="BN199" s="114">
        <v>5215.5014710858286</v>
      </c>
      <c r="BO199" s="114">
        <v>5300.8020756539281</v>
      </c>
      <c r="BP199" s="114">
        <v>4187.3827926923059</v>
      </c>
      <c r="BQ199" s="114">
        <v>6510.8616328077087</v>
      </c>
      <c r="BR199" s="114">
        <v>2897.9589681391381</v>
      </c>
      <c r="BS199" s="114">
        <v>4928.1123459164082</v>
      </c>
      <c r="BT199" s="114">
        <v>4705.2314767912785</v>
      </c>
      <c r="BU199" s="114">
        <v>5007.1606884395615</v>
      </c>
      <c r="BV199" s="114">
        <v>4956.1113328677384</v>
      </c>
      <c r="BW199" s="114">
        <v>3202.1940396350883</v>
      </c>
      <c r="BX199" s="114">
        <v>11313.81021073973</v>
      </c>
      <c r="BY199" s="114">
        <v>14009.584534920574</v>
      </c>
      <c r="BZ199" s="114">
        <v>6285.5679859315196</v>
      </c>
      <c r="CA199" s="114">
        <v>6446.7726627026577</v>
      </c>
      <c r="CB199" s="114">
        <v>11123.499938289142</v>
      </c>
      <c r="CC199" s="114">
        <v>12103.128464489804</v>
      </c>
      <c r="CD199" s="114">
        <v>13743.728620311475</v>
      </c>
      <c r="CE199" s="114">
        <v>4237.6926924130494</v>
      </c>
      <c r="CF199" s="114">
        <v>7306.7751028377006</v>
      </c>
      <c r="CG199" s="114">
        <v>3071.5215344199287</v>
      </c>
      <c r="CH199" s="114">
        <v>3677.472721617622</v>
      </c>
      <c r="CI199" s="114">
        <v>7253.658600399529</v>
      </c>
      <c r="CJ199" s="114">
        <v>2341.2926161807691</v>
      </c>
      <c r="CK199" s="114">
        <v>1982.7026369773582</v>
      </c>
      <c r="CL199" s="114">
        <v>6059.3392309078617</v>
      </c>
      <c r="CM199" s="114">
        <v>8121.4442026230918</v>
      </c>
      <c r="CN199" s="114">
        <v>4220.5770856218542</v>
      </c>
      <c r="CO199" s="114">
        <v>4672.6345718287175</v>
      </c>
      <c r="CP199" s="114">
        <v>12533.451212763894</v>
      </c>
      <c r="CQ199" s="114">
        <v>9506.2754225797689</v>
      </c>
      <c r="CR199" s="114">
        <v>2004.7139979756048</v>
      </c>
      <c r="CS199" s="114">
        <v>4650.0914971732236</v>
      </c>
      <c r="CT199" s="114">
        <v>2025.0769029665614</v>
      </c>
      <c r="CU199" s="114">
        <v>1597.426076082872</v>
      </c>
      <c r="CV199" s="114">
        <v>4175.6672306854507</v>
      </c>
      <c r="CW199" s="114">
        <v>6176.992253435531</v>
      </c>
      <c r="CX199" s="114">
        <v>4882.4384763613425</v>
      </c>
      <c r="CY199" s="114">
        <v>2207.8699481237459</v>
      </c>
      <c r="CZ199" s="114">
        <v>5275.3889731293148</v>
      </c>
      <c r="DA199" s="114">
        <v>6041.9850686278724</v>
      </c>
      <c r="DB199" s="114">
        <v>3669.8790878643072</v>
      </c>
      <c r="DC199" s="114">
        <v>4768.3607408923426</v>
      </c>
      <c r="DD199" s="114">
        <v>4638.8147062276676</v>
      </c>
      <c r="DE199" s="114">
        <v>5109.769952267462</v>
      </c>
      <c r="DF199" s="114">
        <v>3787.0976023822691</v>
      </c>
      <c r="DG199" s="114">
        <v>3471.6072325636169</v>
      </c>
      <c r="DH199" s="114">
        <v>6405.5165572338256</v>
      </c>
      <c r="DI199" s="114">
        <v>3423.6902396255477</v>
      </c>
      <c r="DJ199" s="114">
        <v>5583.5541425533538</v>
      </c>
      <c r="DK199" s="114">
        <v>3719.4872080349119</v>
      </c>
      <c r="DL199" s="114">
        <v>4196.1648271494278</v>
      </c>
      <c r="DM199" s="114">
        <v>4210.0523875436293</v>
      </c>
      <c r="DN199" s="114">
        <v>14455.862607089941</v>
      </c>
      <c r="DO199" s="114">
        <v>3792.8226974000377</v>
      </c>
      <c r="DP199" s="114">
        <v>4687.4698114434686</v>
      </c>
      <c r="DQ199" s="114">
        <v>6724.4206242967603</v>
      </c>
      <c r="DR199" s="114">
        <v>3835.9630541242</v>
      </c>
      <c r="DS199" s="114">
        <v>5492.1108903695067</v>
      </c>
      <c r="DT199" s="114">
        <v>4731.3388747819663</v>
      </c>
      <c r="DU199" s="114">
        <v>5547.2940130651032</v>
      </c>
      <c r="DV199" s="114">
        <v>5131.8816984453879</v>
      </c>
      <c r="DW199" s="114">
        <v>4429.6065743654526</v>
      </c>
      <c r="DX199" s="114">
        <v>5379.2475400385183</v>
      </c>
      <c r="DY199" s="114">
        <v>14606.54161670121</v>
      </c>
      <c r="DZ199" s="114">
        <v>14457.001262352122</v>
      </c>
      <c r="EA199" s="114">
        <v>13761.052061985762</v>
      </c>
      <c r="EB199" s="114">
        <v>4538.3148001399222</v>
      </c>
      <c r="EC199" s="114">
        <v>4062.7993467921378</v>
      </c>
      <c r="ED199" s="114">
        <v>8180.9801901961846</v>
      </c>
      <c r="EE199" s="114">
        <v>3686.3817167053421</v>
      </c>
      <c r="EF199" s="114">
        <v>5625.6030250985914</v>
      </c>
      <c r="EG199" s="114">
        <v>1730.4555268141262</v>
      </c>
      <c r="EH199" s="114">
        <v>2609.1483351649654</v>
      </c>
      <c r="EI199" s="114">
        <v>3527.6771301661183</v>
      </c>
      <c r="EJ199" s="114">
        <v>13221.686981089815</v>
      </c>
      <c r="EK199" s="114">
        <v>11857.981728708661</v>
      </c>
      <c r="EL199" s="114">
        <v>13668.812786303086</v>
      </c>
      <c r="EM199" s="114">
        <v>8205.8803473509743</v>
      </c>
      <c r="EN199" s="114">
        <v>4572.5234060568382</v>
      </c>
      <c r="EO199" s="114">
        <v>5777.153431619191</v>
      </c>
      <c r="EP199" s="114">
        <v>1318.5133674706187</v>
      </c>
      <c r="EQ199" s="114">
        <v>3638.2439189840552</v>
      </c>
      <c r="ER199" s="114">
        <v>4525.7268652931689</v>
      </c>
      <c r="ES199" s="114">
        <v>2444.9424102381231</v>
      </c>
      <c r="ET199" s="114">
        <v>11194.794916068269</v>
      </c>
      <c r="EU199" s="114">
        <v>11123.749425361319</v>
      </c>
      <c r="EV199" s="114">
        <v>11209.870253750169</v>
      </c>
      <c r="EW199" s="114">
        <v>4348.4453618709504</v>
      </c>
      <c r="EX199" s="114">
        <v>4484.3111074901954</v>
      </c>
      <c r="EY199" s="114">
        <v>1031.8569010482195</v>
      </c>
      <c r="EZ199" s="114">
        <v>6585.46433267263</v>
      </c>
      <c r="FA199" s="114">
        <v>3938.5330529691973</v>
      </c>
      <c r="FB199" s="114">
        <v>6275.3918907079105</v>
      </c>
      <c r="FC199" s="114">
        <v>6718.40937687515</v>
      </c>
      <c r="FD199" s="114">
        <v>4404.2786146520166</v>
      </c>
      <c r="FE199" s="114">
        <v>4395.9403096869937</v>
      </c>
      <c r="FF199" s="114">
        <v>1488.9205008428651</v>
      </c>
      <c r="FG199" s="114">
        <v>4860.2175184475291</v>
      </c>
      <c r="FH199" s="114">
        <v>8310.1356590253927</v>
      </c>
      <c r="FI199" s="114">
        <v>1807.4404559624898</v>
      </c>
      <c r="FJ199" s="114">
        <v>5354.7045522458502</v>
      </c>
      <c r="FK199" s="114">
        <v>4953.1474039146851</v>
      </c>
      <c r="FL199" s="114">
        <v>3996.8973888162477</v>
      </c>
      <c r="FM199" s="114">
        <v>1269.610641835362</v>
      </c>
      <c r="FN199" s="114">
        <v>10835.265902687863</v>
      </c>
      <c r="FO199" s="114">
        <v>5322.9267154501722</v>
      </c>
      <c r="FP199" s="114">
        <v>4863.5524137557068</v>
      </c>
      <c r="FQ199" s="114">
        <v>2150.5970813999052</v>
      </c>
      <c r="FR199" s="114">
        <v>8045.5405748590274</v>
      </c>
      <c r="FS199" s="114">
        <v>3488.2429266614977</v>
      </c>
      <c r="FT199" s="114">
        <v>2524.6813061002858</v>
      </c>
      <c r="FU199" s="114">
        <v>6029.7790745461098</v>
      </c>
      <c r="FV199" s="114">
        <v>9310.0805229177477</v>
      </c>
      <c r="FW199" s="114">
        <v>4799.2356924376099</v>
      </c>
      <c r="FX199" s="114">
        <v>11337.944131092834</v>
      </c>
      <c r="FY199" s="114">
        <v>4103.6377929275986</v>
      </c>
      <c r="FZ199" s="114">
        <v>2919.8970517383418</v>
      </c>
      <c r="GA199" s="114">
        <v>2835.2838905153271</v>
      </c>
      <c r="GB199" s="114">
        <v>2133.2191760883929</v>
      </c>
      <c r="GC199" s="114">
        <v>4080.7928310570096</v>
      </c>
      <c r="GD199" s="114">
        <v>1441.8301478716728</v>
      </c>
      <c r="GE199" s="114">
        <v>5596.4266448230583</v>
      </c>
      <c r="GF199" s="114">
        <v>14213.382449779674</v>
      </c>
      <c r="GG199" s="114">
        <v>11111.850262917429</v>
      </c>
      <c r="GH199" s="114">
        <v>10808.235012372275</v>
      </c>
      <c r="GI199" s="114">
        <v>11436.107601428977</v>
      </c>
      <c r="GJ199" s="114">
        <v>11896.848831486879</v>
      </c>
      <c r="GK199" s="114">
        <v>3739.8686894704147</v>
      </c>
      <c r="GL199" s="114">
        <v>11872.651896739857</v>
      </c>
      <c r="GM199" s="114">
        <v>6469.5418028559234</v>
      </c>
      <c r="GN199" s="114" t="s">
        <v>237</v>
      </c>
      <c r="GO199" s="114">
        <v>3836.16519477474</v>
      </c>
      <c r="GP199" s="114">
        <v>3922.5950598913005</v>
      </c>
      <c r="GQ199" s="114">
        <v>6759.6831322993148</v>
      </c>
      <c r="GR199" s="114">
        <v>12325.873430950905</v>
      </c>
      <c r="GS199" s="114">
        <v>4834.7612238603124</v>
      </c>
      <c r="GT199" s="115">
        <v>4941.5322894113142</v>
      </c>
    </row>
    <row r="200" spans="2:202" ht="12" customHeight="1" x14ac:dyDescent="0.6">
      <c r="B200" s="106" t="s">
        <v>182</v>
      </c>
      <c r="C200" s="63" t="s">
        <v>525</v>
      </c>
      <c r="D200" s="113">
        <v>7008.1423034635718</v>
      </c>
      <c r="E200" s="114">
        <v>6323.2591684529298</v>
      </c>
      <c r="F200" s="114">
        <v>6968.5253276785597</v>
      </c>
      <c r="G200" s="114">
        <v>1797.6685942969841</v>
      </c>
      <c r="H200" s="114">
        <v>10502.291421753658</v>
      </c>
      <c r="I200" s="114">
        <v>8848.1348135777916</v>
      </c>
      <c r="J200" s="114">
        <v>6380.7653375924092</v>
      </c>
      <c r="K200" s="114">
        <v>11865.417983363817</v>
      </c>
      <c r="L200" s="114">
        <v>7148.6494519194503</v>
      </c>
      <c r="M200" s="114">
        <v>6563.2458353314269</v>
      </c>
      <c r="N200" s="114">
        <v>12238.550459903834</v>
      </c>
      <c r="O200" s="114">
        <v>5187.1203847841034</v>
      </c>
      <c r="P200" s="114">
        <v>8003.601470863272</v>
      </c>
      <c r="Q200" s="114">
        <v>10121.340050418463</v>
      </c>
      <c r="R200" s="114">
        <v>7650.6524226062638</v>
      </c>
      <c r="S200" s="114">
        <v>7679.9878330289785</v>
      </c>
      <c r="T200" s="114">
        <v>13259.004804777147</v>
      </c>
      <c r="U200" s="114">
        <v>3709.8260053071663</v>
      </c>
      <c r="V200" s="114">
        <v>8127.4848079487483</v>
      </c>
      <c r="W200" s="114">
        <v>10182.671756557465</v>
      </c>
      <c r="X200" s="114">
        <v>6615.5611786474856</v>
      </c>
      <c r="Y200" s="114">
        <v>1054.9150843667107</v>
      </c>
      <c r="Z200" s="114">
        <v>7816.4857775593046</v>
      </c>
      <c r="AA200" s="114">
        <v>7475.9798594365966</v>
      </c>
      <c r="AB200" s="114">
        <v>9802.094918617875</v>
      </c>
      <c r="AC200" s="114">
        <v>6439.3465854877986</v>
      </c>
      <c r="AD200" s="114">
        <v>4451.8203441460018</v>
      </c>
      <c r="AE200" s="114">
        <v>1352.3059003248447</v>
      </c>
      <c r="AF200" s="114">
        <v>6585.3178618077545</v>
      </c>
      <c r="AG200" s="114">
        <v>8908.8574539028414</v>
      </c>
      <c r="AH200" s="114">
        <v>2957.8699382219506</v>
      </c>
      <c r="AI200" s="114">
        <v>2790.2509441147317</v>
      </c>
      <c r="AJ200" s="114">
        <v>12577.055834350531</v>
      </c>
      <c r="AK200" s="114">
        <v>12262.719395139167</v>
      </c>
      <c r="AL200" s="114">
        <v>2423.5196345591812</v>
      </c>
      <c r="AM200" s="114">
        <v>3391.2453813904999</v>
      </c>
      <c r="AN200" s="114">
        <v>9852.2904614150484</v>
      </c>
      <c r="AO200" s="114">
        <v>11186.935269864527</v>
      </c>
      <c r="AP200" s="114">
        <v>10917.658648963601</v>
      </c>
      <c r="AQ200" s="114">
        <v>11437.424770341635</v>
      </c>
      <c r="AR200" s="114">
        <v>1678.6966958388332</v>
      </c>
      <c r="AS200" s="114">
        <v>1859.4788899892401</v>
      </c>
      <c r="AT200" s="114">
        <v>1893.1007453578761</v>
      </c>
      <c r="AU200" s="114">
        <v>12649.127997633768</v>
      </c>
      <c r="AV200" s="114">
        <v>4222.2171333613678</v>
      </c>
      <c r="AW200" s="114">
        <v>6876.3162628996188</v>
      </c>
      <c r="AX200" s="114">
        <v>12715.46443184258</v>
      </c>
      <c r="AY200" s="114">
        <v>5627.6988343627436</v>
      </c>
      <c r="AZ200" s="114">
        <v>7391.6873828579282</v>
      </c>
      <c r="BA200" s="114">
        <v>7999.8746989651827</v>
      </c>
      <c r="BB200" s="114">
        <v>3313.9126145409382</v>
      </c>
      <c r="BC200" s="114">
        <v>10385.872871024907</v>
      </c>
      <c r="BD200" s="114">
        <v>11331.083269480709</v>
      </c>
      <c r="BE200" s="114">
        <v>1882.4585070686323</v>
      </c>
      <c r="BF200" s="114">
        <v>11772.141889939978</v>
      </c>
      <c r="BG200" s="114">
        <v>5046.1365894833143</v>
      </c>
      <c r="BH200" s="114">
        <v>13276.521424574912</v>
      </c>
      <c r="BI200" s="114">
        <v>3003.6092088947212</v>
      </c>
      <c r="BJ200" s="114">
        <v>3575.2502714222055</v>
      </c>
      <c r="BK200" s="114">
        <v>8290.7506563464667</v>
      </c>
      <c r="BL200" s="114">
        <v>1248.8251783637686</v>
      </c>
      <c r="BM200" s="114">
        <v>2928.9887702548276</v>
      </c>
      <c r="BN200" s="114">
        <v>8392.1477720389921</v>
      </c>
      <c r="BO200" s="114">
        <v>7542.5712692031384</v>
      </c>
      <c r="BP200" s="114">
        <v>2700.815189756036</v>
      </c>
      <c r="BQ200" s="114">
        <v>5840.5429185484863</v>
      </c>
      <c r="BR200" s="114">
        <v>6526.0631849767924</v>
      </c>
      <c r="BS200" s="114">
        <v>7650.8466819731702</v>
      </c>
      <c r="BT200" s="114">
        <v>7240.7077473603713</v>
      </c>
      <c r="BU200" s="114">
        <v>7517.1178068717991</v>
      </c>
      <c r="BV200" s="114">
        <v>3863.2635517690446</v>
      </c>
      <c r="BW200" s="114">
        <v>5898.283907529446</v>
      </c>
      <c r="BX200" s="114">
        <v>10348.806500057222</v>
      </c>
      <c r="BY200" s="114">
        <v>13414.600070031387</v>
      </c>
      <c r="BZ200" s="114">
        <v>5340.1333540529404</v>
      </c>
      <c r="CA200" s="114">
        <v>5646.9689025995849</v>
      </c>
      <c r="CB200" s="114">
        <v>9801.3953964131524</v>
      </c>
      <c r="CC200" s="114">
        <v>11602.841841290588</v>
      </c>
      <c r="CD200" s="114">
        <v>13080.837929916373</v>
      </c>
      <c r="CE200" s="114">
        <v>7016.5675617391089</v>
      </c>
      <c r="CF200" s="114">
        <v>9782.6177476643152</v>
      </c>
      <c r="CG200" s="114">
        <v>6207.9130574992205</v>
      </c>
      <c r="CH200" s="114">
        <v>7161.7670767760874</v>
      </c>
      <c r="CI200" s="114">
        <v>8571.7773628809555</v>
      </c>
      <c r="CJ200" s="114">
        <v>6144.4157326834529</v>
      </c>
      <c r="CK200" s="114">
        <v>5656.6134319828334</v>
      </c>
      <c r="CL200" s="114">
        <v>8291.2727693876786</v>
      </c>
      <c r="CM200" s="114">
        <v>8524.2391925201118</v>
      </c>
      <c r="CN200" s="114">
        <v>6525.4165436972335</v>
      </c>
      <c r="CO200" s="114">
        <v>7019.7566730934641</v>
      </c>
      <c r="CP200" s="114">
        <v>12039.940514577977</v>
      </c>
      <c r="CQ200" s="114">
        <v>12925.466384131536</v>
      </c>
      <c r="CR200" s="114">
        <v>5268.3619306665369</v>
      </c>
      <c r="CS200" s="114">
        <v>8483.6245148201269</v>
      </c>
      <c r="CT200" s="114">
        <v>1815.3421031120242</v>
      </c>
      <c r="CU200" s="114">
        <v>5395.3490723748628</v>
      </c>
      <c r="CV200" s="114">
        <v>7980.188452241764</v>
      </c>
      <c r="CW200" s="114">
        <v>8908.0871790544898</v>
      </c>
      <c r="CX200" s="114">
        <v>7993.9472486433897</v>
      </c>
      <c r="CY200" s="114">
        <v>5480.1737006761605</v>
      </c>
      <c r="CZ200" s="114">
        <v>1548.1235712939301</v>
      </c>
      <c r="DA200" s="114">
        <v>4878.9085683430339</v>
      </c>
      <c r="DB200" s="114">
        <v>5549.2270470203403</v>
      </c>
      <c r="DC200" s="114">
        <v>7184.9680121565825</v>
      </c>
      <c r="DD200" s="114">
        <v>7750.9653156377162</v>
      </c>
      <c r="DE200" s="114">
        <v>7509.5486225793366</v>
      </c>
      <c r="DF200" s="114">
        <v>2068.3069526468407</v>
      </c>
      <c r="DG200" s="114">
        <v>589.75569631520227</v>
      </c>
      <c r="DH200" s="114">
        <v>8308.3329081480097</v>
      </c>
      <c r="DI200" s="114">
        <v>5409.7894130074301</v>
      </c>
      <c r="DJ200" s="114">
        <v>4987.9527184046874</v>
      </c>
      <c r="DK200" s="114">
        <v>5836.3230052911213</v>
      </c>
      <c r="DL200" s="114">
        <v>3128.9082148361099</v>
      </c>
      <c r="DM200" s="114">
        <v>3150.2055952884748</v>
      </c>
      <c r="DN200" s="114">
        <v>14417.388762010816</v>
      </c>
      <c r="DO200" s="114">
        <v>6926.7446765775203</v>
      </c>
      <c r="DP200" s="114">
        <v>6893.0337121993152</v>
      </c>
      <c r="DQ200" s="114">
        <v>10451.194047799199</v>
      </c>
      <c r="DR200" s="114">
        <v>6482.6149016653435</v>
      </c>
      <c r="DS200" s="114">
        <v>6616.532411460078</v>
      </c>
      <c r="DT200" s="114">
        <v>1224.2967996141285</v>
      </c>
      <c r="DU200" s="114">
        <v>8256.8508327881427</v>
      </c>
      <c r="DV200" s="114">
        <v>1408.9380462159527</v>
      </c>
      <c r="DW200" s="114">
        <v>7768.52317428686</v>
      </c>
      <c r="DX200" s="114">
        <v>7844.5378731198462</v>
      </c>
      <c r="DY200" s="114">
        <v>13242.587604912014</v>
      </c>
      <c r="DZ200" s="114">
        <v>12839.140732909937</v>
      </c>
      <c r="EA200" s="114">
        <v>12939.767859994206</v>
      </c>
      <c r="EB200" s="114">
        <v>4280.4819599532539</v>
      </c>
      <c r="EC200" s="114">
        <v>3548.4215130643629</v>
      </c>
      <c r="ED200" s="114">
        <v>11678.189451222086</v>
      </c>
      <c r="EE200" s="114">
        <v>6409.58697304827</v>
      </c>
      <c r="EF200" s="114">
        <v>8473.1713534073861</v>
      </c>
      <c r="EG200" s="114">
        <v>5408.5091812843948</v>
      </c>
      <c r="EH200" s="114">
        <v>6145.6397977802299</v>
      </c>
      <c r="EI200" s="114">
        <v>7211.0398979070396</v>
      </c>
      <c r="EJ200" s="114">
        <v>12125.198090052756</v>
      </c>
      <c r="EK200" s="114">
        <v>8848.4005366503952</v>
      </c>
      <c r="EL200" s="114">
        <v>11238.195693866481</v>
      </c>
      <c r="EM200" s="114">
        <v>10721.523582082329</v>
      </c>
      <c r="EN200" s="114">
        <v>7527.4816410683788</v>
      </c>
      <c r="EO200" s="114">
        <v>7120.8373598086546</v>
      </c>
      <c r="EP200" s="114">
        <v>5150.3910974163364</v>
      </c>
      <c r="EQ200" s="114">
        <v>6624.9564725363025</v>
      </c>
      <c r="ER200" s="114">
        <v>7948.4573137824073</v>
      </c>
      <c r="ES200" s="114">
        <v>1536.1686094277532</v>
      </c>
      <c r="ET200" s="114">
        <v>10564.367337104959</v>
      </c>
      <c r="EU200" s="114">
        <v>10283.266358793215</v>
      </c>
      <c r="EV200" s="114">
        <v>10310.895657189758</v>
      </c>
      <c r="EW200" s="114">
        <v>6737.9721509523533</v>
      </c>
      <c r="EX200" s="114">
        <v>2940.1603953263625</v>
      </c>
      <c r="EY200" s="114">
        <v>4837.8743112630309</v>
      </c>
      <c r="EZ200" s="114">
        <v>5984.1037562480687</v>
      </c>
      <c r="FA200" s="114">
        <v>6693.9484909527819</v>
      </c>
      <c r="FB200" s="114">
        <v>5254.4634637745003</v>
      </c>
      <c r="FC200" s="114">
        <v>8511.6997848299543</v>
      </c>
      <c r="FD200" s="114">
        <v>7132.9811991796623</v>
      </c>
      <c r="FE200" s="114">
        <v>6958.6149790887212</v>
      </c>
      <c r="FF200" s="114">
        <v>2689.7917809831997</v>
      </c>
      <c r="FG200" s="114">
        <v>1129.7481218345704</v>
      </c>
      <c r="FH200" s="114">
        <v>11756.106959671875</v>
      </c>
      <c r="FI200" s="114">
        <v>2270.0545402687462</v>
      </c>
      <c r="FJ200" s="114">
        <v>6985.5978791948446</v>
      </c>
      <c r="FK200" s="114">
        <v>6844.2976589659447</v>
      </c>
      <c r="FL200" s="114">
        <v>6207.5879742307143</v>
      </c>
      <c r="FM200" s="114">
        <v>3432.4581489645957</v>
      </c>
      <c r="FN200" s="114">
        <v>9449.781960225584</v>
      </c>
      <c r="FO200" s="114">
        <v>8332.6551153330984</v>
      </c>
      <c r="FP200" s="114">
        <v>7188.159372925471</v>
      </c>
      <c r="FQ200" s="114">
        <v>5468.5398660551173</v>
      </c>
      <c r="FR200" s="114">
        <v>11053.453087785536</v>
      </c>
      <c r="FS200" s="114">
        <v>7291.5239464085043</v>
      </c>
      <c r="FT200" s="114">
        <v>1535.9134630679125</v>
      </c>
      <c r="FU200" s="114">
        <v>8552.2813722672327</v>
      </c>
      <c r="FV200" s="114">
        <v>10521.92272512172</v>
      </c>
      <c r="FW200" s="114">
        <v>3803.741042690006</v>
      </c>
      <c r="FX200" s="114">
        <v>10282.421823492647</v>
      </c>
      <c r="FY200" s="114">
        <v>6061.5509010425931</v>
      </c>
      <c r="FZ200" s="114">
        <v>6115.9475181862745</v>
      </c>
      <c r="GA200" s="114">
        <v>6668.7670033856602</v>
      </c>
      <c r="GB200" s="114">
        <v>1780.3927399140944</v>
      </c>
      <c r="GC200" s="114">
        <v>7295.1139732301663</v>
      </c>
      <c r="GD200" s="114">
        <v>5229.9685140142283</v>
      </c>
      <c r="GE200" s="114">
        <v>7898.934625705102</v>
      </c>
      <c r="GF200" s="114">
        <v>16058.709146101564</v>
      </c>
      <c r="GG200" s="114">
        <v>12123.099184588062</v>
      </c>
      <c r="GH200" s="114">
        <v>11893.806042095741</v>
      </c>
      <c r="GI200" s="114">
        <v>12367.973184827068</v>
      </c>
      <c r="GJ200" s="114">
        <v>8537.8696928021363</v>
      </c>
      <c r="GK200" s="114">
        <v>7560.6783369273971</v>
      </c>
      <c r="GL200" s="114">
        <v>10806.354754334821</v>
      </c>
      <c r="GM200" s="114">
        <v>9352.3973060206918</v>
      </c>
      <c r="GN200" s="114">
        <v>3836.16519477474</v>
      </c>
      <c r="GO200" s="114" t="s">
        <v>237</v>
      </c>
      <c r="GP200" s="114">
        <v>387.62699719778226</v>
      </c>
      <c r="GQ200" s="114">
        <v>9113.2055228189038</v>
      </c>
      <c r="GR200" s="114">
        <v>11641.925966466295</v>
      </c>
      <c r="GS200" s="114">
        <v>7236.2573284746304</v>
      </c>
      <c r="GT200" s="115">
        <v>1214.3189839910681</v>
      </c>
    </row>
    <row r="201" spans="2:202" ht="12" customHeight="1" x14ac:dyDescent="0.6">
      <c r="B201" s="106" t="s">
        <v>183</v>
      </c>
      <c r="C201" s="63" t="s">
        <v>526</v>
      </c>
      <c r="D201" s="113">
        <v>7021.2461050482661</v>
      </c>
      <c r="E201" s="114">
        <v>6668.6591804733343</v>
      </c>
      <c r="F201" s="114">
        <v>7307.447657073687</v>
      </c>
      <c r="G201" s="114">
        <v>2173.7671461462992</v>
      </c>
      <c r="H201" s="114">
        <v>10861.725766069372</v>
      </c>
      <c r="I201" s="114">
        <v>8960.2576277947373</v>
      </c>
      <c r="J201" s="114">
        <v>6543.5770308165093</v>
      </c>
      <c r="K201" s="114">
        <v>11479.114910806298</v>
      </c>
      <c r="L201" s="114">
        <v>7435.954873870287</v>
      </c>
      <c r="M201" s="114">
        <v>6698.9692307301402</v>
      </c>
      <c r="N201" s="114">
        <v>12609.023974767741</v>
      </c>
      <c r="O201" s="114">
        <v>5269.8976834573168</v>
      </c>
      <c r="P201" s="114">
        <v>7874.2662762418495</v>
      </c>
      <c r="Q201" s="114">
        <v>10471.938921324669</v>
      </c>
      <c r="R201" s="114">
        <v>7897.3338429136793</v>
      </c>
      <c r="S201" s="114">
        <v>7997.0578738800814</v>
      </c>
      <c r="T201" s="114">
        <v>13602.762633323506</v>
      </c>
      <c r="U201" s="114">
        <v>4097.4509295944799</v>
      </c>
      <c r="V201" s="114">
        <v>8023.594483411267</v>
      </c>
      <c r="W201" s="114">
        <v>10400.572258275246</v>
      </c>
      <c r="X201" s="114">
        <v>6901.1883304089051</v>
      </c>
      <c r="Y201" s="114">
        <v>963.87394778535406</v>
      </c>
      <c r="Z201" s="114">
        <v>8022.0557602996023</v>
      </c>
      <c r="AA201" s="114">
        <v>7688.6855134131702</v>
      </c>
      <c r="AB201" s="114">
        <v>9521.9663618277973</v>
      </c>
      <c r="AC201" s="114">
        <v>6706.4677531444777</v>
      </c>
      <c r="AD201" s="114">
        <v>4838.8972449505163</v>
      </c>
      <c r="AE201" s="114">
        <v>1599.3978890642554</v>
      </c>
      <c r="AF201" s="114">
        <v>6967.1543737575748</v>
      </c>
      <c r="AG201" s="114">
        <v>8678.1055643603395</v>
      </c>
      <c r="AH201" s="114">
        <v>3343.1475652243389</v>
      </c>
      <c r="AI201" s="114">
        <v>3173.9845169732666</v>
      </c>
      <c r="AJ201" s="114">
        <v>12964.141049187141</v>
      </c>
      <c r="AK201" s="114">
        <v>12649.011730264499</v>
      </c>
      <c r="AL201" s="114">
        <v>2781.1756316582519</v>
      </c>
      <c r="AM201" s="114">
        <v>3746.6934360125529</v>
      </c>
      <c r="AN201" s="114">
        <v>9968.0878507106772</v>
      </c>
      <c r="AO201" s="114">
        <v>11041.021448691316</v>
      </c>
      <c r="AP201" s="114">
        <v>10831.172483449516</v>
      </c>
      <c r="AQ201" s="114">
        <v>11744.139303843442</v>
      </c>
      <c r="AR201" s="114">
        <v>1468.5381305066528</v>
      </c>
      <c r="AS201" s="114">
        <v>2247.0432825867033</v>
      </c>
      <c r="AT201" s="114">
        <v>2280.6452209217014</v>
      </c>
      <c r="AU201" s="114">
        <v>12966.450327573901</v>
      </c>
      <c r="AV201" s="114">
        <v>4606.3319096201212</v>
      </c>
      <c r="AW201" s="114">
        <v>7169.0149034302613</v>
      </c>
      <c r="AX201" s="114">
        <v>13079.840334546074</v>
      </c>
      <c r="AY201" s="114">
        <v>5845.8134623965852</v>
      </c>
      <c r="AZ201" s="114">
        <v>7682.7487890052444</v>
      </c>
      <c r="BA201" s="114">
        <v>8288.8438991905277</v>
      </c>
      <c r="BB201" s="114">
        <v>3399.7659229683945</v>
      </c>
      <c r="BC201" s="114">
        <v>10740.829820954114</v>
      </c>
      <c r="BD201" s="114">
        <v>11688.785637291605</v>
      </c>
      <c r="BE201" s="114">
        <v>2270.0278786224699</v>
      </c>
      <c r="BF201" s="114">
        <v>12053.556522264638</v>
      </c>
      <c r="BG201" s="114">
        <v>5275.1029930773575</v>
      </c>
      <c r="BH201" s="114">
        <v>13605.191238530693</v>
      </c>
      <c r="BI201" s="114">
        <v>3390.4554816644459</v>
      </c>
      <c r="BJ201" s="114">
        <v>3719.9681720041372</v>
      </c>
      <c r="BK201" s="114">
        <v>8543.8873420687996</v>
      </c>
      <c r="BL201" s="114">
        <v>972.96434655980931</v>
      </c>
      <c r="BM201" s="114">
        <v>3051.4462967259342</v>
      </c>
      <c r="BN201" s="114">
        <v>8643.4118659712731</v>
      </c>
      <c r="BO201" s="114">
        <v>7868.0049355863475</v>
      </c>
      <c r="BP201" s="114">
        <v>3088.4329424370235</v>
      </c>
      <c r="BQ201" s="114">
        <v>6224.7012620828355</v>
      </c>
      <c r="BR201" s="114">
        <v>6690.6271339787081</v>
      </c>
      <c r="BS201" s="114">
        <v>7941.6802880669675</v>
      </c>
      <c r="BT201" s="114">
        <v>7542.2781847584938</v>
      </c>
      <c r="BU201" s="114">
        <v>7823.6751654915843</v>
      </c>
      <c r="BV201" s="114">
        <v>4249.9444262061197</v>
      </c>
      <c r="BW201" s="114">
        <v>6167.801861957264</v>
      </c>
      <c r="BX201" s="114">
        <v>10694.602336186066</v>
      </c>
      <c r="BY201" s="114">
        <v>13746.496161285973</v>
      </c>
      <c r="BZ201" s="114">
        <v>5721.7346383308013</v>
      </c>
      <c r="CA201" s="114">
        <v>6029.8103105055879</v>
      </c>
      <c r="CB201" s="114">
        <v>10132.938442621275</v>
      </c>
      <c r="CC201" s="114">
        <v>11959.328288050534</v>
      </c>
      <c r="CD201" s="114">
        <v>13413.612304817061</v>
      </c>
      <c r="CE201" s="114">
        <v>7295.3207523231749</v>
      </c>
      <c r="CF201" s="114">
        <v>10111.236021425246</v>
      </c>
      <c r="CG201" s="114">
        <v>6115.0375210639904</v>
      </c>
      <c r="CH201" s="114">
        <v>7107.2535956848224</v>
      </c>
      <c r="CI201" s="114">
        <v>8257.5709790916917</v>
      </c>
      <c r="CJ201" s="114">
        <v>6255.7139427671436</v>
      </c>
      <c r="CK201" s="114">
        <v>5803.807765434115</v>
      </c>
      <c r="CL201" s="114">
        <v>8624.2364233041953</v>
      </c>
      <c r="CM201" s="114">
        <v>8911.8640183268781</v>
      </c>
      <c r="CN201" s="114">
        <v>6834.7928475218168</v>
      </c>
      <c r="CO201" s="114">
        <v>7332.4868559397173</v>
      </c>
      <c r="CP201" s="114">
        <v>12392.898102836163</v>
      </c>
      <c r="CQ201" s="114">
        <v>12794.954225411253</v>
      </c>
      <c r="CR201" s="114">
        <v>5469.6744390878466</v>
      </c>
      <c r="CS201" s="114">
        <v>8568.5089476042667</v>
      </c>
      <c r="CT201" s="114">
        <v>1904.0297252351468</v>
      </c>
      <c r="CU201" s="114">
        <v>5506.5079243429655</v>
      </c>
      <c r="CV201" s="114">
        <v>8013.4814628773147</v>
      </c>
      <c r="CW201" s="114">
        <v>8715.3684234311859</v>
      </c>
      <c r="CX201" s="114">
        <v>8249.5184154420858</v>
      </c>
      <c r="CY201" s="114">
        <v>5684.7503111384203</v>
      </c>
      <c r="CZ201" s="114">
        <v>1360.3574803499471</v>
      </c>
      <c r="DA201" s="114">
        <v>5258.5008790620204</v>
      </c>
      <c r="DB201" s="114">
        <v>5870.3989585443996</v>
      </c>
      <c r="DC201" s="114">
        <v>7494.7235149434837</v>
      </c>
      <c r="DD201" s="114">
        <v>8004.1721396439707</v>
      </c>
      <c r="DE201" s="114">
        <v>7824.0489153648878</v>
      </c>
      <c r="DF201" s="114">
        <v>1726.7117744635586</v>
      </c>
      <c r="DG201" s="114">
        <v>463.43628613242055</v>
      </c>
      <c r="DH201" s="114">
        <v>8041.2847149251393</v>
      </c>
      <c r="DI201" s="114">
        <v>5213.0410596445945</v>
      </c>
      <c r="DJ201" s="114">
        <v>5375.2558598673422</v>
      </c>
      <c r="DK201" s="114">
        <v>6147.7601055788091</v>
      </c>
      <c r="DL201" s="114">
        <v>2779.8787997590434</v>
      </c>
      <c r="DM201" s="114">
        <v>2800.8445240794613</v>
      </c>
      <c r="DN201" s="114">
        <v>14763.843214013215</v>
      </c>
      <c r="DO201" s="114">
        <v>7168.7091736887878</v>
      </c>
      <c r="DP201" s="114">
        <v>7213.6939059533006</v>
      </c>
      <c r="DQ201" s="114">
        <v>10431.834537164184</v>
      </c>
      <c r="DR201" s="114">
        <v>6765.6202586935215</v>
      </c>
      <c r="DS201" s="114">
        <v>6985.7257470185496</v>
      </c>
      <c r="DT201" s="114">
        <v>916.13935742568117</v>
      </c>
      <c r="DU201" s="114">
        <v>8071.1685560375099</v>
      </c>
      <c r="DV201" s="114">
        <v>1559.8131003411761</v>
      </c>
      <c r="DW201" s="114">
        <v>7678.8947123889675</v>
      </c>
      <c r="DX201" s="114">
        <v>8157.7465153481562</v>
      </c>
      <c r="DY201" s="114">
        <v>12880.553282895702</v>
      </c>
      <c r="DZ201" s="114">
        <v>12483.979177677898</v>
      </c>
      <c r="EA201" s="114">
        <v>13265.38196981136</v>
      </c>
      <c r="EB201" s="114">
        <v>4664.5446670695028</v>
      </c>
      <c r="EC201" s="114">
        <v>3930.8090433092389</v>
      </c>
      <c r="ED201" s="114">
        <v>11578.825243405206</v>
      </c>
      <c r="EE201" s="114">
        <v>6685.0768718727713</v>
      </c>
      <c r="EF201" s="114">
        <v>8760.669298894054</v>
      </c>
      <c r="EG201" s="114">
        <v>5422.2934914550642</v>
      </c>
      <c r="EH201" s="114">
        <v>6117.1431051761901</v>
      </c>
      <c r="EI201" s="114">
        <v>7201.8362543847497</v>
      </c>
      <c r="EJ201" s="114">
        <v>12445.035037308591</v>
      </c>
      <c r="EK201" s="114">
        <v>9032.8389062488077</v>
      </c>
      <c r="EL201" s="114">
        <v>11462.665644543427</v>
      </c>
      <c r="EM201" s="114">
        <v>10480.515377181713</v>
      </c>
      <c r="EN201" s="114">
        <v>7795.3514637070057</v>
      </c>
      <c r="EO201" s="114">
        <v>7486.4189846512072</v>
      </c>
      <c r="EP201" s="114">
        <v>5221.4847871429902</v>
      </c>
      <c r="EQ201" s="114">
        <v>6878.9272939074481</v>
      </c>
      <c r="ER201" s="114">
        <v>8161.5378457648258</v>
      </c>
      <c r="ES201" s="114">
        <v>1764.5808795833154</v>
      </c>
      <c r="ET201" s="114">
        <v>10923.547163118947</v>
      </c>
      <c r="EU201" s="114">
        <v>10635.548147308338</v>
      </c>
      <c r="EV201" s="114">
        <v>10660.225635960576</v>
      </c>
      <c r="EW201" s="114">
        <v>7044.2381680716344</v>
      </c>
      <c r="EX201" s="114">
        <v>3326.5383986076822</v>
      </c>
      <c r="EY201" s="114">
        <v>4943.0260800341675</v>
      </c>
      <c r="EZ201" s="114">
        <v>6368.736265118192</v>
      </c>
      <c r="FA201" s="114">
        <v>6970.642905367522</v>
      </c>
      <c r="FB201" s="114">
        <v>5634.932433749781</v>
      </c>
      <c r="FC201" s="114">
        <v>8232.7361648901897</v>
      </c>
      <c r="FD201" s="114">
        <v>7417.5416587392101</v>
      </c>
      <c r="FE201" s="114">
        <v>7254.7227287755277</v>
      </c>
      <c r="FF201" s="114">
        <v>2666.6286170083599</v>
      </c>
      <c r="FG201" s="114">
        <v>939.77386614561681</v>
      </c>
      <c r="FH201" s="114">
        <v>11643.888974013715</v>
      </c>
      <c r="FI201" s="114">
        <v>2478.3803165891777</v>
      </c>
      <c r="FJ201" s="114">
        <v>7338.4643362615152</v>
      </c>
      <c r="FK201" s="114">
        <v>7182.8959236047976</v>
      </c>
      <c r="FL201" s="114">
        <v>6008.9891976483696</v>
      </c>
      <c r="FM201" s="114">
        <v>3643.4413163832382</v>
      </c>
      <c r="FN201" s="114">
        <v>9780.9867981570987</v>
      </c>
      <c r="FO201" s="114">
        <v>8602.6130612441193</v>
      </c>
      <c r="FP201" s="114">
        <v>7504.3717109719646</v>
      </c>
      <c r="FQ201" s="114">
        <v>5667.4680789734994</v>
      </c>
      <c r="FR201" s="114">
        <v>10870.110048036882</v>
      </c>
      <c r="FS201" s="114">
        <v>7327.8361301076893</v>
      </c>
      <c r="FT201" s="114">
        <v>1483.2261754380222</v>
      </c>
      <c r="FU201" s="114">
        <v>8340.8933732439182</v>
      </c>
      <c r="FV201" s="114">
        <v>10181.308983653355</v>
      </c>
      <c r="FW201" s="114">
        <v>4191.1958646214252</v>
      </c>
      <c r="FX201" s="114">
        <v>10624.199332367512</v>
      </c>
      <c r="FY201" s="114">
        <v>6386.4221571274829</v>
      </c>
      <c r="FZ201" s="114">
        <v>6340.0765027853849</v>
      </c>
      <c r="GA201" s="114">
        <v>6755.6964902816662</v>
      </c>
      <c r="GB201" s="114">
        <v>1965.3683669488989</v>
      </c>
      <c r="GC201" s="114">
        <v>7531.582311454843</v>
      </c>
      <c r="GD201" s="114">
        <v>5276.5332802513276</v>
      </c>
      <c r="GE201" s="114">
        <v>8223.9068542923396</v>
      </c>
      <c r="GF201" s="114">
        <v>16446.322173391807</v>
      </c>
      <c r="GG201" s="114">
        <v>12510.725791409111</v>
      </c>
      <c r="GH201" s="114">
        <v>12281.229727804308</v>
      </c>
      <c r="GI201" s="114">
        <v>12755.320798604105</v>
      </c>
      <c r="GJ201" s="114">
        <v>8665.9139086890245</v>
      </c>
      <c r="GK201" s="114">
        <v>7608.1967538782137</v>
      </c>
      <c r="GL201" s="114">
        <v>11142.616883857496</v>
      </c>
      <c r="GM201" s="114">
        <v>9172.7029362995745</v>
      </c>
      <c r="GN201" s="114">
        <v>3922.5950598913005</v>
      </c>
      <c r="GO201" s="114">
        <v>387.62699719778226</v>
      </c>
      <c r="GP201" s="114" t="s">
        <v>237</v>
      </c>
      <c r="GQ201" s="114">
        <v>8876.0954497257208</v>
      </c>
      <c r="GR201" s="114">
        <v>11255.819099531334</v>
      </c>
      <c r="GS201" s="114">
        <v>7547.6715357830662</v>
      </c>
      <c r="GT201" s="115">
        <v>1022.6024929777218</v>
      </c>
    </row>
    <row r="202" spans="2:202" ht="12" customHeight="1" x14ac:dyDescent="0.6">
      <c r="B202" s="106" t="s">
        <v>180</v>
      </c>
      <c r="C202" s="63" t="s">
        <v>309</v>
      </c>
      <c r="D202" s="113">
        <v>4609.5325079443119</v>
      </c>
      <c r="E202" s="114">
        <v>10477.408150463287</v>
      </c>
      <c r="F202" s="114">
        <v>10424.357987214935</v>
      </c>
      <c r="G202" s="114">
        <v>10560.626392258015</v>
      </c>
      <c r="H202" s="114">
        <v>16659.451901989218</v>
      </c>
      <c r="I202" s="114">
        <v>16879.348391219875</v>
      </c>
      <c r="J202" s="114">
        <v>6890.4676399789723</v>
      </c>
      <c r="K202" s="114">
        <v>6829.9519455215386</v>
      </c>
      <c r="L202" s="114">
        <v>9144.0093544092015</v>
      </c>
      <c r="M202" s="114">
        <v>6458.3120339124607</v>
      </c>
      <c r="N202" s="114">
        <v>16004.646446170031</v>
      </c>
      <c r="O202" s="114">
        <v>6130.7631765663118</v>
      </c>
      <c r="P202" s="114">
        <v>2230.0791642104577</v>
      </c>
      <c r="Q202" s="114">
        <v>16939.667095280522</v>
      </c>
      <c r="R202" s="114">
        <v>8337.6587011845204</v>
      </c>
      <c r="S202" s="114">
        <v>9940.134331101759</v>
      </c>
      <c r="T202" s="114">
        <v>16495.514407623501</v>
      </c>
      <c r="U202" s="114">
        <v>11416.101102849543</v>
      </c>
      <c r="V202" s="114">
        <v>2566.536632017318</v>
      </c>
      <c r="W202" s="114">
        <v>19189.279783700331</v>
      </c>
      <c r="X202" s="114">
        <v>9051.0068513763308</v>
      </c>
      <c r="Y202" s="114">
        <v>9617.1190419622744</v>
      </c>
      <c r="Z202" s="114">
        <v>16850.898140533383</v>
      </c>
      <c r="AA202" s="114">
        <v>16542.060610860422</v>
      </c>
      <c r="AB202" s="114">
        <v>1158.1221845602422</v>
      </c>
      <c r="AC202" s="114">
        <v>8661.7247878000962</v>
      </c>
      <c r="AD202" s="114">
        <v>11657.328883540782</v>
      </c>
      <c r="AE202" s="114">
        <v>8706.6916610328099</v>
      </c>
      <c r="AF202" s="114">
        <v>13799.969433407781</v>
      </c>
      <c r="AG202" s="114">
        <v>239.06496543682061</v>
      </c>
      <c r="AH202" s="114">
        <v>10676.89253247399</v>
      </c>
      <c r="AI202" s="114">
        <v>10509.696878142258</v>
      </c>
      <c r="AJ202" s="114">
        <v>13921.744033369934</v>
      </c>
      <c r="AK202" s="114">
        <v>13774.437607326348</v>
      </c>
      <c r="AL202" s="114">
        <v>9731.7941728951082</v>
      </c>
      <c r="AM202" s="114">
        <v>9974.4726459641024</v>
      </c>
      <c r="AN202" s="114">
        <v>17504.047106585087</v>
      </c>
      <c r="AO202" s="114">
        <v>2734.2249715189159</v>
      </c>
      <c r="AP202" s="114">
        <v>3331.3567423628238</v>
      </c>
      <c r="AQ202" s="114">
        <v>18327.601226747611</v>
      </c>
      <c r="AR202" s="114">
        <v>7434.5884434405325</v>
      </c>
      <c r="AS202" s="114">
        <v>10241.110221348004</v>
      </c>
      <c r="AT202" s="114">
        <v>10257.302515135554</v>
      </c>
      <c r="AU202" s="114">
        <v>17461.842145957355</v>
      </c>
      <c r="AV202" s="114">
        <v>12132.86742032115</v>
      </c>
      <c r="AW202" s="114">
        <v>9232.6573641621471</v>
      </c>
      <c r="AX202" s="114">
        <v>16124.105528424558</v>
      </c>
      <c r="AY202" s="114">
        <v>7812.0146244026882</v>
      </c>
      <c r="AZ202" s="114">
        <v>9257.6030172466799</v>
      </c>
      <c r="BA202" s="114">
        <v>9286.8358767298032</v>
      </c>
      <c r="BB202" s="114">
        <v>7018.5374814871939</v>
      </c>
      <c r="BC202" s="114">
        <v>16827.854729683811</v>
      </c>
      <c r="BD202" s="114">
        <v>16750.284751010986</v>
      </c>
      <c r="BE202" s="114">
        <v>10256.303041600508</v>
      </c>
      <c r="BF202" s="114">
        <v>18706.933637730759</v>
      </c>
      <c r="BG202" s="114">
        <v>8019.3329591988313</v>
      </c>
      <c r="BH202" s="114">
        <v>16810.965123081151</v>
      </c>
      <c r="BI202" s="114">
        <v>10821.006150457621</v>
      </c>
      <c r="BJ202" s="114">
        <v>7364.3650333802052</v>
      </c>
      <c r="BK202" s="114">
        <v>8529.0772612194851</v>
      </c>
      <c r="BL202" s="114">
        <v>9133.093498437689</v>
      </c>
      <c r="BM202" s="114">
        <v>7458.2396625022939</v>
      </c>
      <c r="BN202" s="114">
        <v>8500.8849495469367</v>
      </c>
      <c r="BO202" s="114">
        <v>10144.77957260266</v>
      </c>
      <c r="BP202" s="114">
        <v>10807.015379428105</v>
      </c>
      <c r="BQ202" s="114">
        <v>13182.101973876999</v>
      </c>
      <c r="BR202" s="114">
        <v>6900.9563247891265</v>
      </c>
      <c r="BS202" s="114">
        <v>9284.989824393022</v>
      </c>
      <c r="BT202" s="114">
        <v>9483.4239616267787</v>
      </c>
      <c r="BU202" s="114">
        <v>9644.2546859162358</v>
      </c>
      <c r="BV202" s="114">
        <v>11705.248669015287</v>
      </c>
      <c r="BW202" s="114">
        <v>8678.4715631740764</v>
      </c>
      <c r="BX202" s="114">
        <v>17165.517856110364</v>
      </c>
      <c r="BY202" s="114">
        <v>16651.197445047648</v>
      </c>
      <c r="BZ202" s="114">
        <v>13024.857237758393</v>
      </c>
      <c r="CA202" s="114">
        <v>13153.603302094534</v>
      </c>
      <c r="CB202" s="114">
        <v>17453.823766354115</v>
      </c>
      <c r="CC202" s="114">
        <v>16763.098328211574</v>
      </c>
      <c r="CD202" s="114">
        <v>16859.998617894744</v>
      </c>
      <c r="CE202" s="114">
        <v>8944.2683710022684</v>
      </c>
      <c r="CF202" s="114">
        <v>10622.637763258141</v>
      </c>
      <c r="CG202" s="114">
        <v>3732.4922283522387</v>
      </c>
      <c r="CH202" s="114">
        <v>3636.9931837851673</v>
      </c>
      <c r="CI202" s="114">
        <v>1880.8106220811601</v>
      </c>
      <c r="CJ202" s="114">
        <v>6189.1014914780544</v>
      </c>
      <c r="CK202" s="114">
        <v>6785.1821246722457</v>
      </c>
      <c r="CL202" s="114">
        <v>10500.976149330472</v>
      </c>
      <c r="CM202" s="114">
        <v>13773.728524394272</v>
      </c>
      <c r="CN202" s="114">
        <v>9568.2316838686929</v>
      </c>
      <c r="CO202" s="114">
        <v>9722.9248963806003</v>
      </c>
      <c r="CP202" s="114">
        <v>16791.759756207539</v>
      </c>
      <c r="CQ202" s="114">
        <v>4331.6233906099287</v>
      </c>
      <c r="CR202" s="114">
        <v>7598.0017789366329</v>
      </c>
      <c r="CS202" s="114">
        <v>5505.0337492399894</v>
      </c>
      <c r="CT202" s="114">
        <v>7867.4423213703558</v>
      </c>
      <c r="CU202" s="114">
        <v>6389.9399997328328</v>
      </c>
      <c r="CV202" s="114">
        <v>4704.2766245595276</v>
      </c>
      <c r="CW202" s="114">
        <v>884.29332762763306</v>
      </c>
      <c r="CX202" s="114">
        <v>8549.3736012933859</v>
      </c>
      <c r="CY202" s="114">
        <v>7620.4694157810991</v>
      </c>
      <c r="CZ202" s="114">
        <v>9578.8139043195188</v>
      </c>
      <c r="DA202" s="114">
        <v>12801.43714758265</v>
      </c>
      <c r="DB202" s="114">
        <v>9692.4642973542159</v>
      </c>
      <c r="DC202" s="114">
        <v>9674.1866493292055</v>
      </c>
      <c r="DD202" s="114">
        <v>8477.8743248402061</v>
      </c>
      <c r="DE202" s="114">
        <v>9844.9070409282667</v>
      </c>
      <c r="DF202" s="114">
        <v>7278.2790482729615</v>
      </c>
      <c r="DG202" s="114">
        <v>8523.4592332551583</v>
      </c>
      <c r="DH202" s="114">
        <v>1035.3532938586293</v>
      </c>
      <c r="DI202" s="114">
        <v>3751.5808219236601</v>
      </c>
      <c r="DJ202" s="114">
        <v>12305.216473033999</v>
      </c>
      <c r="DK202" s="114">
        <v>9517.7109831755915</v>
      </c>
      <c r="DL202" s="114">
        <v>6398.9626615093775</v>
      </c>
      <c r="DM202" s="114">
        <v>6383.8846988448813</v>
      </c>
      <c r="DN202" s="114">
        <v>15645.346985533224</v>
      </c>
      <c r="DO202" s="114">
        <v>8204.2483034366196</v>
      </c>
      <c r="DP202" s="114">
        <v>9903.6403858023241</v>
      </c>
      <c r="DQ202" s="114">
        <v>4125.2204360449223</v>
      </c>
      <c r="DR202" s="114">
        <v>8983.5562918034848</v>
      </c>
      <c r="DS202" s="114">
        <v>11415.335916718672</v>
      </c>
      <c r="DT202" s="114">
        <v>8993.299366926336</v>
      </c>
      <c r="DU202" s="114">
        <v>1288.4640172145566</v>
      </c>
      <c r="DV202" s="114">
        <v>10421.234436090152</v>
      </c>
      <c r="DW202" s="114">
        <v>2903.5557894754947</v>
      </c>
      <c r="DX202" s="114">
        <v>9864.5733512116622</v>
      </c>
      <c r="DY202" s="114">
        <v>8854.7387860382532</v>
      </c>
      <c r="DZ202" s="114">
        <v>9009.8244659113243</v>
      </c>
      <c r="EA202" s="114">
        <v>17102.713968841337</v>
      </c>
      <c r="EB202" s="114">
        <v>11273.312350433906</v>
      </c>
      <c r="EC202" s="114">
        <v>10821.209976445707</v>
      </c>
      <c r="ED202" s="114">
        <v>3646.4522911998356</v>
      </c>
      <c r="EE202" s="114">
        <v>8824.7088785901051</v>
      </c>
      <c r="EF202" s="114">
        <v>9316.2182239874837</v>
      </c>
      <c r="EG202" s="114">
        <v>5289.9419571125409</v>
      </c>
      <c r="EH202" s="114">
        <v>4447.9571033564125</v>
      </c>
      <c r="EI202" s="114">
        <v>4236.6608732541381</v>
      </c>
      <c r="EJ202" s="114">
        <v>17716.928067581433</v>
      </c>
      <c r="EK202" s="114">
        <v>17693.787339348884</v>
      </c>
      <c r="EL202" s="114">
        <v>19598.457894772193</v>
      </c>
      <c r="EM202" s="114">
        <v>1608.879789723354</v>
      </c>
      <c r="EN202" s="114">
        <v>8762.4823204095119</v>
      </c>
      <c r="EO202" s="114">
        <v>11403.625136826713</v>
      </c>
      <c r="EP202" s="114">
        <v>6016.8829570174712</v>
      </c>
      <c r="EQ202" s="114">
        <v>8418.7294245901085</v>
      </c>
      <c r="ER202" s="114">
        <v>7707.7290602829416</v>
      </c>
      <c r="ES202" s="114">
        <v>8577.9590045630721</v>
      </c>
      <c r="ET202" s="114">
        <v>16678.241359367785</v>
      </c>
      <c r="EU202" s="114">
        <v>16913.408079106088</v>
      </c>
      <c r="EV202" s="114">
        <v>17030.108124939434</v>
      </c>
      <c r="EW202" s="114">
        <v>9525.1816108262828</v>
      </c>
      <c r="EX202" s="114">
        <v>11123.481447031256</v>
      </c>
      <c r="EY202" s="114">
        <v>6508.7839423878368</v>
      </c>
      <c r="EZ202" s="114">
        <v>13230.013060162788</v>
      </c>
      <c r="FA202" s="114">
        <v>8871.813568526255</v>
      </c>
      <c r="FB202" s="114">
        <v>13023.464988532267</v>
      </c>
      <c r="FC202" s="114">
        <v>1097.8628246738647</v>
      </c>
      <c r="FD202" s="114">
        <v>9081.6887449008445</v>
      </c>
      <c r="FE202" s="114">
        <v>9319.3149708993442</v>
      </c>
      <c r="FF202" s="114">
        <v>6840.948550175618</v>
      </c>
      <c r="FG202" s="114">
        <v>9394.7577037065475</v>
      </c>
      <c r="FH202" s="114">
        <v>3552.5362131506449</v>
      </c>
      <c r="FI202" s="114">
        <v>8276.2730525248699</v>
      </c>
      <c r="FJ202" s="114">
        <v>10876.964231589387</v>
      </c>
      <c r="FK202" s="114">
        <v>10388.882565550999</v>
      </c>
      <c r="FL202" s="114">
        <v>2971.2953407388231</v>
      </c>
      <c r="FM202" s="114">
        <v>8024.4321642488921</v>
      </c>
      <c r="FN202" s="114">
        <v>17297.583875896853</v>
      </c>
      <c r="FO202" s="114">
        <v>8895.9815836823454</v>
      </c>
      <c r="FP202" s="114">
        <v>9837.5808508554146</v>
      </c>
      <c r="FQ202" s="114">
        <v>7539.1782980176004</v>
      </c>
      <c r="FR202" s="114">
        <v>2230.5792418262554</v>
      </c>
      <c r="FS202" s="114">
        <v>4864.6165640483814</v>
      </c>
      <c r="FT202" s="114">
        <v>7705.8197585637454</v>
      </c>
      <c r="FU202" s="114">
        <v>747.3876108013302</v>
      </c>
      <c r="FV202" s="114">
        <v>2963.9101766826993</v>
      </c>
      <c r="FW202" s="114">
        <v>11551.103122313545</v>
      </c>
      <c r="FX202" s="114">
        <v>17290.196847210864</v>
      </c>
      <c r="FY202" s="114">
        <v>9867.0349380498355</v>
      </c>
      <c r="FZ202" s="114">
        <v>7883.9702582520013</v>
      </c>
      <c r="GA202" s="114">
        <v>5730.115048820523</v>
      </c>
      <c r="GB202" s="114">
        <v>8292.4578276679713</v>
      </c>
      <c r="GC202" s="114">
        <v>8116.0641094799903</v>
      </c>
      <c r="GD202" s="114">
        <v>5719.4598602881579</v>
      </c>
      <c r="GE202" s="114">
        <v>10194.618490114763</v>
      </c>
      <c r="GF202" s="114">
        <v>13136.144126534688</v>
      </c>
      <c r="GG202" s="114">
        <v>14284.195269611842</v>
      </c>
      <c r="GH202" s="114">
        <v>14096.694990845128</v>
      </c>
      <c r="GI202" s="114">
        <v>14472.413573544047</v>
      </c>
      <c r="GJ202" s="114">
        <v>16853.393584845893</v>
      </c>
      <c r="GK202" s="114">
        <v>4979.7246727825359</v>
      </c>
      <c r="GL202" s="114">
        <v>17548.218157890667</v>
      </c>
      <c r="GM202" s="114">
        <v>1143.558457303561</v>
      </c>
      <c r="GN202" s="114">
        <v>6759.6831322993148</v>
      </c>
      <c r="GO202" s="114">
        <v>9113.2055228189038</v>
      </c>
      <c r="GP202" s="114">
        <v>8876.0954497257208</v>
      </c>
      <c r="GQ202" s="114" t="s">
        <v>237</v>
      </c>
      <c r="GR202" s="114">
        <v>6792.521425421568</v>
      </c>
      <c r="GS202" s="114">
        <v>9723.3091404209281</v>
      </c>
      <c r="GT202" s="115">
        <v>9424.635424493601</v>
      </c>
    </row>
    <row r="203" spans="2:202" ht="12" customHeight="1" x14ac:dyDescent="0.6">
      <c r="B203" s="106" t="s">
        <v>11</v>
      </c>
      <c r="C203" s="63" t="s">
        <v>423</v>
      </c>
      <c r="D203" s="113">
        <v>11340.271795353514</v>
      </c>
      <c r="E203" s="114">
        <v>16966.538534067811</v>
      </c>
      <c r="F203" s="114">
        <v>17133.249730059764</v>
      </c>
      <c r="G203" s="114">
        <v>13313.710341520355</v>
      </c>
      <c r="H203" s="114">
        <v>16352.838584505051</v>
      </c>
      <c r="I203" s="114">
        <v>11512.326813775619</v>
      </c>
      <c r="J203" s="114">
        <v>13575.271401611522</v>
      </c>
      <c r="K203" s="114">
        <v>226.3700765688439</v>
      </c>
      <c r="L203" s="114">
        <v>15921.631358500979</v>
      </c>
      <c r="M203" s="114">
        <v>13171.028004436817</v>
      </c>
      <c r="N203" s="114">
        <v>15461.107998803838</v>
      </c>
      <c r="O203" s="114">
        <v>12396.523449525055</v>
      </c>
      <c r="P203" s="114">
        <v>8994.1119839710373</v>
      </c>
      <c r="Q203" s="114">
        <v>16247.613365117197</v>
      </c>
      <c r="R203" s="114">
        <v>15126.011670495793</v>
      </c>
      <c r="S203" s="114">
        <v>16731.799700453259</v>
      </c>
      <c r="T203" s="114">
        <v>14032.106767634492</v>
      </c>
      <c r="U203" s="114">
        <v>15330.041164939237</v>
      </c>
      <c r="V203" s="114">
        <v>9356.2029939886361</v>
      </c>
      <c r="W203" s="114">
        <v>13081.297811381575</v>
      </c>
      <c r="X203" s="114">
        <v>15755.216126927922</v>
      </c>
      <c r="Y203" s="114">
        <v>11112.986416237338</v>
      </c>
      <c r="Z203" s="114">
        <v>13273.631371005709</v>
      </c>
      <c r="AA203" s="114">
        <v>13424.976322580658</v>
      </c>
      <c r="AB203" s="114">
        <v>5674.6598025810845</v>
      </c>
      <c r="AC203" s="114">
        <v>15342.330126960169</v>
      </c>
      <c r="AD203" s="114">
        <v>16089.757573252418</v>
      </c>
      <c r="AE203" s="114">
        <v>12460.461757490943</v>
      </c>
      <c r="AF203" s="114">
        <v>17648.706680861054</v>
      </c>
      <c r="AG203" s="114">
        <v>6984.1752802966303</v>
      </c>
      <c r="AH203" s="114">
        <v>14598.42354724691</v>
      </c>
      <c r="AI203" s="114">
        <v>14425.762350070045</v>
      </c>
      <c r="AJ203" s="114">
        <v>15804.837756510175</v>
      </c>
      <c r="AK203" s="114">
        <v>16125.265309474344</v>
      </c>
      <c r="AL203" s="114">
        <v>13908.872570793172</v>
      </c>
      <c r="AM203" s="114">
        <v>14782.482920304792</v>
      </c>
      <c r="AN203" s="114">
        <v>11363.03430525461</v>
      </c>
      <c r="AO203" s="114">
        <v>7931.89108097805</v>
      </c>
      <c r="AP203" s="114">
        <v>8972.2001457604292</v>
      </c>
      <c r="AQ203" s="114">
        <v>14417.758733011609</v>
      </c>
      <c r="AR203" s="114">
        <v>10687.127486789974</v>
      </c>
      <c r="AS203" s="114">
        <v>13496.383649163237</v>
      </c>
      <c r="AT203" s="114">
        <v>13530.316571686968</v>
      </c>
      <c r="AU203" s="114">
        <v>13940.801464362692</v>
      </c>
      <c r="AV203" s="114">
        <v>15703.52668267664</v>
      </c>
      <c r="AW203" s="114">
        <v>15976.916505747598</v>
      </c>
      <c r="AX203" s="114">
        <v>14907.292793260533</v>
      </c>
      <c r="AY203" s="114">
        <v>14294.737364922876</v>
      </c>
      <c r="AZ203" s="114">
        <v>16048.240278781763</v>
      </c>
      <c r="BA203" s="114">
        <v>16051.652187223475</v>
      </c>
      <c r="BB203" s="114">
        <v>12246.983604139568</v>
      </c>
      <c r="BC203" s="114">
        <v>16262.360131723623</v>
      </c>
      <c r="BD203" s="114">
        <v>15771.901172890226</v>
      </c>
      <c r="BE203" s="114">
        <v>13519.1710375496</v>
      </c>
      <c r="BF203" s="114">
        <v>13723.462097701944</v>
      </c>
      <c r="BG203" s="114">
        <v>14271.366214563383</v>
      </c>
      <c r="BH203" s="114">
        <v>13733.803311148549</v>
      </c>
      <c r="BI203" s="114">
        <v>14644.618077829879</v>
      </c>
      <c r="BJ203" s="114">
        <v>12827.086100491768</v>
      </c>
      <c r="BK203" s="114">
        <v>15249.064018819328</v>
      </c>
      <c r="BL203" s="114">
        <v>10586.542732648344</v>
      </c>
      <c r="BM203" s="114">
        <v>12461.9367266597</v>
      </c>
      <c r="BN203" s="114">
        <v>15202.327068807283</v>
      </c>
      <c r="BO203" s="114">
        <v>16936.041381847059</v>
      </c>
      <c r="BP203" s="114">
        <v>14327.553554483427</v>
      </c>
      <c r="BQ203" s="114">
        <v>17178.082798722815</v>
      </c>
      <c r="BR203" s="114">
        <v>13612.947638573001</v>
      </c>
      <c r="BS203" s="114">
        <v>16075.442479829459</v>
      </c>
      <c r="BT203" s="114">
        <v>16264.500913417403</v>
      </c>
      <c r="BU203" s="114">
        <v>16436.513163479212</v>
      </c>
      <c r="BV203" s="114">
        <v>15434.851553258455</v>
      </c>
      <c r="BW203" s="114">
        <v>15213.404140741024</v>
      </c>
      <c r="BX203" s="114">
        <v>15982.133432455685</v>
      </c>
      <c r="BY203" s="114">
        <v>13693.617052689653</v>
      </c>
      <c r="BZ203" s="114">
        <v>16636.704864160827</v>
      </c>
      <c r="CA203" s="114">
        <v>16949.986633987442</v>
      </c>
      <c r="CB203" s="114">
        <v>15779.577629565169</v>
      </c>
      <c r="CC203" s="114">
        <v>15548.84606354991</v>
      </c>
      <c r="CD203" s="114">
        <v>13950.232041687472</v>
      </c>
      <c r="CE203" s="114">
        <v>15711.852534655778</v>
      </c>
      <c r="CF203" s="114">
        <v>16740.251789187827</v>
      </c>
      <c r="CG203" s="114">
        <v>10037.982145520169</v>
      </c>
      <c r="CH203" s="114">
        <v>10337.244473706045</v>
      </c>
      <c r="CI203" s="114">
        <v>5432.1617076217344</v>
      </c>
      <c r="CJ203" s="114">
        <v>12803.841684731557</v>
      </c>
      <c r="CK203" s="114">
        <v>13274.846442513131</v>
      </c>
      <c r="CL203" s="114">
        <v>17233.000608082923</v>
      </c>
      <c r="CM203" s="114">
        <v>19463.237178077801</v>
      </c>
      <c r="CN203" s="114">
        <v>16227.354291874433</v>
      </c>
      <c r="CO203" s="114">
        <v>16474.766813312792</v>
      </c>
      <c r="CP203" s="114">
        <v>15143.006838587542</v>
      </c>
      <c r="CQ203" s="114">
        <v>7941.4446034914645</v>
      </c>
      <c r="CR203" s="114">
        <v>13954.424809371638</v>
      </c>
      <c r="CS203" s="114">
        <v>12220.714059223985</v>
      </c>
      <c r="CT203" s="114">
        <v>11967.854186285824</v>
      </c>
      <c r="CU203" s="114">
        <v>12766.683740505207</v>
      </c>
      <c r="CV203" s="114">
        <v>11489.79531968431</v>
      </c>
      <c r="CW203" s="114">
        <v>7669.2421262460084</v>
      </c>
      <c r="CX203" s="114">
        <v>15311.807501328612</v>
      </c>
      <c r="CY203" s="114">
        <v>14055.815630094399</v>
      </c>
      <c r="CZ203" s="114">
        <v>10615.228831457905</v>
      </c>
      <c r="DA203" s="114">
        <v>16171.863299927005</v>
      </c>
      <c r="DB203" s="114">
        <v>15978.90339939226</v>
      </c>
      <c r="DC203" s="114">
        <v>16447.568743721968</v>
      </c>
      <c r="DD203" s="114">
        <v>15261.29115057787</v>
      </c>
      <c r="DE203" s="114">
        <v>16636.557560244113</v>
      </c>
      <c r="DF203" s="114">
        <v>9850.2759170814497</v>
      </c>
      <c r="DG203" s="114">
        <v>11314.94121999151</v>
      </c>
      <c r="DH203" s="114">
        <v>6540.3229198615627</v>
      </c>
      <c r="DI203" s="114">
        <v>8989.9141458815629</v>
      </c>
      <c r="DJ203" s="114">
        <v>16556.721331897446</v>
      </c>
      <c r="DK203" s="114">
        <v>15955.445245141698</v>
      </c>
      <c r="DL203" s="114">
        <v>8896.0500256466275</v>
      </c>
      <c r="DM203" s="114">
        <v>8874.9797389400392</v>
      </c>
      <c r="DN203" s="114">
        <v>13166.487222490014</v>
      </c>
      <c r="DO203" s="114">
        <v>14969.818615511293</v>
      </c>
      <c r="DP203" s="114">
        <v>16626.935810149509</v>
      </c>
      <c r="DQ203" s="114">
        <v>10149.299992679011</v>
      </c>
      <c r="DR203" s="114">
        <v>15662.298884108182</v>
      </c>
      <c r="DS203" s="114">
        <v>17817.606406328785</v>
      </c>
      <c r="DT203" s="114">
        <v>10540.521467817785</v>
      </c>
      <c r="DU203" s="114">
        <v>8005.071919055491</v>
      </c>
      <c r="DV203" s="114">
        <v>11864.741951220287</v>
      </c>
      <c r="DW203" s="114">
        <v>9670.060597269583</v>
      </c>
      <c r="DX203" s="114">
        <v>16648.188218506002</v>
      </c>
      <c r="DY203" s="114">
        <v>2305.6804675578228</v>
      </c>
      <c r="DZ203" s="114">
        <v>2297.1151893800497</v>
      </c>
      <c r="EA203" s="114">
        <v>13910.435188477964</v>
      </c>
      <c r="EB203" s="114">
        <v>15913.934752367646</v>
      </c>
      <c r="EC203" s="114">
        <v>15174.009790618002</v>
      </c>
      <c r="ED203" s="114">
        <v>8615.9429691989571</v>
      </c>
      <c r="EE203" s="114">
        <v>15493.135343462494</v>
      </c>
      <c r="EF203" s="114">
        <v>16000.488552944144</v>
      </c>
      <c r="EG203" s="114">
        <v>11543.423650674467</v>
      </c>
      <c r="EH203" s="114">
        <v>10903.896141588353</v>
      </c>
      <c r="EI203" s="114">
        <v>10983.803116064653</v>
      </c>
      <c r="EJ203" s="114">
        <v>14318.757624053163</v>
      </c>
      <c r="EK203" s="114">
        <v>12755.756443002831</v>
      </c>
      <c r="EL203" s="114">
        <v>12868.153573118087</v>
      </c>
      <c r="EM203" s="114">
        <v>6261.9567113535149</v>
      </c>
      <c r="EN203" s="114">
        <v>15554.686940295533</v>
      </c>
      <c r="EO203" s="114">
        <v>18049.115401100746</v>
      </c>
      <c r="EP203" s="114">
        <v>12252.474732540424</v>
      </c>
      <c r="EQ203" s="114">
        <v>15140.69434758569</v>
      </c>
      <c r="ER203" s="114">
        <v>14474.884380313402</v>
      </c>
      <c r="ES203" s="114">
        <v>12498.837628914944</v>
      </c>
      <c r="ET203" s="114">
        <v>16307.711144676214</v>
      </c>
      <c r="EU203" s="114">
        <v>16225.213716671846</v>
      </c>
      <c r="EV203" s="114">
        <v>16113.7107836493</v>
      </c>
      <c r="EW203" s="114">
        <v>16235.19093710669</v>
      </c>
      <c r="EX203" s="114">
        <v>14527.111572231066</v>
      </c>
      <c r="EY203" s="114">
        <v>12642.848205446791</v>
      </c>
      <c r="EZ203" s="114">
        <v>17327.330989746566</v>
      </c>
      <c r="FA203" s="114">
        <v>15595.870718553208</v>
      </c>
      <c r="FB203" s="114">
        <v>16523.245266041464</v>
      </c>
      <c r="FC203" s="114">
        <v>6213.7872146752425</v>
      </c>
      <c r="FD203" s="114">
        <v>15858.677685157991</v>
      </c>
      <c r="FE203" s="114">
        <v>16073.249544247925</v>
      </c>
      <c r="FF203" s="114">
        <v>11396.141723270004</v>
      </c>
      <c r="FG203" s="114">
        <v>10854.564263510105</v>
      </c>
      <c r="FH203" s="114">
        <v>8394.453088528393</v>
      </c>
      <c r="FI203" s="114">
        <v>12806.520554963752</v>
      </c>
      <c r="FJ203" s="114">
        <v>17549.699591035092</v>
      </c>
      <c r="FK203" s="114">
        <v>17069.677409630771</v>
      </c>
      <c r="FL203" s="114">
        <v>8609.9665599356886</v>
      </c>
      <c r="FM203" s="114">
        <v>13397.417089013383</v>
      </c>
      <c r="FN203" s="114">
        <v>15883.285783247451</v>
      </c>
      <c r="FO203" s="114">
        <v>15608.560238351267</v>
      </c>
      <c r="FP203" s="114">
        <v>16608.073381108195</v>
      </c>
      <c r="FQ203" s="114">
        <v>13971.362655708759</v>
      </c>
      <c r="FR203" s="114">
        <v>7299.1279635035544</v>
      </c>
      <c r="FS203" s="114">
        <v>11639.532203971037</v>
      </c>
      <c r="FT203" s="114">
        <v>11336.289258819283</v>
      </c>
      <c r="FU203" s="114">
        <v>7461.4658164836328</v>
      </c>
      <c r="FV203" s="114">
        <v>3851.3664706329241</v>
      </c>
      <c r="FW203" s="114">
        <v>15407.680264955836</v>
      </c>
      <c r="FX203" s="114">
        <v>15889.584039367619</v>
      </c>
      <c r="FY203" s="114">
        <v>16346.90189478395</v>
      </c>
      <c r="FZ203" s="114">
        <v>14508.451996104883</v>
      </c>
      <c r="GA203" s="114">
        <v>12444.270487114198</v>
      </c>
      <c r="GB203" s="114">
        <v>12427.948948598734</v>
      </c>
      <c r="GC203" s="114">
        <v>14906.450561820728</v>
      </c>
      <c r="GD203" s="114">
        <v>11954.03984627237</v>
      </c>
      <c r="GE203" s="114">
        <v>16976.955020252924</v>
      </c>
      <c r="GF203" s="114">
        <v>12311.375423189385</v>
      </c>
      <c r="GG203" s="114">
        <v>16222.285125993909</v>
      </c>
      <c r="GH203" s="114">
        <v>16476.136299081194</v>
      </c>
      <c r="GI203" s="114">
        <v>15942.409948705834</v>
      </c>
      <c r="GJ203" s="114">
        <v>11833.109337996142</v>
      </c>
      <c r="GK203" s="114">
        <v>11770.865259513532</v>
      </c>
      <c r="GL203" s="114">
        <v>15469.799651145768</v>
      </c>
      <c r="GM203" s="114">
        <v>7763.8711055009553</v>
      </c>
      <c r="GN203" s="114">
        <v>12325.873430950905</v>
      </c>
      <c r="GO203" s="114">
        <v>11641.925966466295</v>
      </c>
      <c r="GP203" s="114">
        <v>11255.819099531334</v>
      </c>
      <c r="GQ203" s="114">
        <v>6792.521425421568</v>
      </c>
      <c r="GR203" s="114" t="s">
        <v>237</v>
      </c>
      <c r="GS203" s="114">
        <v>16500.72995241583</v>
      </c>
      <c r="GT203" s="115">
        <v>10800.780346716761</v>
      </c>
    </row>
    <row r="204" spans="2:202" ht="12" customHeight="1" x14ac:dyDescent="0.6">
      <c r="B204" s="106" t="s">
        <v>160</v>
      </c>
      <c r="C204" s="63" t="s">
        <v>337</v>
      </c>
      <c r="D204" s="113">
        <v>5161.4100826464792</v>
      </c>
      <c r="E204" s="114">
        <v>1298.6717646475252</v>
      </c>
      <c r="F204" s="114">
        <v>800.35884507659398</v>
      </c>
      <c r="G204" s="114">
        <v>6229.8866005216587</v>
      </c>
      <c r="H204" s="114">
        <v>7148.1627294675427</v>
      </c>
      <c r="I204" s="114">
        <v>11525.216802727937</v>
      </c>
      <c r="J204" s="114">
        <v>2956.4615484163005</v>
      </c>
      <c r="K204" s="114">
        <v>16552.307013615551</v>
      </c>
      <c r="L204" s="114">
        <v>579.7381668335853</v>
      </c>
      <c r="M204" s="114">
        <v>3341.8882915431363</v>
      </c>
      <c r="N204" s="114">
        <v>7681.049711424721</v>
      </c>
      <c r="O204" s="114">
        <v>4334.5252364611752</v>
      </c>
      <c r="P204" s="114">
        <v>7509.801739376644</v>
      </c>
      <c r="Q204" s="114">
        <v>7281.3957220607135</v>
      </c>
      <c r="R204" s="114">
        <v>1487.3434184158955</v>
      </c>
      <c r="S204" s="114">
        <v>470.42084649172949</v>
      </c>
      <c r="T204" s="114">
        <v>9110.8988442072623</v>
      </c>
      <c r="U204" s="114">
        <v>4612.3825019085407</v>
      </c>
      <c r="V204" s="114">
        <v>7156.7796851508147</v>
      </c>
      <c r="W204" s="114">
        <v>10358.427304148177</v>
      </c>
      <c r="X204" s="114">
        <v>870.10522711503745</v>
      </c>
      <c r="Y204" s="114">
        <v>8167.1977993168903</v>
      </c>
      <c r="Z204" s="114">
        <v>9622.7333519654021</v>
      </c>
      <c r="AA204" s="114">
        <v>9368.9504150151042</v>
      </c>
      <c r="AB204" s="114">
        <v>10859.137223281976</v>
      </c>
      <c r="AC204" s="114">
        <v>1274.9872778418901</v>
      </c>
      <c r="AD204" s="114">
        <v>4023.4149639455322</v>
      </c>
      <c r="AE204" s="114">
        <v>5969.7869499010103</v>
      </c>
      <c r="AF204" s="114">
        <v>4642.3419391317766</v>
      </c>
      <c r="AG204" s="114">
        <v>9525.2039716240924</v>
      </c>
      <c r="AH204" s="114">
        <v>4819.2258464675133</v>
      </c>
      <c r="AI204" s="114">
        <v>4886.3565933555974</v>
      </c>
      <c r="AJ204" s="114">
        <v>6478.9763311841343</v>
      </c>
      <c r="AK204" s="114">
        <v>6121.0955784837952</v>
      </c>
      <c r="AL204" s="114">
        <v>4888.9929840478708</v>
      </c>
      <c r="AM204" s="114">
        <v>3963.1014623603164</v>
      </c>
      <c r="AN204" s="114">
        <v>11913.412592784915</v>
      </c>
      <c r="AO204" s="114">
        <v>9010.0549612798168</v>
      </c>
      <c r="AP204" s="114">
        <v>7998.442195141768</v>
      </c>
      <c r="AQ204" s="114">
        <v>9091.2231891102929</v>
      </c>
      <c r="AR204" s="114">
        <v>7379.8890877950298</v>
      </c>
      <c r="AS204" s="114">
        <v>5787.4383487938285</v>
      </c>
      <c r="AT204" s="114">
        <v>5759.0061978842832</v>
      </c>
      <c r="AU204" s="114">
        <v>9419.0930308235038</v>
      </c>
      <c r="AV204" s="114">
        <v>4825.4038073714792</v>
      </c>
      <c r="AW204" s="114">
        <v>578.04403404997129</v>
      </c>
      <c r="AX204" s="114">
        <v>8198.3384394749046</v>
      </c>
      <c r="AY204" s="114">
        <v>2459.4418027010765</v>
      </c>
      <c r="AZ204" s="114">
        <v>511.54036574181828</v>
      </c>
      <c r="BA204" s="114">
        <v>930.9363640030374</v>
      </c>
      <c r="BB204" s="114">
        <v>5115.9015470267605</v>
      </c>
      <c r="BC204" s="114">
        <v>7254.7142456408183</v>
      </c>
      <c r="BD204" s="114">
        <v>7638.9693604766826</v>
      </c>
      <c r="BE204" s="114">
        <v>5771.5066744112419</v>
      </c>
      <c r="BF204" s="114">
        <v>9785.8383851660365</v>
      </c>
      <c r="BG204" s="114">
        <v>2733.0322227642869</v>
      </c>
      <c r="BH204" s="114">
        <v>9478.5969836441654</v>
      </c>
      <c r="BI204" s="114">
        <v>4884.4611867754684</v>
      </c>
      <c r="BJ204" s="114">
        <v>4519.9806759131006</v>
      </c>
      <c r="BK204" s="114">
        <v>1681.0135998651338</v>
      </c>
      <c r="BL204" s="114">
        <v>8484.8921344034625</v>
      </c>
      <c r="BM204" s="114">
        <v>5109.57807736022</v>
      </c>
      <c r="BN204" s="114">
        <v>1776.07181938146</v>
      </c>
      <c r="BO204" s="114">
        <v>488.4718523597009</v>
      </c>
      <c r="BP204" s="114">
        <v>5240.7458967388047</v>
      </c>
      <c r="BQ204" s="114">
        <v>4442.0526684064398</v>
      </c>
      <c r="BR204" s="114">
        <v>2904.4758089212123</v>
      </c>
      <c r="BS204" s="114">
        <v>642.85867480710306</v>
      </c>
      <c r="BT204" s="114">
        <v>242.38618773968523</v>
      </c>
      <c r="BU204" s="114">
        <v>304.16991415306063</v>
      </c>
      <c r="BV204" s="114">
        <v>4744.911572086553</v>
      </c>
      <c r="BW204" s="114">
        <v>1633.0498080811062</v>
      </c>
      <c r="BX204" s="114">
        <v>7544.5397271665688</v>
      </c>
      <c r="BY204" s="114">
        <v>9477.6127003848705</v>
      </c>
      <c r="BZ204" s="114">
        <v>4716.3767720907972</v>
      </c>
      <c r="CA204" s="114">
        <v>4581.1341517083747</v>
      </c>
      <c r="CB204" s="114">
        <v>7730.5384622924093</v>
      </c>
      <c r="CC204" s="114">
        <v>7826.8496123257137</v>
      </c>
      <c r="CD204" s="114">
        <v>9282.2348774954298</v>
      </c>
      <c r="CE204" s="114">
        <v>791.36466510011257</v>
      </c>
      <c r="CF204" s="114">
        <v>2601.394582831253</v>
      </c>
      <c r="CG204" s="114">
        <v>6541.6345796435589</v>
      </c>
      <c r="CH204" s="114">
        <v>6165.4945291408458</v>
      </c>
      <c r="CI204" s="114">
        <v>11096.719703982675</v>
      </c>
      <c r="CJ204" s="114">
        <v>3749.6676452472111</v>
      </c>
      <c r="CK204" s="114">
        <v>3377.6338156479346</v>
      </c>
      <c r="CL204" s="114">
        <v>1225.292774487868</v>
      </c>
      <c r="CM204" s="114">
        <v>4060.7407143921273</v>
      </c>
      <c r="CN204" s="114">
        <v>713.75433606544482</v>
      </c>
      <c r="CO204" s="114">
        <v>218.41957541041461</v>
      </c>
      <c r="CP204" s="114">
        <v>8179.2648697484183</v>
      </c>
      <c r="CQ204" s="114">
        <v>9581.8223763193728</v>
      </c>
      <c r="CR204" s="114">
        <v>2882.248891966341</v>
      </c>
      <c r="CS204" s="114">
        <v>4435.3190363279336</v>
      </c>
      <c r="CT204" s="114">
        <v>6041.3502094843279</v>
      </c>
      <c r="CU204" s="114">
        <v>3926.1605227421323</v>
      </c>
      <c r="CV204" s="114">
        <v>5057.8135920794348</v>
      </c>
      <c r="CW204" s="114">
        <v>8854.9152072880188</v>
      </c>
      <c r="CX204" s="114">
        <v>1466.6899078609126</v>
      </c>
      <c r="CY204" s="114">
        <v>2716.834246659731</v>
      </c>
      <c r="CZ204" s="114">
        <v>8717.7097340333294</v>
      </c>
      <c r="DA204" s="114">
        <v>4925.6339371523936</v>
      </c>
      <c r="DB204" s="114">
        <v>1699.0112700764789</v>
      </c>
      <c r="DC204" s="114">
        <v>66.755003190773081</v>
      </c>
      <c r="DD204" s="114">
        <v>1398.4027834515502</v>
      </c>
      <c r="DE204" s="114">
        <v>286.15930314789188</v>
      </c>
      <c r="DF204" s="114">
        <v>8289.1680438422118</v>
      </c>
      <c r="DG204" s="114">
        <v>7261.6262048817616</v>
      </c>
      <c r="DH204" s="114">
        <v>9969.6640828511627</v>
      </c>
      <c r="DI204" s="114">
        <v>7799.9788168203931</v>
      </c>
      <c r="DJ204" s="114">
        <v>4174.9448315670152</v>
      </c>
      <c r="DK204" s="114">
        <v>1400.2307204779377</v>
      </c>
      <c r="DL204" s="114">
        <v>8942.7548068853266</v>
      </c>
      <c r="DM204" s="114">
        <v>8959.3832285153876</v>
      </c>
      <c r="DN204" s="114">
        <v>9700.4834500966026</v>
      </c>
      <c r="DO204" s="114">
        <v>1531.700746799881</v>
      </c>
      <c r="DP204" s="114">
        <v>413.82388306413617</v>
      </c>
      <c r="DQ204" s="114">
        <v>6817.621763129815</v>
      </c>
      <c r="DR204" s="114">
        <v>1005.6859178794629</v>
      </c>
      <c r="DS204" s="114">
        <v>1964.3076714929853</v>
      </c>
      <c r="DT204" s="114">
        <v>8455.2898857216696</v>
      </c>
      <c r="DU204" s="114">
        <v>8496.8406184886207</v>
      </c>
      <c r="DV204" s="114">
        <v>7799.9302340117556</v>
      </c>
      <c r="DW204" s="114">
        <v>6833.3580830785768</v>
      </c>
      <c r="DX204" s="114">
        <v>611.06469173541416</v>
      </c>
      <c r="DY204" s="114">
        <v>18389.883847741999</v>
      </c>
      <c r="DZ204" s="114">
        <v>18698.774974246207</v>
      </c>
      <c r="EA204" s="114">
        <v>9375.7911237783537</v>
      </c>
      <c r="EB204" s="114">
        <v>3840.1295421412387</v>
      </c>
      <c r="EC204" s="114">
        <v>4263.3294469652301</v>
      </c>
      <c r="ED204" s="114">
        <v>8546.4376498448364</v>
      </c>
      <c r="EE204" s="114">
        <v>1166.9954481356422</v>
      </c>
      <c r="EF204" s="114">
        <v>1359.3143690137349</v>
      </c>
      <c r="EG204" s="114">
        <v>5130.0424533031746</v>
      </c>
      <c r="EH204" s="114">
        <v>5661.9022445128967</v>
      </c>
      <c r="EI204" s="114">
        <v>5516.9291327003793</v>
      </c>
      <c r="EJ204" s="114">
        <v>9106.9989375411042</v>
      </c>
      <c r="EK204" s="114">
        <v>10397.492307530796</v>
      </c>
      <c r="EL204" s="114">
        <v>10655.302971013343</v>
      </c>
      <c r="EM204" s="114">
        <v>10438.343772226657</v>
      </c>
      <c r="EN204" s="114">
        <v>1037.3737094088822</v>
      </c>
      <c r="EO204" s="114">
        <v>1741.9366217825668</v>
      </c>
      <c r="EP204" s="114">
        <v>4483.6471652175105</v>
      </c>
      <c r="EQ204" s="114">
        <v>1400.404485653437</v>
      </c>
      <c r="ER204" s="114">
        <v>2193.6664489599384</v>
      </c>
      <c r="ES204" s="114">
        <v>5832.6050724298984</v>
      </c>
      <c r="ET204" s="114">
        <v>7188.6333156864293</v>
      </c>
      <c r="EU204" s="114">
        <v>7299.2752095541782</v>
      </c>
      <c r="EV204" s="114">
        <v>7411.9802684427304</v>
      </c>
      <c r="EW204" s="114">
        <v>516.57461289922321</v>
      </c>
      <c r="EX204" s="114">
        <v>5261.1019385531954</v>
      </c>
      <c r="EY204" s="114">
        <v>4196.3138652658263</v>
      </c>
      <c r="EZ204" s="114">
        <v>4380.7901206544284</v>
      </c>
      <c r="FA204" s="114">
        <v>967.81877576576062</v>
      </c>
      <c r="FB204" s="114">
        <v>4805.5420649737762</v>
      </c>
      <c r="FC204" s="114">
        <v>10293.779205023246</v>
      </c>
      <c r="FD204" s="114">
        <v>642.45636355395413</v>
      </c>
      <c r="FE204" s="114">
        <v>465.57451628419284</v>
      </c>
      <c r="FF204" s="114">
        <v>6155.2716797514358</v>
      </c>
      <c r="FG204" s="114">
        <v>8331.3683469302578</v>
      </c>
      <c r="FH204" s="114">
        <v>8766.9784326653062</v>
      </c>
      <c r="FI204" s="114">
        <v>5216.0836064431196</v>
      </c>
      <c r="FJ204" s="114">
        <v>1244.0766754413851</v>
      </c>
      <c r="FK204" s="114">
        <v>836.07163185099421</v>
      </c>
      <c r="FL204" s="114">
        <v>8039.2555429283784</v>
      </c>
      <c r="FM204" s="114">
        <v>4185.5547227427569</v>
      </c>
      <c r="FN204" s="114">
        <v>7594.2875904381417</v>
      </c>
      <c r="FO204" s="114">
        <v>1454.8086902491098</v>
      </c>
      <c r="FP204" s="114">
        <v>131.20691704541719</v>
      </c>
      <c r="FQ204" s="114">
        <v>2793.7175356533166</v>
      </c>
      <c r="FR204" s="114">
        <v>9552.353703980818</v>
      </c>
      <c r="FS204" s="114">
        <v>4863.9780570307539</v>
      </c>
      <c r="FT204" s="114">
        <v>6740.4609162329853</v>
      </c>
      <c r="FU204" s="114">
        <v>9042.1986847094049</v>
      </c>
      <c r="FV204" s="114">
        <v>12683.566333094637</v>
      </c>
      <c r="FW204" s="114">
        <v>4643.9554906333105</v>
      </c>
      <c r="FX204" s="114">
        <v>7639.5365948425469</v>
      </c>
      <c r="FY204" s="114">
        <v>1216.3323689423428</v>
      </c>
      <c r="FZ204" s="114">
        <v>2110.939812783583</v>
      </c>
      <c r="GA204" s="114">
        <v>4063.5329403862061</v>
      </c>
      <c r="GB204" s="114">
        <v>5727.8953295336769</v>
      </c>
      <c r="GC204" s="114">
        <v>1617.6551150163436</v>
      </c>
      <c r="GD204" s="114">
        <v>4758.0248754071927</v>
      </c>
      <c r="GE204" s="114">
        <v>762.8716403335419</v>
      </c>
      <c r="GF204" s="114">
        <v>9522.5413483293105</v>
      </c>
      <c r="GG204" s="114">
        <v>6323.743135281271</v>
      </c>
      <c r="GH204" s="114">
        <v>6017.6849238807717</v>
      </c>
      <c r="GI204" s="114">
        <v>6650.1829906191551</v>
      </c>
      <c r="GJ204" s="114">
        <v>11146.706448576057</v>
      </c>
      <c r="GK204" s="114">
        <v>4746.0403072820727</v>
      </c>
      <c r="GL204" s="114">
        <v>8046.451407027881</v>
      </c>
      <c r="GM204" s="114">
        <v>8804.3576987891483</v>
      </c>
      <c r="GN204" s="114">
        <v>4834.7612238603124</v>
      </c>
      <c r="GO204" s="114">
        <v>7236.2573284746304</v>
      </c>
      <c r="GP204" s="114">
        <v>7547.6715357830662</v>
      </c>
      <c r="GQ204" s="114">
        <v>9723.3091404209281</v>
      </c>
      <c r="GR204" s="114">
        <v>16500.72995241583</v>
      </c>
      <c r="GS204" s="114" t="s">
        <v>237</v>
      </c>
      <c r="GT204" s="115">
        <v>8411.5125673815</v>
      </c>
    </row>
    <row r="205" spans="2:202" ht="12" customHeight="1" x14ac:dyDescent="0.6">
      <c r="B205" s="106" t="s">
        <v>152</v>
      </c>
      <c r="C205" s="63" t="s">
        <v>560</v>
      </c>
      <c r="D205" s="116">
        <v>7997.9519772229951</v>
      </c>
      <c r="E205" s="117">
        <v>7437.8973172838623</v>
      </c>
      <c r="F205" s="117">
        <v>8096.2836362996113</v>
      </c>
      <c r="G205" s="117">
        <v>2518.3549244976807</v>
      </c>
      <c r="H205" s="117">
        <v>10825.802051981906</v>
      </c>
      <c r="I205" s="117">
        <v>8158.4046550240282</v>
      </c>
      <c r="J205" s="117">
        <v>7562.389465677461</v>
      </c>
      <c r="K205" s="117">
        <v>11027.110497240661</v>
      </c>
      <c r="L205" s="117">
        <v>8347.8147989373883</v>
      </c>
      <c r="M205" s="117">
        <v>7721.4837659508985</v>
      </c>
      <c r="N205" s="117">
        <v>12632.976633912131</v>
      </c>
      <c r="O205" s="117">
        <v>6286.2705245720454</v>
      </c>
      <c r="P205" s="117">
        <v>8672.112465895596</v>
      </c>
      <c r="Q205" s="117">
        <v>10383.878356294132</v>
      </c>
      <c r="R205" s="117">
        <v>8864.7429816121075</v>
      </c>
      <c r="S205" s="117">
        <v>8846.3242098682495</v>
      </c>
      <c r="T205" s="117">
        <v>13422.220109927797</v>
      </c>
      <c r="U205" s="117">
        <v>4542.633170580636</v>
      </c>
      <c r="V205" s="117">
        <v>8861.7615734006795</v>
      </c>
      <c r="W205" s="117">
        <v>9809.3265660509333</v>
      </c>
      <c r="X205" s="117">
        <v>7816.5358801207949</v>
      </c>
      <c r="Y205" s="117">
        <v>314.94152629583402</v>
      </c>
      <c r="Z205" s="117">
        <v>7428.4991027033821</v>
      </c>
      <c r="AA205" s="117">
        <v>7118.346836828694</v>
      </c>
      <c r="AB205" s="117">
        <v>9927.5910337419773</v>
      </c>
      <c r="AC205" s="117">
        <v>7649.632435795198</v>
      </c>
      <c r="AD205" s="117">
        <v>5314.7384365835615</v>
      </c>
      <c r="AE205" s="117">
        <v>2564.8466471261636</v>
      </c>
      <c r="AF205" s="117">
        <v>7200.0401212975648</v>
      </c>
      <c r="AG205" s="117">
        <v>9246.6414539752277</v>
      </c>
      <c r="AH205" s="117">
        <v>3899.7284905879783</v>
      </c>
      <c r="AI205" s="117">
        <v>3759.0143975546539</v>
      </c>
      <c r="AJ205" s="117">
        <v>13338.724409880129</v>
      </c>
      <c r="AK205" s="117">
        <v>13056.998978480438</v>
      </c>
      <c r="AL205" s="117">
        <v>3540.7686639470739</v>
      </c>
      <c r="AM205" s="117">
        <v>4500.1598859246196</v>
      </c>
      <c r="AN205" s="117">
        <v>9164.4852317308741</v>
      </c>
      <c r="AO205" s="117">
        <v>11780.343290130084</v>
      </c>
      <c r="AP205" s="117">
        <v>11676.579212651004</v>
      </c>
      <c r="AQ205" s="117">
        <v>11420.36916530216</v>
      </c>
      <c r="AR205" s="117">
        <v>2285.340050778982</v>
      </c>
      <c r="AS205" s="117">
        <v>2783.6611668696996</v>
      </c>
      <c r="AT205" s="117">
        <v>2817.0530937916415</v>
      </c>
      <c r="AU205" s="117">
        <v>12667.482947602812</v>
      </c>
      <c r="AV205" s="117">
        <v>4923.1623201345019</v>
      </c>
      <c r="AW205" s="117">
        <v>8071.7275680229377</v>
      </c>
      <c r="AX205" s="117">
        <v>13044.461688647207</v>
      </c>
      <c r="AY205" s="117">
        <v>6838.3074704650689</v>
      </c>
      <c r="AZ205" s="117">
        <v>8587.6917731249268</v>
      </c>
      <c r="BA205" s="117">
        <v>9196.7431125327494</v>
      </c>
      <c r="BB205" s="117">
        <v>4419.3330274903183</v>
      </c>
      <c r="BC205" s="117">
        <v>10676.36819506455</v>
      </c>
      <c r="BD205" s="117">
        <v>11628.227054062538</v>
      </c>
      <c r="BE205" s="117">
        <v>2804.6900666490624</v>
      </c>
      <c r="BF205" s="117">
        <v>11630.112237871639</v>
      </c>
      <c r="BG205" s="117">
        <v>6259.012441306304</v>
      </c>
      <c r="BH205" s="117">
        <v>13346.282152781174</v>
      </c>
      <c r="BI205" s="117">
        <v>3909.9816081087056</v>
      </c>
      <c r="BJ205" s="117">
        <v>4740.8035604511069</v>
      </c>
      <c r="BK205" s="117">
        <v>9503.9144262060126</v>
      </c>
      <c r="BL205" s="117">
        <v>301.93304498119056</v>
      </c>
      <c r="BM205" s="117">
        <v>4073.9332199870551</v>
      </c>
      <c r="BN205" s="117">
        <v>9605.5994996480567</v>
      </c>
      <c r="BO205" s="117">
        <v>8695.7118357095696</v>
      </c>
      <c r="BP205" s="117">
        <v>3563.7943487508883</v>
      </c>
      <c r="BQ205" s="117">
        <v>6507.5603757792369</v>
      </c>
      <c r="BR205" s="117">
        <v>7709.0680452299848</v>
      </c>
      <c r="BS205" s="117">
        <v>8846.6854750318198</v>
      </c>
      <c r="BT205" s="117">
        <v>8427.3503406632317</v>
      </c>
      <c r="BU205" s="117">
        <v>8697.7407856752834</v>
      </c>
      <c r="BV205" s="117">
        <v>4634.0712074564499</v>
      </c>
      <c r="BW205" s="117">
        <v>7108.0855365221332</v>
      </c>
      <c r="BX205" s="117">
        <v>10574.599504927424</v>
      </c>
      <c r="BY205" s="117">
        <v>13500.478403225699</v>
      </c>
      <c r="BZ205" s="117">
        <v>5973.8494779171651</v>
      </c>
      <c r="CA205" s="117">
        <v>6294.0983406600917</v>
      </c>
      <c r="CB205" s="117">
        <v>9944.9994084018508</v>
      </c>
      <c r="CC205" s="117">
        <v>11886.228625999254</v>
      </c>
      <c r="CD205" s="117">
        <v>13178.576203687413</v>
      </c>
      <c r="CE205" s="117">
        <v>8221.2719249623751</v>
      </c>
      <c r="CF205" s="117">
        <v>10922.805866921126</v>
      </c>
      <c r="CG205" s="117">
        <v>6984.1709568442748</v>
      </c>
      <c r="CH205" s="117">
        <v>8018.4101698204177</v>
      </c>
      <c r="CI205" s="117">
        <v>8550.1865140181853</v>
      </c>
      <c r="CJ205" s="117">
        <v>7277.1673788230737</v>
      </c>
      <c r="CK205" s="117">
        <v>6825.2164875104127</v>
      </c>
      <c r="CL205" s="117">
        <v>9427.3294595983934</v>
      </c>
      <c r="CM205" s="117">
        <v>9286.8369074162019</v>
      </c>
      <c r="CN205" s="117">
        <v>7704.857310639255</v>
      </c>
      <c r="CO205" s="117">
        <v>8193.8077518192422</v>
      </c>
      <c r="CP205" s="117">
        <v>12289.595517389846</v>
      </c>
      <c r="CQ205" s="117">
        <v>13546.153956581269</v>
      </c>
      <c r="CR205" s="117">
        <v>6472.6861463386394</v>
      </c>
      <c r="CS205" s="117">
        <v>9582.3437169561676</v>
      </c>
      <c r="CT205" s="117">
        <v>2926.2813613386807</v>
      </c>
      <c r="CU205" s="117">
        <v>6528.2083558758832</v>
      </c>
      <c r="CV205" s="117">
        <v>9001.9193921506612</v>
      </c>
      <c r="CW205" s="117">
        <v>9378.3640050507365</v>
      </c>
      <c r="CX205" s="117">
        <v>9206.7205902468322</v>
      </c>
      <c r="CY205" s="117">
        <v>6686.0121094942851</v>
      </c>
      <c r="CZ205" s="117">
        <v>339.1471663567778</v>
      </c>
      <c r="DA205" s="117">
        <v>5494.8849944192161</v>
      </c>
      <c r="DB205" s="117">
        <v>6715.7255610925513</v>
      </c>
      <c r="DC205" s="117">
        <v>8362.4394778704627</v>
      </c>
      <c r="DD205" s="117">
        <v>8964.2436056902061</v>
      </c>
      <c r="DE205" s="117">
        <v>8680.0116347468629</v>
      </c>
      <c r="DF205" s="117">
        <v>2153.5442368454533</v>
      </c>
      <c r="DG205" s="117">
        <v>1470.3612154892071</v>
      </c>
      <c r="DH205" s="117">
        <v>8511.4661410743356</v>
      </c>
      <c r="DI205" s="117">
        <v>5912.6476430814464</v>
      </c>
      <c r="DJ205" s="117">
        <v>5759.208930030537</v>
      </c>
      <c r="DK205" s="117">
        <v>7015.0139631130769</v>
      </c>
      <c r="DL205" s="117">
        <v>3060.9504257559111</v>
      </c>
      <c r="DM205" s="117">
        <v>3078.5074377948204</v>
      </c>
      <c r="DN205" s="117">
        <v>14572.164136023261</v>
      </c>
      <c r="DO205" s="117">
        <v>8141.0631514584338</v>
      </c>
      <c r="DP205" s="117">
        <v>8056.045818577044</v>
      </c>
      <c r="DQ205" s="117">
        <v>11367.051080520463</v>
      </c>
      <c r="DR205" s="117">
        <v>7685.4100646274128</v>
      </c>
      <c r="DS205" s="117">
        <v>7640.1975425928476</v>
      </c>
      <c r="DT205" s="117">
        <v>434.23384629857838</v>
      </c>
      <c r="DU205" s="117">
        <v>8757.039899947049</v>
      </c>
      <c r="DV205" s="117">
        <v>1193.2031751750496</v>
      </c>
      <c r="DW205" s="117">
        <v>8540.7348120561383</v>
      </c>
      <c r="DX205" s="117">
        <v>9015.9952343604509</v>
      </c>
      <c r="DY205" s="117">
        <v>12186.04022173669</v>
      </c>
      <c r="DZ205" s="117">
        <v>11758.733060356519</v>
      </c>
      <c r="EA205" s="117">
        <v>12998.513415313115</v>
      </c>
      <c r="EB205" s="117">
        <v>5210.9036218157817</v>
      </c>
      <c r="EC205" s="117">
        <v>4513.6194481257899</v>
      </c>
      <c r="ED205" s="117">
        <v>12397.998322244006</v>
      </c>
      <c r="EE205" s="117">
        <v>7616.5067247895522</v>
      </c>
      <c r="EF205" s="117">
        <v>9670.6037415438204</v>
      </c>
      <c r="EG205" s="117">
        <v>6404.9113244263244</v>
      </c>
      <c r="EH205" s="117">
        <v>7061.6058379531596</v>
      </c>
      <c r="EI205" s="117">
        <v>8159.4728153856322</v>
      </c>
      <c r="EJ205" s="117">
        <v>12166.11902540612</v>
      </c>
      <c r="EK205" s="117">
        <v>8375.4448072270043</v>
      </c>
      <c r="EL205" s="117">
        <v>10875.802989490641</v>
      </c>
      <c r="EM205" s="117">
        <v>10997.540740729797</v>
      </c>
      <c r="EN205" s="117">
        <v>8736.8554991926576</v>
      </c>
      <c r="EO205" s="117">
        <v>8159.1476352307718</v>
      </c>
      <c r="EP205" s="117">
        <v>6234.2817066204198</v>
      </c>
      <c r="EQ205" s="117">
        <v>7838.3803348905749</v>
      </c>
      <c r="ER205" s="117">
        <v>9158.3840145870054</v>
      </c>
      <c r="ES205" s="117">
        <v>2744.9041410428772</v>
      </c>
      <c r="ET205" s="117">
        <v>10884.914437310694</v>
      </c>
      <c r="EU205" s="117">
        <v>10555.507803832963</v>
      </c>
      <c r="EV205" s="117">
        <v>10561.624462587182</v>
      </c>
      <c r="EW205" s="117">
        <v>7920.54487911469</v>
      </c>
      <c r="EX205" s="117">
        <v>3732.6626469760317</v>
      </c>
      <c r="EY205" s="117">
        <v>5964.2525145305826</v>
      </c>
      <c r="EZ205" s="117">
        <v>6658.0497686157196</v>
      </c>
      <c r="FA205" s="117">
        <v>7900.0307141186531</v>
      </c>
      <c r="FB205" s="117">
        <v>5873.7690083254374</v>
      </c>
      <c r="FC205" s="117">
        <v>8660.6394350065111</v>
      </c>
      <c r="FD205" s="117">
        <v>8334.0533863756064</v>
      </c>
      <c r="FE205" s="117">
        <v>8150.9910013135222</v>
      </c>
      <c r="FF205" s="117">
        <v>3642.5355622480056</v>
      </c>
      <c r="FG205" s="117">
        <v>84.945415847804114</v>
      </c>
      <c r="FH205" s="117">
        <v>12440.558517161617</v>
      </c>
      <c r="FI205" s="117">
        <v>3473.898969827972</v>
      </c>
      <c r="FJ205" s="117">
        <v>8074.7957247750437</v>
      </c>
      <c r="FK205" s="117">
        <v>7973.3275981162869</v>
      </c>
      <c r="FL205" s="117">
        <v>6691.9739556374325</v>
      </c>
      <c r="FM205" s="117">
        <v>4639.2442934327464</v>
      </c>
      <c r="FN205" s="117">
        <v>9596.6164341080512</v>
      </c>
      <c r="FO205" s="117">
        <v>9540.6824278247113</v>
      </c>
      <c r="FP205" s="117">
        <v>8357.0065862856045</v>
      </c>
      <c r="FQ205" s="117">
        <v>6671.9039413964547</v>
      </c>
      <c r="FR205" s="117">
        <v>11531.282950184308</v>
      </c>
      <c r="FS205" s="117">
        <v>8319.7559197150986</v>
      </c>
      <c r="FT205" s="117">
        <v>2463.870616915839</v>
      </c>
      <c r="FU205" s="117">
        <v>8963.6749055847285</v>
      </c>
      <c r="FV205" s="117">
        <v>10317.538438770251</v>
      </c>
      <c r="FW205" s="117">
        <v>4611.4527051748928</v>
      </c>
      <c r="FX205" s="117">
        <v>10482.552231452153</v>
      </c>
      <c r="FY205" s="117">
        <v>7220.4629725998257</v>
      </c>
      <c r="FZ205" s="117">
        <v>7328.2182082688214</v>
      </c>
      <c r="GA205" s="117">
        <v>7771.7587677052343</v>
      </c>
      <c r="GB205" s="117">
        <v>2970.9671127205465</v>
      </c>
      <c r="GC205" s="117">
        <v>8509.2965950862836</v>
      </c>
      <c r="GD205" s="117">
        <v>6278.9440581457466</v>
      </c>
      <c r="GE205" s="117">
        <v>9051.8172993882326</v>
      </c>
      <c r="GF205" s="117">
        <v>16673.024946916343</v>
      </c>
      <c r="GG205" s="117">
        <v>12838.33142568567</v>
      </c>
      <c r="GH205" s="117">
        <v>12645.035850495258</v>
      </c>
      <c r="GI205" s="117">
        <v>13043.091130066769</v>
      </c>
      <c r="GJ205" s="117">
        <v>7895.1833995403604</v>
      </c>
      <c r="GK205" s="117">
        <v>8606.2040699834743</v>
      </c>
      <c r="GL205" s="117">
        <v>10963.566446090968</v>
      </c>
      <c r="GM205" s="117">
        <v>9860.0636198061165</v>
      </c>
      <c r="GN205" s="117">
        <v>4941.5322894113142</v>
      </c>
      <c r="GO205" s="117">
        <v>1214.3189839910681</v>
      </c>
      <c r="GP205" s="117">
        <v>1022.6024929777218</v>
      </c>
      <c r="GQ205" s="117">
        <v>9424.635424493601</v>
      </c>
      <c r="GR205" s="117">
        <v>10800.780346716761</v>
      </c>
      <c r="GS205" s="117">
        <v>8411.5125673815</v>
      </c>
      <c r="GT205" s="118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132C-011A-4CCE-B95D-CAE4CF05BAEF}">
  <sheetPr>
    <tabColor rgb="FF002060"/>
  </sheetPr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45C4-B02E-4F6B-8AE3-F5D5F8A77D64}">
  <dimension ref="A1:I4293"/>
  <sheetViews>
    <sheetView workbookViewId="0">
      <selection activeCell="B2" sqref="B2"/>
    </sheetView>
  </sheetViews>
  <sheetFormatPr defaultRowHeight="14.75" x14ac:dyDescent="0.75"/>
  <cols>
    <col min="1" max="1" width="30" bestFit="1" customWidth="1"/>
    <col min="2" max="2" width="28.58984375" customWidth="1"/>
    <col min="3" max="3" width="12.5" bestFit="1" customWidth="1"/>
    <col min="4" max="4" width="12.5" customWidth="1"/>
    <col min="5" max="5" width="34.6796875" bestFit="1" customWidth="1"/>
    <col min="7" max="7" width="37.90625" bestFit="1" customWidth="1"/>
  </cols>
  <sheetData>
    <row r="1" spans="1:9" x14ac:dyDescent="0.75">
      <c r="A1" s="1" t="s">
        <v>262</v>
      </c>
      <c r="B1" s="1" t="s">
        <v>269</v>
      </c>
      <c r="C1" s="1" t="s">
        <v>607</v>
      </c>
      <c r="D1" s="1"/>
      <c r="E1" t="s">
        <v>608</v>
      </c>
      <c r="F1" t="s">
        <v>343</v>
      </c>
      <c r="G1" t="s">
        <v>609</v>
      </c>
      <c r="I1" t="s">
        <v>619</v>
      </c>
    </row>
    <row r="2" spans="1:9" x14ac:dyDescent="0.75">
      <c r="A2" t="s">
        <v>3</v>
      </c>
      <c r="B2" s="124">
        <f t="shared" ref="B2:B33" si="0">_xlfn.XLOOKUP(A2,E:E,G:G,$G$4293,0,-1)/1000</f>
        <v>0.12371133399999999</v>
      </c>
      <c r="C2" s="124">
        <f t="shared" ref="C2:C33" si="1">B2/$B$174</f>
        <v>0.58661228726820858</v>
      </c>
      <c r="D2" s="124"/>
      <c r="E2" t="s">
        <v>3</v>
      </c>
      <c r="F2">
        <v>2000</v>
      </c>
      <c r="G2">
        <v>250</v>
      </c>
    </row>
    <row r="3" spans="1:9" x14ac:dyDescent="0.75">
      <c r="A3" t="s">
        <v>4</v>
      </c>
      <c r="B3" s="124">
        <f t="shared" si="0"/>
        <v>0.6336448400000001</v>
      </c>
      <c r="C3" s="124">
        <f t="shared" si="1"/>
        <v>3.0046062627382075</v>
      </c>
      <c r="D3" s="124"/>
      <c r="E3" t="s">
        <v>3</v>
      </c>
      <c r="F3">
        <v>2001</v>
      </c>
      <c r="G3">
        <v>217.39131</v>
      </c>
    </row>
    <row r="4" spans="1:9" x14ac:dyDescent="0.75">
      <c r="A4" t="s">
        <v>5</v>
      </c>
      <c r="B4" s="124">
        <f t="shared" si="0"/>
        <v>0.4730065</v>
      </c>
      <c r="C4" s="124">
        <f t="shared" si="1"/>
        <v>2.2428941301185055</v>
      </c>
      <c r="D4" s="124"/>
      <c r="E4" t="s">
        <v>3</v>
      </c>
      <c r="F4">
        <v>2002</v>
      </c>
      <c r="G4">
        <v>169.01408000000001</v>
      </c>
    </row>
    <row r="5" spans="1:9" x14ac:dyDescent="0.75">
      <c r="A5" t="s">
        <v>6</v>
      </c>
      <c r="B5" s="124">
        <f t="shared" si="0"/>
        <v>0.16722408</v>
      </c>
      <c r="C5" s="124">
        <f t="shared" si="1"/>
        <v>0.79294028189140608</v>
      </c>
      <c r="D5" s="124"/>
      <c r="E5" t="s">
        <v>3</v>
      </c>
      <c r="F5">
        <v>2003</v>
      </c>
      <c r="G5">
        <v>241.75824</v>
      </c>
    </row>
    <row r="6" spans="1:9" x14ac:dyDescent="0.75">
      <c r="A6" t="s">
        <v>8</v>
      </c>
      <c r="B6" s="124">
        <f t="shared" si="0"/>
        <v>0.61111110000000002</v>
      </c>
      <c r="C6" s="124">
        <f t="shared" si="1"/>
        <v>2.8977561598841941</v>
      </c>
      <c r="D6" s="124"/>
      <c r="E6" t="s">
        <v>3</v>
      </c>
      <c r="F6">
        <v>2004</v>
      </c>
      <c r="G6">
        <v>227.84809999999999</v>
      </c>
    </row>
    <row r="7" spans="1:9" x14ac:dyDescent="0.75">
      <c r="A7" t="s">
        <v>9</v>
      </c>
      <c r="B7" s="124">
        <f t="shared" si="0"/>
        <v>0.35894823999999997</v>
      </c>
      <c r="C7" s="124">
        <f t="shared" si="1"/>
        <v>1.7020546240112313</v>
      </c>
      <c r="D7" s="124"/>
      <c r="E7" t="s">
        <v>3</v>
      </c>
      <c r="F7">
        <v>2005</v>
      </c>
      <c r="G7">
        <v>219.51220000000001</v>
      </c>
    </row>
    <row r="8" spans="1:9" x14ac:dyDescent="0.75">
      <c r="A8" t="s">
        <v>10</v>
      </c>
      <c r="B8" s="124">
        <f t="shared" si="0"/>
        <v>0.2443439</v>
      </c>
      <c r="C8" s="124">
        <f t="shared" si="1"/>
        <v>1.1586257251015857</v>
      </c>
      <c r="D8" s="124"/>
      <c r="E8" t="s">
        <v>3</v>
      </c>
      <c r="F8">
        <v>2006</v>
      </c>
      <c r="G8">
        <v>255.55556999999999</v>
      </c>
    </row>
    <row r="9" spans="1:9" x14ac:dyDescent="0.75">
      <c r="A9" t="s">
        <v>11</v>
      </c>
      <c r="B9" s="124">
        <f t="shared" si="0"/>
        <v>0.55158984</v>
      </c>
      <c r="C9" s="124">
        <f t="shared" si="1"/>
        <v>2.6155192674286836</v>
      </c>
      <c r="D9" s="124"/>
      <c r="E9" t="s">
        <v>3</v>
      </c>
      <c r="F9">
        <v>2007</v>
      </c>
      <c r="G9">
        <v>227.72278</v>
      </c>
    </row>
    <row r="10" spans="1:9" x14ac:dyDescent="0.75">
      <c r="A10" t="s">
        <v>12</v>
      </c>
      <c r="B10" s="124">
        <f t="shared" si="0"/>
        <v>0.10262287</v>
      </c>
      <c r="C10" s="124">
        <f t="shared" si="1"/>
        <v>0.48661536942708927</v>
      </c>
      <c r="D10" s="124"/>
      <c r="E10" t="s">
        <v>3</v>
      </c>
      <c r="F10">
        <v>2008</v>
      </c>
      <c r="G10">
        <v>256.41028</v>
      </c>
    </row>
    <row r="11" spans="1:9" x14ac:dyDescent="0.75">
      <c r="A11" t="s">
        <v>13</v>
      </c>
      <c r="B11" s="124">
        <f t="shared" si="0"/>
        <v>0.63307140000000006</v>
      </c>
      <c r="C11" s="124">
        <f t="shared" si="1"/>
        <v>3.0018871347558749</v>
      </c>
      <c r="D11" s="124"/>
      <c r="E11" t="s">
        <v>3</v>
      </c>
      <c r="F11">
        <v>2009</v>
      </c>
      <c r="G11">
        <v>123.595505</v>
      </c>
    </row>
    <row r="12" spans="1:9" x14ac:dyDescent="0.75">
      <c r="A12" t="s">
        <v>14</v>
      </c>
      <c r="B12" s="124">
        <f t="shared" si="0"/>
        <v>0.65365857000000005</v>
      </c>
      <c r="C12" s="124">
        <f t="shared" si="1"/>
        <v>3.0995070252832813</v>
      </c>
      <c r="D12" s="124"/>
      <c r="E12" t="s">
        <v>3</v>
      </c>
      <c r="F12">
        <v>2010</v>
      </c>
      <c r="G12">
        <v>147.72726</v>
      </c>
    </row>
    <row r="13" spans="1:9" x14ac:dyDescent="0.75">
      <c r="A13" t="s">
        <v>15</v>
      </c>
      <c r="B13" s="124">
        <f t="shared" si="0"/>
        <v>0.90240533000000001</v>
      </c>
      <c r="C13" s="124">
        <f t="shared" si="1"/>
        <v>4.2790101566144507</v>
      </c>
      <c r="D13" s="124"/>
      <c r="E13" t="s">
        <v>3</v>
      </c>
      <c r="F13">
        <v>2011</v>
      </c>
      <c r="G13">
        <v>194.80520000000001</v>
      </c>
    </row>
    <row r="14" spans="1:9" x14ac:dyDescent="0.75">
      <c r="A14" t="s">
        <v>16</v>
      </c>
      <c r="B14" s="124">
        <f t="shared" si="0"/>
        <v>0.69462494000000008</v>
      </c>
      <c r="C14" s="124">
        <f t="shared" si="1"/>
        <v>3.2937606577497758</v>
      </c>
      <c r="D14" s="124"/>
      <c r="E14" t="s">
        <v>3</v>
      </c>
      <c r="F14">
        <v>2012</v>
      </c>
      <c r="G14">
        <v>147.72726</v>
      </c>
    </row>
    <row r="15" spans="1:9" x14ac:dyDescent="0.75">
      <c r="A15" t="s">
        <v>17</v>
      </c>
      <c r="B15" s="124">
        <f t="shared" si="0"/>
        <v>0.6</v>
      </c>
      <c r="C15" s="124">
        <f t="shared" si="1"/>
        <v>2.8450697359784769</v>
      </c>
      <c r="D15" s="124"/>
      <c r="E15" t="s">
        <v>3</v>
      </c>
      <c r="F15">
        <v>2013</v>
      </c>
      <c r="G15">
        <v>180.18018000000001</v>
      </c>
    </row>
    <row r="16" spans="1:9" x14ac:dyDescent="0.75">
      <c r="A16" t="s">
        <v>18</v>
      </c>
      <c r="B16" s="124">
        <f t="shared" si="0"/>
        <v>0.31361729999999999</v>
      </c>
      <c r="C16" s="124">
        <f t="shared" si="1"/>
        <v>1.4871051481821378</v>
      </c>
      <c r="D16" s="124"/>
      <c r="E16" t="s">
        <v>3</v>
      </c>
      <c r="F16">
        <v>2014</v>
      </c>
      <c r="G16">
        <v>129.31035</v>
      </c>
    </row>
    <row r="17" spans="1:7" x14ac:dyDescent="0.75">
      <c r="A17" t="s">
        <v>19</v>
      </c>
      <c r="B17" s="124">
        <f t="shared" si="0"/>
        <v>0.11757640999999999</v>
      </c>
      <c r="C17" s="124">
        <f t="shared" si="1"/>
        <v>0.55752180959332853</v>
      </c>
      <c r="D17" s="124"/>
      <c r="E17" t="s">
        <v>3</v>
      </c>
      <c r="F17">
        <v>2015</v>
      </c>
      <c r="G17">
        <v>118.64407</v>
      </c>
    </row>
    <row r="18" spans="1:7" x14ac:dyDescent="0.75">
      <c r="A18" t="s">
        <v>20</v>
      </c>
      <c r="B18" s="124">
        <f t="shared" si="0"/>
        <v>0.15555556000000001</v>
      </c>
      <c r="C18" s="124">
        <f t="shared" si="1"/>
        <v>0.73761069336530694</v>
      </c>
      <c r="D18" s="124"/>
      <c r="E18" t="s">
        <v>3</v>
      </c>
      <c r="F18">
        <v>2016</v>
      </c>
      <c r="G18">
        <v>115.70247999999999</v>
      </c>
    </row>
    <row r="19" spans="1:7" x14ac:dyDescent="0.75">
      <c r="A19" t="s">
        <v>21</v>
      </c>
      <c r="B19" s="124">
        <f t="shared" si="0"/>
        <v>0.59</v>
      </c>
      <c r="C19" s="124">
        <f t="shared" si="1"/>
        <v>2.7976519070455019</v>
      </c>
      <c r="D19" s="124"/>
      <c r="E19" t="s">
        <v>3</v>
      </c>
      <c r="F19">
        <v>2017</v>
      </c>
      <c r="G19">
        <v>126.98412</v>
      </c>
    </row>
    <row r="20" spans="1:7" x14ac:dyDescent="0.75">
      <c r="A20" t="s">
        <v>22</v>
      </c>
      <c r="B20" s="124">
        <f t="shared" si="0"/>
        <v>2.4193549999999998E-2</v>
      </c>
      <c r="C20" s="124">
        <f t="shared" si="1"/>
        <v>0.11472056151813678</v>
      </c>
      <c r="D20" s="124"/>
      <c r="E20" t="s">
        <v>3</v>
      </c>
      <c r="F20">
        <v>2018</v>
      </c>
      <c r="G20">
        <v>153.84616</v>
      </c>
    </row>
    <row r="21" spans="1:7" x14ac:dyDescent="0.75">
      <c r="A21" t="s">
        <v>23</v>
      </c>
      <c r="B21" s="124">
        <f t="shared" si="0"/>
        <v>0.46801620000000005</v>
      </c>
      <c r="C21" s="124">
        <f t="shared" si="1"/>
        <v>2.2192312109460834</v>
      </c>
      <c r="D21" s="124"/>
      <c r="E21" t="s">
        <v>3</v>
      </c>
      <c r="F21">
        <v>2019</v>
      </c>
      <c r="G21">
        <v>116.438354</v>
      </c>
    </row>
    <row r="22" spans="1:7" x14ac:dyDescent="0.75">
      <c r="A22" t="s">
        <v>24</v>
      </c>
      <c r="B22" s="124">
        <f t="shared" si="0"/>
        <v>0.63804485999999994</v>
      </c>
      <c r="C22" s="124">
        <f t="shared" si="1"/>
        <v>3.0254702023043731</v>
      </c>
      <c r="D22" s="124"/>
      <c r="E22" t="s">
        <v>3</v>
      </c>
      <c r="F22">
        <v>2020</v>
      </c>
      <c r="G22">
        <v>93.220344999999995</v>
      </c>
    </row>
    <row r="23" spans="1:7" x14ac:dyDescent="0.75">
      <c r="A23" t="s">
        <v>25</v>
      </c>
      <c r="B23" s="124">
        <f t="shared" si="0"/>
        <v>0.84942089999999992</v>
      </c>
      <c r="C23" s="124">
        <f t="shared" si="1"/>
        <v>4.0277694928293331</v>
      </c>
      <c r="D23" s="124"/>
      <c r="E23" t="s">
        <v>3</v>
      </c>
      <c r="F23">
        <v>2021</v>
      </c>
      <c r="G23">
        <v>113.20755</v>
      </c>
    </row>
    <row r="24" spans="1:7" x14ac:dyDescent="0.75">
      <c r="A24" t="s">
        <v>26</v>
      </c>
      <c r="B24" s="124">
        <f t="shared" si="0"/>
        <v>0.103212296</v>
      </c>
      <c r="C24" s="124">
        <f t="shared" si="1"/>
        <v>0.48941029955075399</v>
      </c>
      <c r="D24" s="124"/>
      <c r="E24" t="s">
        <v>3</v>
      </c>
      <c r="F24">
        <v>2022</v>
      </c>
      <c r="G24">
        <v>125</v>
      </c>
    </row>
    <row r="25" spans="1:7" x14ac:dyDescent="0.75">
      <c r="A25" t="s">
        <v>27</v>
      </c>
      <c r="B25" s="124">
        <f t="shared" si="0"/>
        <v>0.89266539999999994</v>
      </c>
      <c r="C25" s="124">
        <f t="shared" si="1"/>
        <v>4.2328255231585352</v>
      </c>
      <c r="D25" s="124"/>
      <c r="E25" t="s">
        <v>3</v>
      </c>
      <c r="F25">
        <v>2023</v>
      </c>
      <c r="G25">
        <v>123.71133399999999</v>
      </c>
    </row>
    <row r="26" spans="1:7" x14ac:dyDescent="0.75">
      <c r="A26" t="s">
        <v>28</v>
      </c>
      <c r="B26" s="124">
        <f t="shared" si="0"/>
        <v>0.26420684999999999</v>
      </c>
      <c r="C26" s="124">
        <f t="shared" si="1"/>
        <v>1.2528115216220084</v>
      </c>
      <c r="D26" s="124"/>
      <c r="E26" t="s">
        <v>4</v>
      </c>
      <c r="F26">
        <v>2000</v>
      </c>
      <c r="G26">
        <v>638.58263999999997</v>
      </c>
    </row>
    <row r="27" spans="1:7" x14ac:dyDescent="0.75">
      <c r="A27" t="s">
        <v>29</v>
      </c>
      <c r="B27" s="124">
        <f t="shared" si="0"/>
        <v>0.55491327000000001</v>
      </c>
      <c r="C27" s="124">
        <f t="shared" si="1"/>
        <v>2.6312782509497552</v>
      </c>
      <c r="D27" s="124"/>
      <c r="E27" t="s">
        <v>4</v>
      </c>
      <c r="F27">
        <v>2001</v>
      </c>
      <c r="G27">
        <v>638.24189999999999</v>
      </c>
    </row>
    <row r="28" spans="1:7" x14ac:dyDescent="0.75">
      <c r="A28" t="s">
        <v>30</v>
      </c>
      <c r="B28" s="124">
        <f t="shared" si="0"/>
        <v>0.23076923999999999</v>
      </c>
      <c r="C28" s="124">
        <f t="shared" si="1"/>
        <v>1.0942576345312562</v>
      </c>
      <c r="D28" s="124"/>
      <c r="E28" t="s">
        <v>4</v>
      </c>
      <c r="F28">
        <v>2002</v>
      </c>
      <c r="G28">
        <v>637.97469999999998</v>
      </c>
    </row>
    <row r="29" spans="1:7" x14ac:dyDescent="0.75">
      <c r="A29" t="s">
        <v>31</v>
      </c>
      <c r="B29" s="124">
        <f t="shared" si="0"/>
        <v>0.48</v>
      </c>
      <c r="C29" s="124">
        <f t="shared" si="1"/>
        <v>2.2760557887827813</v>
      </c>
      <c r="D29" s="124"/>
      <c r="E29" t="s">
        <v>4</v>
      </c>
      <c r="F29">
        <v>2003</v>
      </c>
      <c r="G29">
        <v>634.08860000000004</v>
      </c>
    </row>
    <row r="30" spans="1:7" x14ac:dyDescent="0.75">
      <c r="A30" t="s">
        <v>32</v>
      </c>
      <c r="B30" s="124">
        <f t="shared" si="0"/>
        <v>0.49745547000000001</v>
      </c>
      <c r="C30" s="124">
        <f t="shared" si="1"/>
        <v>2.3588258378232485</v>
      </c>
      <c r="D30" s="124"/>
      <c r="E30" t="s">
        <v>4</v>
      </c>
      <c r="F30">
        <v>2004</v>
      </c>
      <c r="G30">
        <v>634.55999999999995</v>
      </c>
    </row>
    <row r="31" spans="1:7" x14ac:dyDescent="0.75">
      <c r="A31" t="s">
        <v>33</v>
      </c>
      <c r="B31" s="124">
        <f t="shared" si="0"/>
        <v>0.28571429999999998</v>
      </c>
      <c r="C31" s="124">
        <f t="shared" si="1"/>
        <v>1.3547951801104587</v>
      </c>
      <c r="D31" s="124"/>
      <c r="E31" t="s">
        <v>4</v>
      </c>
      <c r="F31">
        <v>2005</v>
      </c>
      <c r="G31">
        <v>629.31286999999998</v>
      </c>
    </row>
    <row r="32" spans="1:7" x14ac:dyDescent="0.75">
      <c r="A32" t="s">
        <v>34</v>
      </c>
      <c r="B32" s="124">
        <f t="shared" si="0"/>
        <v>0.17481424999999998</v>
      </c>
      <c r="C32" s="124">
        <f t="shared" si="1"/>
        <v>0.82893122015462561</v>
      </c>
      <c r="D32" s="124"/>
      <c r="E32" t="s">
        <v>4</v>
      </c>
      <c r="F32">
        <v>2006</v>
      </c>
      <c r="G32">
        <v>635.82169999999996</v>
      </c>
    </row>
    <row r="33" spans="1:7" x14ac:dyDescent="0.75">
      <c r="A33" t="s">
        <v>35</v>
      </c>
      <c r="B33" s="124">
        <f t="shared" si="0"/>
        <v>0</v>
      </c>
      <c r="C33" s="124">
        <f t="shared" si="1"/>
        <v>0</v>
      </c>
      <c r="D33" s="124"/>
      <c r="E33" t="s">
        <v>4</v>
      </c>
      <c r="F33">
        <v>2007</v>
      </c>
      <c r="G33">
        <v>635.92364999999995</v>
      </c>
    </row>
    <row r="34" spans="1:7" x14ac:dyDescent="0.75">
      <c r="A34" t="s">
        <v>36</v>
      </c>
      <c r="B34" s="124">
        <f t="shared" ref="B34:B65" si="2">_xlfn.XLOOKUP(A34,E:E,G:G,$G$4293,0,-1)/1000</f>
        <v>0.61538464000000004</v>
      </c>
      <c r="C34" s="124">
        <f t="shared" ref="C34:C65" si="3">B34/$B$174</f>
        <v>2.9180203587500166</v>
      </c>
      <c r="D34" s="124"/>
      <c r="E34" t="s">
        <v>4</v>
      </c>
      <c r="F34">
        <v>2008</v>
      </c>
      <c r="G34">
        <v>635.34673999999995</v>
      </c>
    </row>
    <row r="35" spans="1:7" x14ac:dyDescent="0.75">
      <c r="A35" t="s">
        <v>37</v>
      </c>
      <c r="B35" s="124">
        <f t="shared" si="2"/>
        <v>0.26551648</v>
      </c>
      <c r="C35" s="124">
        <f t="shared" si="3"/>
        <v>1.2590215027525575</v>
      </c>
      <c r="D35" s="124"/>
      <c r="E35" t="s">
        <v>4</v>
      </c>
      <c r="F35">
        <v>2009</v>
      </c>
      <c r="G35">
        <v>634.54549999999995</v>
      </c>
    </row>
    <row r="36" spans="1:7" x14ac:dyDescent="0.75">
      <c r="A36" t="s">
        <v>38</v>
      </c>
      <c r="B36" s="124">
        <f t="shared" si="2"/>
        <v>0.55955169999999999</v>
      </c>
      <c r="C36" s="124">
        <f t="shared" si="3"/>
        <v>2.653272678975513</v>
      </c>
      <c r="D36" s="124"/>
      <c r="E36" t="s">
        <v>4</v>
      </c>
      <c r="F36">
        <v>2010</v>
      </c>
      <c r="G36">
        <v>636.99976000000004</v>
      </c>
    </row>
    <row r="37" spans="1:7" x14ac:dyDescent="0.75">
      <c r="A37" t="s">
        <v>39</v>
      </c>
      <c r="B37" s="124">
        <f t="shared" si="2"/>
        <v>0.28579589999999999</v>
      </c>
      <c r="C37" s="124">
        <f t="shared" si="3"/>
        <v>1.355182109594552</v>
      </c>
      <c r="D37" s="124"/>
      <c r="E37" t="s">
        <v>4</v>
      </c>
      <c r="F37">
        <v>2011</v>
      </c>
      <c r="G37">
        <v>633.34630000000004</v>
      </c>
    </row>
    <row r="38" spans="1:7" x14ac:dyDescent="0.75">
      <c r="A38" t="s">
        <v>40</v>
      </c>
      <c r="B38" s="124">
        <f t="shared" si="2"/>
        <v>0.64285720000000002</v>
      </c>
      <c r="C38" s="124">
        <f t="shared" si="3"/>
        <v>3.0482892737931047</v>
      </c>
      <c r="D38" s="124"/>
      <c r="E38" t="s">
        <v>4</v>
      </c>
      <c r="F38">
        <v>2012</v>
      </c>
      <c r="G38">
        <v>632.75256000000002</v>
      </c>
    </row>
    <row r="39" spans="1:7" x14ac:dyDescent="0.75">
      <c r="A39" t="s">
        <v>41</v>
      </c>
      <c r="B39" s="124">
        <f t="shared" si="2"/>
        <v>0.71373310000000001</v>
      </c>
      <c r="C39" s="124">
        <f t="shared" si="3"/>
        <v>3.3843674039601663</v>
      </c>
      <c r="D39" s="124"/>
      <c r="E39" t="s">
        <v>4</v>
      </c>
      <c r="F39">
        <v>2013</v>
      </c>
      <c r="G39">
        <v>635.99929999999995</v>
      </c>
    </row>
    <row r="40" spans="1:7" x14ac:dyDescent="0.75">
      <c r="A40" t="s">
        <v>42</v>
      </c>
      <c r="B40" s="124">
        <f t="shared" si="2"/>
        <v>6.3004845000000004E-2</v>
      </c>
      <c r="C40" s="124">
        <f t="shared" si="3"/>
        <v>0.29875529621585811</v>
      </c>
      <c r="D40" s="124"/>
      <c r="E40" t="s">
        <v>4</v>
      </c>
      <c r="F40">
        <v>2014</v>
      </c>
      <c r="G40">
        <v>637.00019999999995</v>
      </c>
    </row>
    <row r="41" spans="1:7" x14ac:dyDescent="0.75">
      <c r="A41" t="s">
        <v>43</v>
      </c>
      <c r="B41" s="124">
        <f t="shared" si="2"/>
        <v>0.39353100000000002</v>
      </c>
      <c r="C41" s="124">
        <f t="shared" si="3"/>
        <v>1.8660385637822434</v>
      </c>
      <c r="D41" s="124"/>
      <c r="E41" t="s">
        <v>4</v>
      </c>
      <c r="F41">
        <v>2015</v>
      </c>
      <c r="G41">
        <v>637.42016999999998</v>
      </c>
    </row>
    <row r="42" spans="1:7" x14ac:dyDescent="0.75">
      <c r="A42" t="s">
        <v>44</v>
      </c>
      <c r="B42" s="124">
        <f t="shared" si="2"/>
        <v>0.17447917000000002</v>
      </c>
      <c r="C42" s="124">
        <f t="shared" si="3"/>
        <v>0.82734234354273972</v>
      </c>
      <c r="D42" s="124"/>
      <c r="E42" t="s">
        <v>4</v>
      </c>
      <c r="F42">
        <v>2016</v>
      </c>
      <c r="G42">
        <v>636.40200000000004</v>
      </c>
    </row>
    <row r="43" spans="1:7" x14ac:dyDescent="0.75">
      <c r="A43" t="s">
        <v>45</v>
      </c>
      <c r="B43" s="124">
        <f t="shared" si="2"/>
        <v>0.63897974000000002</v>
      </c>
      <c r="C43" s="124">
        <f t="shared" si="3"/>
        <v>3.0299032002956596</v>
      </c>
      <c r="D43" s="124"/>
      <c r="E43" t="s">
        <v>4</v>
      </c>
      <c r="F43">
        <v>2017</v>
      </c>
      <c r="G43">
        <v>634.15279999999996</v>
      </c>
    </row>
    <row r="44" spans="1:7" x14ac:dyDescent="0.75">
      <c r="A44" t="s">
        <v>46</v>
      </c>
      <c r="B44" s="124">
        <f t="shared" si="2"/>
        <v>0.51223779999999997</v>
      </c>
      <c r="C44" s="124">
        <f t="shared" si="3"/>
        <v>2.4289204373403264</v>
      </c>
      <c r="D44" s="124"/>
      <c r="E44" t="s">
        <v>4</v>
      </c>
      <c r="F44">
        <v>2018</v>
      </c>
      <c r="G44">
        <v>632.70360000000005</v>
      </c>
    </row>
    <row r="45" spans="1:7" x14ac:dyDescent="0.75">
      <c r="A45" t="s">
        <v>46</v>
      </c>
      <c r="B45" s="124">
        <f t="shared" si="2"/>
        <v>0.51223779999999997</v>
      </c>
      <c r="C45" s="124">
        <f t="shared" si="3"/>
        <v>2.4289204373403264</v>
      </c>
      <c r="D45" s="124"/>
      <c r="E45" t="s">
        <v>4</v>
      </c>
      <c r="F45">
        <v>2019</v>
      </c>
      <c r="G45">
        <v>632.76556000000005</v>
      </c>
    </row>
    <row r="46" spans="1:7" x14ac:dyDescent="0.75">
      <c r="A46" t="s">
        <v>610</v>
      </c>
      <c r="B46" s="124">
        <f t="shared" si="2"/>
        <v>0.41385921999999997</v>
      </c>
      <c r="C46" s="124">
        <f t="shared" si="3"/>
        <v>1.9624305696294304</v>
      </c>
      <c r="D46" s="124"/>
      <c r="E46" t="s">
        <v>4</v>
      </c>
      <c r="F46">
        <v>2020</v>
      </c>
      <c r="G46">
        <v>632.60675000000003</v>
      </c>
    </row>
    <row r="47" spans="1:7" x14ac:dyDescent="0.75">
      <c r="A47" t="s">
        <v>47</v>
      </c>
      <c r="B47" s="124">
        <f t="shared" si="2"/>
        <v>0.14330042000000001</v>
      </c>
      <c r="C47" s="124">
        <f t="shared" si="3"/>
        <v>0.6794994801583415</v>
      </c>
      <c r="D47" s="124"/>
      <c r="E47" t="s">
        <v>4</v>
      </c>
      <c r="F47">
        <v>2021</v>
      </c>
      <c r="G47">
        <v>633.52800000000002</v>
      </c>
    </row>
    <row r="48" spans="1:7" x14ac:dyDescent="0.75">
      <c r="A48" t="s">
        <v>48</v>
      </c>
      <c r="B48" s="124">
        <f t="shared" si="2"/>
        <v>0.45</v>
      </c>
      <c r="C48" s="124">
        <f t="shared" si="3"/>
        <v>2.1338023019838577</v>
      </c>
      <c r="D48" s="124"/>
      <c r="E48" t="s">
        <v>4</v>
      </c>
      <c r="F48">
        <v>2022</v>
      </c>
      <c r="G48">
        <v>633.65030000000002</v>
      </c>
    </row>
    <row r="49" spans="1:7" x14ac:dyDescent="0.75">
      <c r="A49" t="s">
        <v>49</v>
      </c>
      <c r="B49" s="124">
        <f t="shared" si="2"/>
        <v>0.6</v>
      </c>
      <c r="C49" s="124">
        <f t="shared" si="3"/>
        <v>2.8450697359784769</v>
      </c>
      <c r="D49" s="124"/>
      <c r="E49" t="s">
        <v>4</v>
      </c>
      <c r="F49">
        <v>2023</v>
      </c>
      <c r="G49">
        <v>633.64484000000004</v>
      </c>
    </row>
    <row r="50" spans="1:7" x14ac:dyDescent="0.75">
      <c r="A50" t="s">
        <v>50</v>
      </c>
      <c r="B50" s="124">
        <f t="shared" si="2"/>
        <v>0.56669179999999997</v>
      </c>
      <c r="C50" s="124">
        <f t="shared" si="3"/>
        <v>2.6871294830119461</v>
      </c>
      <c r="D50" s="124"/>
      <c r="E50" t="s">
        <v>6</v>
      </c>
      <c r="F50">
        <v>2000</v>
      </c>
      <c r="G50">
        <v>256.94443000000001</v>
      </c>
    </row>
    <row r="51" spans="1:7" x14ac:dyDescent="0.75">
      <c r="A51" t="s">
        <v>51</v>
      </c>
      <c r="B51" s="124">
        <f t="shared" si="2"/>
        <v>2.7044025000000003E-2</v>
      </c>
      <c r="C51" s="124">
        <f t="shared" si="3"/>
        <v>0.12823689511090888</v>
      </c>
      <c r="D51" s="124"/>
      <c r="E51" t="s">
        <v>6</v>
      </c>
      <c r="F51">
        <v>2001</v>
      </c>
      <c r="G51">
        <v>262.19513000000001</v>
      </c>
    </row>
    <row r="52" spans="1:7" x14ac:dyDescent="0.75">
      <c r="A52" t="s">
        <v>52</v>
      </c>
      <c r="B52" s="124">
        <f t="shared" si="2"/>
        <v>0.20969698000000001</v>
      </c>
      <c r="C52" s="124">
        <f t="shared" si="3"/>
        <v>0.99433755254013989</v>
      </c>
      <c r="D52" s="124"/>
      <c r="E52" t="s">
        <v>6</v>
      </c>
      <c r="F52">
        <v>2002</v>
      </c>
      <c r="G52">
        <v>250</v>
      </c>
    </row>
    <row r="53" spans="1:7" x14ac:dyDescent="0.75">
      <c r="A53" t="s">
        <v>53</v>
      </c>
      <c r="B53" s="124">
        <f t="shared" si="2"/>
        <v>0.57193830000000001</v>
      </c>
      <c r="C53" s="124">
        <f t="shared" si="3"/>
        <v>2.7120072469616314</v>
      </c>
      <c r="D53" s="124"/>
      <c r="E53" t="s">
        <v>6</v>
      </c>
      <c r="F53">
        <v>2003</v>
      </c>
      <c r="G53">
        <v>261.30651999999998</v>
      </c>
    </row>
    <row r="54" spans="1:7" x14ac:dyDescent="0.75">
      <c r="A54" t="s">
        <v>54</v>
      </c>
      <c r="B54" s="124">
        <f t="shared" si="2"/>
        <v>0.10156248999999999</v>
      </c>
      <c r="C54" s="124">
        <f t="shared" si="3"/>
        <v>0.48158727768269444</v>
      </c>
      <c r="D54" s="124"/>
      <c r="E54" t="s">
        <v>6</v>
      </c>
      <c r="F54">
        <v>2004</v>
      </c>
      <c r="G54">
        <v>160.71430000000001</v>
      </c>
    </row>
    <row r="55" spans="1:7" x14ac:dyDescent="0.75">
      <c r="A55" t="s">
        <v>55</v>
      </c>
      <c r="B55" s="124">
        <f t="shared" si="2"/>
        <v>0.60509550000000001</v>
      </c>
      <c r="C55" s="124">
        <f t="shared" si="3"/>
        <v>2.8692314907112739</v>
      </c>
      <c r="D55" s="124"/>
      <c r="E55" t="s">
        <v>6</v>
      </c>
      <c r="F55">
        <v>2005</v>
      </c>
      <c r="G55">
        <v>121.673</v>
      </c>
    </row>
    <row r="56" spans="1:7" x14ac:dyDescent="0.75">
      <c r="A56" t="s">
        <v>56</v>
      </c>
      <c r="B56" s="124">
        <f t="shared" si="2"/>
        <v>0.59090905999999999</v>
      </c>
      <c r="C56" s="124">
        <f t="shared" si="3"/>
        <v>2.801962472202483</v>
      </c>
      <c r="D56" s="124"/>
      <c r="E56" t="s">
        <v>6</v>
      </c>
      <c r="F56">
        <v>2006</v>
      </c>
      <c r="G56">
        <v>117.44965999999999</v>
      </c>
    </row>
    <row r="57" spans="1:7" x14ac:dyDescent="0.75">
      <c r="A57" t="s">
        <v>57</v>
      </c>
      <c r="B57" s="124">
        <f t="shared" si="2"/>
        <v>0.34102140000000003</v>
      </c>
      <c r="C57" s="124">
        <f t="shared" si="3"/>
        <v>1.6170494407683511</v>
      </c>
      <c r="D57" s="124"/>
      <c r="E57" t="s">
        <v>6</v>
      </c>
      <c r="F57">
        <v>2007</v>
      </c>
      <c r="G57">
        <v>169.75308000000001</v>
      </c>
    </row>
    <row r="58" spans="1:7" x14ac:dyDescent="0.75">
      <c r="A58" t="s">
        <v>58</v>
      </c>
      <c r="B58" s="124">
        <f t="shared" si="2"/>
        <v>0.14285713</v>
      </c>
      <c r="C58" s="124">
        <f t="shared" si="3"/>
        <v>0.6773974952195716</v>
      </c>
      <c r="D58" s="124"/>
      <c r="E58" t="s">
        <v>6</v>
      </c>
      <c r="F58">
        <v>2008</v>
      </c>
      <c r="G58">
        <v>162.96297000000001</v>
      </c>
    </row>
    <row r="59" spans="1:7" x14ac:dyDescent="0.75">
      <c r="A59" t="s">
        <v>59</v>
      </c>
      <c r="B59" s="124">
        <f t="shared" si="2"/>
        <v>2.3548739999999999E-2</v>
      </c>
      <c r="C59" s="124">
        <f t="shared" si="3"/>
        <v>0.11166301249070966</v>
      </c>
      <c r="D59" s="124"/>
      <c r="E59" t="s">
        <v>6</v>
      </c>
      <c r="F59">
        <v>2009</v>
      </c>
      <c r="G59">
        <v>236.25255000000001</v>
      </c>
    </row>
    <row r="60" spans="1:7" x14ac:dyDescent="0.75">
      <c r="A60" t="s">
        <v>60</v>
      </c>
      <c r="B60" s="124">
        <f t="shared" si="2"/>
        <v>7.2248800000000002E-2</v>
      </c>
      <c r="C60" s="124">
        <f t="shared" si="3"/>
        <v>0.34258812390126964</v>
      </c>
      <c r="D60" s="124"/>
      <c r="E60" t="s">
        <v>6</v>
      </c>
      <c r="F60">
        <v>2010</v>
      </c>
      <c r="G60">
        <v>227.10623000000001</v>
      </c>
    </row>
    <row r="61" spans="1:7" x14ac:dyDescent="0.75">
      <c r="A61" t="s">
        <v>61</v>
      </c>
      <c r="B61" s="124">
        <f t="shared" si="2"/>
        <v>4.4179085E-2</v>
      </c>
      <c r="C61" s="124">
        <f t="shared" si="3"/>
        <v>0.20948762949453448</v>
      </c>
      <c r="D61" s="124"/>
      <c r="E61" t="s">
        <v>6</v>
      </c>
      <c r="F61">
        <v>2011</v>
      </c>
      <c r="G61">
        <v>208.48056</v>
      </c>
    </row>
    <row r="62" spans="1:7" x14ac:dyDescent="0.75">
      <c r="A62" t="s">
        <v>62</v>
      </c>
      <c r="B62" s="124">
        <f t="shared" si="2"/>
        <v>0.42946706999999995</v>
      </c>
      <c r="C62" s="124">
        <f t="shared" si="3"/>
        <v>2.0364396057605831</v>
      </c>
      <c r="D62" s="124"/>
      <c r="E62" t="s">
        <v>6</v>
      </c>
      <c r="F62">
        <v>2012</v>
      </c>
      <c r="G62">
        <v>207.25389000000001</v>
      </c>
    </row>
    <row r="63" spans="1:7" x14ac:dyDescent="0.75">
      <c r="A63" t="s">
        <v>63</v>
      </c>
      <c r="B63" s="124">
        <f t="shared" si="2"/>
        <v>0.66666669999999995</v>
      </c>
      <c r="C63" s="124">
        <f t="shared" si="3"/>
        <v>3.1611887535910705</v>
      </c>
      <c r="D63" s="124"/>
      <c r="E63" t="s">
        <v>6</v>
      </c>
      <c r="F63">
        <v>2013</v>
      </c>
      <c r="G63">
        <v>289.57056</v>
      </c>
    </row>
    <row r="64" spans="1:7" x14ac:dyDescent="0.75">
      <c r="A64" t="s">
        <v>64</v>
      </c>
      <c r="B64" s="124">
        <f t="shared" si="2"/>
        <v>0.1430575</v>
      </c>
      <c r="C64" s="124">
        <f t="shared" si="3"/>
        <v>0.67834760625790158</v>
      </c>
      <c r="D64" s="124"/>
      <c r="E64" t="s">
        <v>6</v>
      </c>
      <c r="F64">
        <v>2014</v>
      </c>
      <c r="G64">
        <v>324.26776000000001</v>
      </c>
    </row>
    <row r="65" spans="1:7" x14ac:dyDescent="0.75">
      <c r="A65" t="s">
        <v>65</v>
      </c>
      <c r="B65" s="124">
        <f t="shared" si="2"/>
        <v>0.34413992000000004</v>
      </c>
      <c r="C65" s="124">
        <f t="shared" si="3"/>
        <v>1.631836785556757</v>
      </c>
      <c r="D65" s="124"/>
      <c r="E65" t="s">
        <v>6</v>
      </c>
      <c r="F65">
        <v>2015</v>
      </c>
      <c r="G65">
        <v>312.88344999999998</v>
      </c>
    </row>
    <row r="66" spans="1:7" x14ac:dyDescent="0.75">
      <c r="A66" t="s">
        <v>66</v>
      </c>
      <c r="B66" s="124">
        <f t="shared" ref="B66:B97" si="4">_xlfn.XLOOKUP(A66,E:E,G:G,$G$4293,0,-1)/1000</f>
        <v>0.45286124</v>
      </c>
      <c r="C66" s="124">
        <f t="shared" ref="C66:C97" si="5">B66/$B$174</f>
        <v>2.1473696808694762</v>
      </c>
      <c r="D66" s="124"/>
      <c r="E66" t="s">
        <v>6</v>
      </c>
      <c r="F66">
        <v>2016</v>
      </c>
      <c r="G66">
        <v>286.88524999999998</v>
      </c>
    </row>
    <row r="67" spans="1:7" x14ac:dyDescent="0.75">
      <c r="A67" t="s">
        <v>67</v>
      </c>
      <c r="B67" s="124">
        <f t="shared" si="4"/>
        <v>0.31976236000000002</v>
      </c>
      <c r="C67" s="124">
        <f t="shared" si="5"/>
        <v>1.5162436885684245</v>
      </c>
      <c r="D67" s="124"/>
      <c r="E67" t="s">
        <v>6</v>
      </c>
      <c r="F67">
        <v>2017</v>
      </c>
      <c r="G67">
        <v>205.36539999999999</v>
      </c>
    </row>
    <row r="68" spans="1:7" x14ac:dyDescent="0.75">
      <c r="A68" t="s">
        <v>68</v>
      </c>
      <c r="B68" s="124">
        <f t="shared" si="4"/>
        <v>0.66666669999999995</v>
      </c>
      <c r="C68" s="124">
        <f t="shared" si="5"/>
        <v>3.1611887535910705</v>
      </c>
      <c r="D68" s="124"/>
      <c r="E68" t="s">
        <v>6</v>
      </c>
      <c r="F68">
        <v>2018</v>
      </c>
      <c r="G68">
        <v>154.49010000000001</v>
      </c>
    </row>
    <row r="69" spans="1:7" x14ac:dyDescent="0.75">
      <c r="A69" t="s">
        <v>69</v>
      </c>
      <c r="B69" s="124">
        <f t="shared" si="4"/>
        <v>0.27265973000000004</v>
      </c>
      <c r="C69" s="124">
        <f t="shared" si="5"/>
        <v>1.2928932434051048</v>
      </c>
      <c r="D69" s="124"/>
      <c r="E69" t="s">
        <v>6</v>
      </c>
      <c r="F69">
        <v>2019</v>
      </c>
      <c r="G69">
        <v>186.47282000000001</v>
      </c>
    </row>
    <row r="70" spans="1:7" x14ac:dyDescent="0.75">
      <c r="A70" t="s">
        <v>70</v>
      </c>
      <c r="B70" s="124">
        <f t="shared" si="4"/>
        <v>0.18271604999999999</v>
      </c>
      <c r="C70" s="124">
        <f t="shared" si="5"/>
        <v>0.86639984022088357</v>
      </c>
      <c r="D70" s="124"/>
      <c r="E70" t="s">
        <v>6</v>
      </c>
      <c r="F70">
        <v>2020</v>
      </c>
      <c r="G70">
        <v>171.32660000000001</v>
      </c>
    </row>
    <row r="71" spans="1:7" x14ac:dyDescent="0.75">
      <c r="A71" t="s">
        <v>71</v>
      </c>
      <c r="B71" s="124">
        <f t="shared" si="4"/>
        <v>0.625</v>
      </c>
      <c r="C71" s="124">
        <f t="shared" si="5"/>
        <v>2.9636143083109134</v>
      </c>
      <c r="D71" s="124"/>
      <c r="E71" t="s">
        <v>6</v>
      </c>
      <c r="F71">
        <v>2021</v>
      </c>
      <c r="G71">
        <v>172.7003</v>
      </c>
    </row>
    <row r="72" spans="1:7" x14ac:dyDescent="0.75">
      <c r="A72" t="s">
        <v>72</v>
      </c>
      <c r="B72" s="124">
        <f t="shared" si="4"/>
        <v>0.63432836999999997</v>
      </c>
      <c r="C72" s="124">
        <f t="shared" si="5"/>
        <v>3.0078474135992623</v>
      </c>
      <c r="D72" s="124"/>
      <c r="E72" t="s">
        <v>6</v>
      </c>
      <c r="F72">
        <v>2022</v>
      </c>
      <c r="G72">
        <v>172.15483</v>
      </c>
    </row>
    <row r="73" spans="1:7" x14ac:dyDescent="0.75">
      <c r="A73" t="s">
        <v>73</v>
      </c>
      <c r="B73" s="124">
        <f t="shared" si="4"/>
        <v>0.5346535</v>
      </c>
      <c r="C73" s="124">
        <f t="shared" si="5"/>
        <v>2.5352108201416144</v>
      </c>
      <c r="D73" s="124"/>
      <c r="E73" t="s">
        <v>6</v>
      </c>
      <c r="F73">
        <v>2023</v>
      </c>
      <c r="G73">
        <v>167.22407999999999</v>
      </c>
    </row>
    <row r="74" spans="1:7" x14ac:dyDescent="0.75">
      <c r="A74" t="s">
        <v>74</v>
      </c>
      <c r="B74" s="124">
        <f t="shared" si="4"/>
        <v>0.28949615000000001</v>
      </c>
      <c r="C74" s="124">
        <f t="shared" si="5"/>
        <v>1.3727278917454759</v>
      </c>
      <c r="D74" s="124"/>
      <c r="E74" t="s">
        <v>8</v>
      </c>
      <c r="F74">
        <v>2000</v>
      </c>
      <c r="G74">
        <v>666.66660000000002</v>
      </c>
    </row>
    <row r="75" spans="1:7" x14ac:dyDescent="0.75">
      <c r="A75" t="s">
        <v>76</v>
      </c>
      <c r="B75" s="124">
        <f t="shared" si="4"/>
        <v>0.18281822</v>
      </c>
      <c r="C75" s="124">
        <f t="shared" si="5"/>
        <v>0.86688430817909179</v>
      </c>
      <c r="D75" s="124"/>
      <c r="E75" t="s">
        <v>8</v>
      </c>
      <c r="F75">
        <v>2001</v>
      </c>
      <c r="G75">
        <v>647.05884000000003</v>
      </c>
    </row>
    <row r="76" spans="1:7" x14ac:dyDescent="0.75">
      <c r="A76" t="s">
        <v>77</v>
      </c>
      <c r="B76" s="124">
        <f t="shared" si="4"/>
        <v>2.8330019000000001E-2</v>
      </c>
      <c r="C76" s="124">
        <f t="shared" si="5"/>
        <v>0.13433479946099205</v>
      </c>
      <c r="D76" s="124"/>
      <c r="E76" t="s">
        <v>8</v>
      </c>
      <c r="F76">
        <v>2002</v>
      </c>
      <c r="G76">
        <v>684.21050000000002</v>
      </c>
    </row>
    <row r="77" spans="1:7" x14ac:dyDescent="0.75">
      <c r="A77" t="s">
        <v>78</v>
      </c>
      <c r="B77" s="124">
        <f t="shared" si="4"/>
        <v>0.7083216</v>
      </c>
      <c r="C77" s="124">
        <f t="shared" si="5"/>
        <v>3.3587072458330871</v>
      </c>
      <c r="D77" s="124"/>
      <c r="E77" t="s">
        <v>8</v>
      </c>
      <c r="F77">
        <v>2003</v>
      </c>
      <c r="G77">
        <v>666.66669999999999</v>
      </c>
    </row>
    <row r="78" spans="1:7" x14ac:dyDescent="0.75">
      <c r="A78" t="s">
        <v>79</v>
      </c>
      <c r="B78" s="124">
        <f t="shared" si="4"/>
        <v>0.68243010000000004</v>
      </c>
      <c r="C78" s="124">
        <f t="shared" si="5"/>
        <v>3.2359353740512762</v>
      </c>
      <c r="D78" s="124"/>
      <c r="E78" t="s">
        <v>8</v>
      </c>
      <c r="F78">
        <v>2004</v>
      </c>
      <c r="G78">
        <v>636.36365000000001</v>
      </c>
    </row>
    <row r="79" spans="1:7" x14ac:dyDescent="0.75">
      <c r="A79" t="s">
        <v>80</v>
      </c>
      <c r="B79" s="124">
        <f t="shared" si="4"/>
        <v>0.64193615999999998</v>
      </c>
      <c r="C79" s="124">
        <f t="shared" si="5"/>
        <v>3.043921902077062</v>
      </c>
      <c r="D79" s="124"/>
      <c r="E79" t="s">
        <v>8</v>
      </c>
      <c r="F79">
        <v>2005</v>
      </c>
      <c r="G79">
        <v>666.66669999999999</v>
      </c>
    </row>
    <row r="80" spans="1:7" x14ac:dyDescent="0.75">
      <c r="A80" t="s">
        <v>81</v>
      </c>
      <c r="B80" s="124">
        <f t="shared" si="4"/>
        <v>0.68940049999999997</v>
      </c>
      <c r="C80" s="124">
        <f t="shared" si="5"/>
        <v>3.2689874975307163</v>
      </c>
      <c r="D80" s="124"/>
      <c r="E80" t="s">
        <v>8</v>
      </c>
      <c r="F80">
        <v>2006</v>
      </c>
      <c r="G80">
        <v>653.84619999999995</v>
      </c>
    </row>
    <row r="81" spans="1:7" x14ac:dyDescent="0.75">
      <c r="A81" t="s">
        <v>82</v>
      </c>
      <c r="B81" s="124">
        <f t="shared" si="4"/>
        <v>0.27970218000000002</v>
      </c>
      <c r="C81" s="124">
        <f t="shared" si="5"/>
        <v>1.3262870123420074</v>
      </c>
      <c r="D81" s="124"/>
      <c r="E81" t="s">
        <v>8</v>
      </c>
      <c r="F81">
        <v>2007</v>
      </c>
      <c r="G81">
        <v>655.17240000000004</v>
      </c>
    </row>
    <row r="82" spans="1:7" x14ac:dyDescent="0.75">
      <c r="A82" t="s">
        <v>83</v>
      </c>
      <c r="B82" s="124">
        <f t="shared" si="4"/>
        <v>0.56726244999999997</v>
      </c>
      <c r="C82" s="124">
        <f t="shared" si="5"/>
        <v>2.6898353814200062</v>
      </c>
      <c r="D82" s="124"/>
      <c r="E82" t="s">
        <v>8</v>
      </c>
      <c r="F82">
        <v>2008</v>
      </c>
      <c r="G82">
        <v>666.66660000000002</v>
      </c>
    </row>
    <row r="83" spans="1:7" x14ac:dyDescent="0.75">
      <c r="A83" t="s">
        <v>84</v>
      </c>
      <c r="B83" s="124">
        <f t="shared" si="4"/>
        <v>0.2875335</v>
      </c>
      <c r="C83" s="124">
        <f t="shared" si="5"/>
        <v>1.3634214315499456</v>
      </c>
      <c r="D83" s="124"/>
      <c r="E83" t="s">
        <v>8</v>
      </c>
      <c r="F83">
        <v>2009</v>
      </c>
      <c r="G83">
        <v>666.66660000000002</v>
      </c>
    </row>
    <row r="84" spans="1:7" x14ac:dyDescent="0.75">
      <c r="A84" t="s">
        <v>85</v>
      </c>
      <c r="B84" s="124">
        <f t="shared" si="4"/>
        <v>0.56124724999999998</v>
      </c>
      <c r="C84" s="124">
        <f t="shared" si="5"/>
        <v>2.6613126089602437</v>
      </c>
      <c r="D84" s="124"/>
      <c r="E84" t="s">
        <v>8</v>
      </c>
      <c r="F84">
        <v>2010</v>
      </c>
      <c r="G84">
        <v>666.66660000000002</v>
      </c>
    </row>
    <row r="85" spans="1:7" x14ac:dyDescent="0.75">
      <c r="A85" t="s">
        <v>86</v>
      </c>
      <c r="B85" s="124">
        <f t="shared" si="4"/>
        <v>0.48232416</v>
      </c>
      <c r="C85" s="124">
        <f t="shared" si="5"/>
        <v>2.2870764509120676</v>
      </c>
      <c r="D85" s="124"/>
      <c r="E85" t="s">
        <v>8</v>
      </c>
      <c r="F85">
        <v>2011</v>
      </c>
      <c r="G85">
        <v>666.66660000000002</v>
      </c>
    </row>
    <row r="86" spans="1:7" x14ac:dyDescent="0.75">
      <c r="A86" t="s">
        <v>87</v>
      </c>
      <c r="B86" s="124">
        <f t="shared" si="4"/>
        <v>0.53921136000000003</v>
      </c>
      <c r="C86" s="124">
        <f t="shared" si="5"/>
        <v>2.5568232027196593</v>
      </c>
      <c r="D86" s="124"/>
      <c r="E86" t="s">
        <v>8</v>
      </c>
      <c r="F86">
        <v>2012</v>
      </c>
      <c r="G86">
        <v>666.66660000000002</v>
      </c>
    </row>
    <row r="87" spans="1:7" x14ac:dyDescent="0.75">
      <c r="A87" t="s">
        <v>88</v>
      </c>
      <c r="B87" s="124">
        <f t="shared" si="4"/>
        <v>0.80194830000000006</v>
      </c>
      <c r="C87" s="124">
        <f t="shared" si="5"/>
        <v>3.8026647302489809</v>
      </c>
      <c r="D87" s="124"/>
      <c r="E87" t="s">
        <v>8</v>
      </c>
      <c r="F87">
        <v>2013</v>
      </c>
      <c r="G87">
        <v>666.66660000000002</v>
      </c>
    </row>
    <row r="88" spans="1:7" x14ac:dyDescent="0.75">
      <c r="A88" t="s">
        <v>89</v>
      </c>
      <c r="B88" s="124">
        <f t="shared" si="4"/>
        <v>8.4824905000000006E-2</v>
      </c>
      <c r="C88" s="124">
        <f t="shared" si="5"/>
        <v>0.4022212834545823</v>
      </c>
      <c r="D88" s="124"/>
      <c r="E88" t="s">
        <v>8</v>
      </c>
      <c r="F88">
        <v>2014</v>
      </c>
      <c r="G88">
        <v>647.05884000000003</v>
      </c>
    </row>
    <row r="89" spans="1:7" x14ac:dyDescent="0.75">
      <c r="A89" t="s">
        <v>90</v>
      </c>
      <c r="B89" s="124">
        <f t="shared" si="4"/>
        <v>0.63723474000000002</v>
      </c>
      <c r="C89" s="124">
        <f t="shared" si="5"/>
        <v>3.0216287891468556</v>
      </c>
      <c r="D89" s="124"/>
      <c r="E89" t="s">
        <v>8</v>
      </c>
      <c r="F89">
        <v>2015</v>
      </c>
      <c r="G89">
        <v>628.57140000000004</v>
      </c>
    </row>
    <row r="90" spans="1:7" x14ac:dyDescent="0.75">
      <c r="A90" t="s">
        <v>91</v>
      </c>
      <c r="B90" s="124">
        <f t="shared" si="4"/>
        <v>0.16370106999999998</v>
      </c>
      <c r="C90" s="124">
        <f t="shared" si="5"/>
        <v>0.7762349333404901</v>
      </c>
      <c r="D90" s="124"/>
      <c r="E90" t="s">
        <v>8</v>
      </c>
      <c r="F90">
        <v>2016</v>
      </c>
      <c r="G90">
        <v>647.05884000000003</v>
      </c>
    </row>
    <row r="91" spans="1:7" x14ac:dyDescent="0.75">
      <c r="A91" t="s">
        <v>92</v>
      </c>
      <c r="B91" s="124">
        <f t="shared" si="4"/>
        <v>0.23212237999999999</v>
      </c>
      <c r="C91" s="124">
        <f t="shared" si="5"/>
        <v>1.1006739306354927</v>
      </c>
      <c r="D91" s="124"/>
      <c r="E91" t="s">
        <v>8</v>
      </c>
      <c r="F91">
        <v>2017</v>
      </c>
      <c r="G91">
        <v>628.57140000000004</v>
      </c>
    </row>
    <row r="92" spans="1:7" x14ac:dyDescent="0.75">
      <c r="A92" t="s">
        <v>93</v>
      </c>
      <c r="B92" s="124">
        <f t="shared" si="4"/>
        <v>0.13622292</v>
      </c>
      <c r="C92" s="124">
        <f t="shared" si="5"/>
        <v>0.64593951173102859</v>
      </c>
      <c r="D92" s="124"/>
      <c r="E92" t="s">
        <v>8</v>
      </c>
      <c r="F92">
        <v>2018</v>
      </c>
      <c r="G92">
        <v>638.88885000000005</v>
      </c>
    </row>
    <row r="93" spans="1:7" x14ac:dyDescent="0.75">
      <c r="A93" t="s">
        <v>94</v>
      </c>
      <c r="B93" s="124">
        <f t="shared" si="4"/>
        <v>0.36946901999999998</v>
      </c>
      <c r="C93" s="124">
        <f t="shared" si="5"/>
        <v>1.7519418786393774</v>
      </c>
      <c r="D93" s="124"/>
      <c r="E93" t="s">
        <v>8</v>
      </c>
      <c r="F93">
        <v>2019</v>
      </c>
      <c r="G93">
        <v>638.88885000000005</v>
      </c>
    </row>
    <row r="94" spans="1:7" x14ac:dyDescent="0.75">
      <c r="A94" t="s">
        <v>95</v>
      </c>
      <c r="B94" s="124">
        <f t="shared" si="4"/>
        <v>2.0833334000000002E-2</v>
      </c>
      <c r="C94" s="124">
        <f t="shared" si="5"/>
        <v>9.8787146771552384E-2</v>
      </c>
      <c r="D94" s="124"/>
      <c r="E94" t="s">
        <v>8</v>
      </c>
      <c r="F94">
        <v>2020</v>
      </c>
      <c r="G94">
        <v>628.57140000000004</v>
      </c>
    </row>
    <row r="95" spans="1:7" x14ac:dyDescent="0.75">
      <c r="A95" t="s">
        <v>96</v>
      </c>
      <c r="B95" s="124">
        <f t="shared" si="4"/>
        <v>0.43589746000000001</v>
      </c>
      <c r="C95" s="124">
        <f t="shared" si="5"/>
        <v>2.0669311190598143</v>
      </c>
      <c r="D95" s="124"/>
      <c r="E95" t="s">
        <v>8</v>
      </c>
      <c r="F95">
        <v>2021</v>
      </c>
      <c r="G95">
        <v>628.57140000000004</v>
      </c>
    </row>
    <row r="96" spans="1:7" x14ac:dyDescent="0.75">
      <c r="A96" t="s">
        <v>97</v>
      </c>
      <c r="B96" s="124">
        <f t="shared" si="4"/>
        <v>0.83053259999999995</v>
      </c>
      <c r="C96" s="124">
        <f t="shared" si="5"/>
        <v>3.9382052750058629</v>
      </c>
      <c r="D96" s="124"/>
      <c r="E96" t="s">
        <v>8</v>
      </c>
      <c r="F96">
        <v>2022</v>
      </c>
      <c r="G96">
        <v>611.11109999999996</v>
      </c>
    </row>
    <row r="97" spans="1:7" x14ac:dyDescent="0.75">
      <c r="A97" t="s">
        <v>98</v>
      </c>
      <c r="B97" s="124">
        <f t="shared" si="4"/>
        <v>0.4730065</v>
      </c>
      <c r="C97" s="124">
        <f t="shared" si="5"/>
        <v>2.2428941301185055</v>
      </c>
      <c r="D97" s="124"/>
      <c r="E97" t="s">
        <v>8</v>
      </c>
      <c r="F97">
        <v>2023</v>
      </c>
      <c r="G97">
        <v>611.11109999999996</v>
      </c>
    </row>
    <row r="98" spans="1:7" x14ac:dyDescent="0.75">
      <c r="A98" t="s">
        <v>99</v>
      </c>
      <c r="B98" s="124">
        <f t="shared" ref="B98:B129" si="6">_xlfn.XLOOKUP(A98,E:E,G:G,$G$4293,0,-1)/1000</f>
        <v>0.13934424999999998</v>
      </c>
      <c r="C98" s="124">
        <f t="shared" ref="C98:C129" si="7">B98/$B$174</f>
        <v>0.66074018092936471</v>
      </c>
      <c r="D98" s="124"/>
      <c r="E98" t="s">
        <v>9</v>
      </c>
      <c r="F98">
        <v>2000</v>
      </c>
      <c r="G98">
        <v>355.47309999999999</v>
      </c>
    </row>
    <row r="99" spans="1:7" x14ac:dyDescent="0.75">
      <c r="A99" t="s">
        <v>100</v>
      </c>
      <c r="B99" s="124">
        <f t="shared" si="6"/>
        <v>0.13461539</v>
      </c>
      <c r="C99" s="124">
        <f t="shared" si="7"/>
        <v>0.63831695347656614</v>
      </c>
      <c r="D99" s="124"/>
      <c r="E99" t="s">
        <v>9</v>
      </c>
      <c r="F99">
        <v>2001</v>
      </c>
      <c r="G99">
        <v>302.08562999999998</v>
      </c>
    </row>
    <row r="100" spans="1:7" x14ac:dyDescent="0.75">
      <c r="A100" t="s">
        <v>101</v>
      </c>
      <c r="B100" s="124">
        <f t="shared" si="6"/>
        <v>0.47727269999999999</v>
      </c>
      <c r="C100" s="124">
        <f t="shared" si="7"/>
        <v>2.2631235242978911</v>
      </c>
      <c r="D100" s="124"/>
      <c r="E100" t="s">
        <v>9</v>
      </c>
      <c r="F100">
        <v>2002</v>
      </c>
      <c r="G100">
        <v>294.83391999999998</v>
      </c>
    </row>
    <row r="101" spans="1:7" x14ac:dyDescent="0.75">
      <c r="A101" t="s">
        <v>102</v>
      </c>
      <c r="B101" s="124">
        <f t="shared" si="6"/>
        <v>5.4644810000000002E-2</v>
      </c>
      <c r="C101" s="124">
        <f t="shared" si="7"/>
        <v>0.25911382526549004</v>
      </c>
      <c r="D101" s="124"/>
      <c r="E101" t="s">
        <v>9</v>
      </c>
      <c r="F101">
        <v>2003</v>
      </c>
      <c r="G101">
        <v>316.3897</v>
      </c>
    </row>
    <row r="102" spans="1:7" x14ac:dyDescent="0.75">
      <c r="A102" t="s">
        <v>103</v>
      </c>
      <c r="B102" s="124">
        <f t="shared" si="6"/>
        <v>0.60442940000000001</v>
      </c>
      <c r="C102" s="124">
        <f t="shared" si="7"/>
        <v>2.8660729891260486</v>
      </c>
      <c r="D102" s="124"/>
      <c r="E102" t="s">
        <v>9</v>
      </c>
      <c r="F102">
        <v>2004</v>
      </c>
      <c r="G102">
        <v>357.67003999999997</v>
      </c>
    </row>
    <row r="103" spans="1:7" x14ac:dyDescent="0.75">
      <c r="A103" t="s">
        <v>104</v>
      </c>
      <c r="B103" s="124">
        <f t="shared" si="6"/>
        <v>0.61176464999999991</v>
      </c>
      <c r="C103" s="124">
        <f t="shared" si="7"/>
        <v>2.9008551520941084</v>
      </c>
      <c r="D103" s="124"/>
      <c r="E103" t="s">
        <v>9</v>
      </c>
      <c r="F103">
        <v>2005</v>
      </c>
      <c r="G103">
        <v>357.16311999999999</v>
      </c>
    </row>
    <row r="104" spans="1:7" x14ac:dyDescent="0.75">
      <c r="A104" t="s">
        <v>105</v>
      </c>
      <c r="B104" s="124">
        <f t="shared" si="6"/>
        <v>0.39449542000000004</v>
      </c>
      <c r="C104" s="124">
        <f t="shared" si="7"/>
        <v>1.8706116340401975</v>
      </c>
      <c r="D104" s="124"/>
      <c r="E104" t="s">
        <v>9</v>
      </c>
      <c r="F104">
        <v>2006</v>
      </c>
      <c r="G104">
        <v>349.9074</v>
      </c>
    </row>
    <row r="105" spans="1:7" x14ac:dyDescent="0.75">
      <c r="A105" t="s">
        <v>106</v>
      </c>
      <c r="B105" s="124">
        <f t="shared" si="6"/>
        <v>0.48416289999999995</v>
      </c>
      <c r="C105" s="124">
        <f t="shared" si="7"/>
        <v>2.2957953567892893</v>
      </c>
      <c r="D105" s="124"/>
      <c r="E105" t="s">
        <v>9</v>
      </c>
      <c r="F105">
        <v>2007</v>
      </c>
      <c r="G105">
        <v>388.03735</v>
      </c>
    </row>
    <row r="106" spans="1:7" x14ac:dyDescent="0.75">
      <c r="A106" t="s">
        <v>107</v>
      </c>
      <c r="B106" s="124">
        <f t="shared" si="6"/>
        <v>0.48170733999999998</v>
      </c>
      <c r="C106" s="124">
        <f t="shared" si="7"/>
        <v>2.2841516243878237</v>
      </c>
      <c r="D106" s="124"/>
      <c r="E106" t="s">
        <v>9</v>
      </c>
      <c r="F106">
        <v>2008</v>
      </c>
      <c r="G106">
        <v>400.6234</v>
      </c>
    </row>
    <row r="107" spans="1:7" x14ac:dyDescent="0.75">
      <c r="A107" t="s">
        <v>108</v>
      </c>
      <c r="B107" s="124">
        <f t="shared" si="6"/>
        <v>0.63302750000000008</v>
      </c>
      <c r="C107" s="124">
        <f t="shared" si="7"/>
        <v>3.0016789704868589</v>
      </c>
      <c r="D107" s="124"/>
      <c r="E107" t="s">
        <v>9</v>
      </c>
      <c r="F107">
        <v>2009</v>
      </c>
      <c r="G107">
        <v>382.35775999999998</v>
      </c>
    </row>
    <row r="108" spans="1:7" x14ac:dyDescent="0.75">
      <c r="A108" t="s">
        <v>109</v>
      </c>
      <c r="B108" s="124">
        <f t="shared" si="6"/>
        <v>0.48483173000000002</v>
      </c>
      <c r="C108" s="124">
        <f t="shared" si="7"/>
        <v>2.2989668034418136</v>
      </c>
      <c r="D108" s="124"/>
      <c r="E108" t="s">
        <v>9</v>
      </c>
      <c r="F108">
        <v>2010</v>
      </c>
      <c r="G108">
        <v>401.58728000000002</v>
      </c>
    </row>
    <row r="109" spans="1:7" x14ac:dyDescent="0.75">
      <c r="A109" t="s">
        <v>110</v>
      </c>
      <c r="B109" s="124">
        <f t="shared" si="6"/>
        <v>0.62955853000000006</v>
      </c>
      <c r="C109" s="124">
        <f t="shared" si="7"/>
        <v>2.985229867883497</v>
      </c>
      <c r="D109" s="124"/>
      <c r="E109" t="s">
        <v>9</v>
      </c>
      <c r="F109">
        <v>2011</v>
      </c>
      <c r="G109">
        <v>419.87795999999997</v>
      </c>
    </row>
    <row r="110" spans="1:7" x14ac:dyDescent="0.75">
      <c r="A110" t="s">
        <v>111</v>
      </c>
      <c r="B110" s="124">
        <f t="shared" si="6"/>
        <v>0.4730065</v>
      </c>
      <c r="C110" s="124">
        <f t="shared" si="7"/>
        <v>2.2428941301185055</v>
      </c>
      <c r="D110" s="124"/>
      <c r="E110" t="s">
        <v>9</v>
      </c>
      <c r="F110">
        <v>2012</v>
      </c>
      <c r="G110">
        <v>432.14229999999998</v>
      </c>
    </row>
    <row r="111" spans="1:7" x14ac:dyDescent="0.75">
      <c r="A111" t="s">
        <v>112</v>
      </c>
      <c r="B111" s="124">
        <f t="shared" si="6"/>
        <v>0.78400959999999997</v>
      </c>
      <c r="C111" s="124">
        <f t="shared" si="7"/>
        <v>3.7176033094609853</v>
      </c>
      <c r="D111" s="124"/>
      <c r="E111" t="s">
        <v>9</v>
      </c>
      <c r="F111">
        <v>2013</v>
      </c>
      <c r="G111">
        <v>422.23020000000002</v>
      </c>
    </row>
    <row r="112" spans="1:7" x14ac:dyDescent="0.75">
      <c r="A112" t="s">
        <v>113</v>
      </c>
      <c r="B112" s="124">
        <f t="shared" si="6"/>
        <v>0.41351350000000003</v>
      </c>
      <c r="C112" s="124">
        <f t="shared" si="7"/>
        <v>1.96079124044756</v>
      </c>
      <c r="D112" s="124"/>
      <c r="E112" t="s">
        <v>9</v>
      </c>
      <c r="F112">
        <v>2014</v>
      </c>
      <c r="G112">
        <v>424.13745</v>
      </c>
    </row>
    <row r="113" spans="1:7" x14ac:dyDescent="0.75">
      <c r="A113" t="s">
        <v>114</v>
      </c>
      <c r="B113" s="124">
        <f t="shared" si="6"/>
        <v>0.57765110000000008</v>
      </c>
      <c r="C113" s="124">
        <f t="shared" si="7"/>
        <v>2.7390961042744615</v>
      </c>
      <c r="D113" s="124"/>
      <c r="E113" t="s">
        <v>9</v>
      </c>
      <c r="F113">
        <v>2015</v>
      </c>
      <c r="G113">
        <v>426.55756000000002</v>
      </c>
    </row>
    <row r="114" spans="1:7" x14ac:dyDescent="0.75">
      <c r="A114" t="s">
        <v>115</v>
      </c>
      <c r="B114" s="124">
        <f t="shared" si="6"/>
        <v>0.12781186999999999</v>
      </c>
      <c r="C114" s="124">
        <f t="shared" si="7"/>
        <v>0.60605613872635899</v>
      </c>
      <c r="D114" s="124"/>
      <c r="E114" t="s">
        <v>9</v>
      </c>
      <c r="F114">
        <v>2016</v>
      </c>
      <c r="G114">
        <v>431.92009999999999</v>
      </c>
    </row>
    <row r="115" spans="1:7" x14ac:dyDescent="0.75">
      <c r="A115" t="s">
        <v>116</v>
      </c>
      <c r="B115" s="124">
        <f t="shared" si="6"/>
        <v>0.56969210000000003</v>
      </c>
      <c r="C115" s="124">
        <f t="shared" si="7"/>
        <v>2.7013562542267069</v>
      </c>
      <c r="D115" s="124"/>
      <c r="E115" t="s">
        <v>9</v>
      </c>
      <c r="F115">
        <v>2017</v>
      </c>
      <c r="G115">
        <v>425.38287000000003</v>
      </c>
    </row>
    <row r="116" spans="1:7" x14ac:dyDescent="0.75">
      <c r="A116" t="s">
        <v>117</v>
      </c>
      <c r="B116" s="124">
        <f t="shared" si="6"/>
        <v>4.7619050000000003E-2</v>
      </c>
      <c r="C116" s="124">
        <f t="shared" si="7"/>
        <v>0.2257991966850765</v>
      </c>
      <c r="D116" s="124"/>
      <c r="E116" t="s">
        <v>9</v>
      </c>
      <c r="F116">
        <v>2018</v>
      </c>
      <c r="G116">
        <v>414.29352</v>
      </c>
    </row>
    <row r="117" spans="1:7" x14ac:dyDescent="0.75">
      <c r="A117" t="s">
        <v>118</v>
      </c>
      <c r="B117" s="124">
        <f t="shared" si="6"/>
        <v>2.3364487E-2</v>
      </c>
      <c r="C117" s="124">
        <f t="shared" si="7"/>
        <v>0.11078932476727092</v>
      </c>
      <c r="D117" s="124"/>
      <c r="E117" t="s">
        <v>9</v>
      </c>
      <c r="F117">
        <v>2019</v>
      </c>
      <c r="G117">
        <v>397.62056999999999</v>
      </c>
    </row>
    <row r="118" spans="1:7" x14ac:dyDescent="0.75">
      <c r="A118" t="s">
        <v>119</v>
      </c>
      <c r="B118" s="124">
        <f t="shared" si="6"/>
        <v>0.25331152000000001</v>
      </c>
      <c r="C118" s="124">
        <f t="shared" si="7"/>
        <v>1.2011482322111777</v>
      </c>
      <c r="D118" s="124"/>
      <c r="E118" t="s">
        <v>9</v>
      </c>
      <c r="F118">
        <v>2020</v>
      </c>
      <c r="G118">
        <v>394.70409999999998</v>
      </c>
    </row>
    <row r="119" spans="1:7" x14ac:dyDescent="0.75">
      <c r="A119" t="s">
        <v>120</v>
      </c>
      <c r="B119" s="124">
        <f t="shared" si="6"/>
        <v>0.12010796999999999</v>
      </c>
      <c r="C119" s="124">
        <f t="shared" si="7"/>
        <v>0.56952591749468462</v>
      </c>
      <c r="D119" s="124"/>
      <c r="E119" t="s">
        <v>9</v>
      </c>
      <c r="F119">
        <v>2021</v>
      </c>
      <c r="G119">
        <v>406.98662999999999</v>
      </c>
    </row>
    <row r="120" spans="1:7" x14ac:dyDescent="0.75">
      <c r="A120" t="s">
        <v>121</v>
      </c>
      <c r="B120" s="124">
        <f t="shared" si="6"/>
        <v>0.28832953</v>
      </c>
      <c r="C120" s="124">
        <f t="shared" si="7"/>
        <v>1.3671960329864972</v>
      </c>
      <c r="D120" s="124"/>
      <c r="E120" t="s">
        <v>9</v>
      </c>
      <c r="F120">
        <v>2022</v>
      </c>
      <c r="G120">
        <v>392.87186000000003</v>
      </c>
    </row>
    <row r="121" spans="1:7" x14ac:dyDescent="0.75">
      <c r="A121" t="s">
        <v>122</v>
      </c>
      <c r="B121" s="124">
        <f t="shared" si="6"/>
        <v>0.6875</v>
      </c>
      <c r="C121" s="124">
        <f t="shared" si="7"/>
        <v>3.2599757391420048</v>
      </c>
      <c r="D121" s="124"/>
      <c r="E121" t="s">
        <v>9</v>
      </c>
      <c r="F121">
        <v>2023</v>
      </c>
      <c r="G121">
        <v>353.95755000000003</v>
      </c>
    </row>
    <row r="122" spans="1:7" x14ac:dyDescent="0.75">
      <c r="A122" t="s">
        <v>123</v>
      </c>
      <c r="B122" s="124">
        <f t="shared" si="6"/>
        <v>0.50784945999999997</v>
      </c>
      <c r="C122" s="124">
        <f t="shared" si="7"/>
        <v>2.4081118817983533</v>
      </c>
      <c r="D122" s="124"/>
      <c r="E122" t="s">
        <v>9</v>
      </c>
      <c r="F122">
        <v>2024</v>
      </c>
      <c r="G122">
        <v>358.94824</v>
      </c>
    </row>
    <row r="123" spans="1:7" x14ac:dyDescent="0.75">
      <c r="A123" t="s">
        <v>124</v>
      </c>
      <c r="B123" s="124">
        <f t="shared" si="6"/>
        <v>0.34425612999999999</v>
      </c>
      <c r="C123" s="124">
        <f t="shared" si="7"/>
        <v>1.632387828146787</v>
      </c>
      <c r="D123" s="124"/>
      <c r="E123" t="s">
        <v>10</v>
      </c>
      <c r="F123">
        <v>2000</v>
      </c>
      <c r="G123">
        <v>280.27679999999998</v>
      </c>
    </row>
    <row r="124" spans="1:7" x14ac:dyDescent="0.75">
      <c r="A124" t="s">
        <v>125</v>
      </c>
      <c r="B124" s="124">
        <f t="shared" si="6"/>
        <v>0.56896550000000001</v>
      </c>
      <c r="C124" s="124">
        <f t="shared" si="7"/>
        <v>2.6979108747764369</v>
      </c>
      <c r="D124" s="124"/>
      <c r="E124" t="s">
        <v>10</v>
      </c>
      <c r="F124">
        <v>2001</v>
      </c>
      <c r="G124">
        <v>290.94076999999999</v>
      </c>
    </row>
    <row r="125" spans="1:7" x14ac:dyDescent="0.75">
      <c r="A125" t="s">
        <v>126</v>
      </c>
      <c r="B125" s="124">
        <f t="shared" si="6"/>
        <v>3.0745583E-2</v>
      </c>
      <c r="C125" s="124">
        <f t="shared" si="7"/>
        <v>0.14578887951385724</v>
      </c>
      <c r="D125" s="124"/>
      <c r="E125" t="s">
        <v>10</v>
      </c>
      <c r="F125">
        <v>2002</v>
      </c>
      <c r="G125">
        <v>184.55744999999999</v>
      </c>
    </row>
    <row r="126" spans="1:7" x14ac:dyDescent="0.75">
      <c r="A126" t="s">
        <v>127</v>
      </c>
      <c r="B126" s="124">
        <f t="shared" si="6"/>
        <v>0.54532874000000009</v>
      </c>
      <c r="C126" s="124">
        <f t="shared" si="7"/>
        <v>2.5858304905554594</v>
      </c>
      <c r="D126" s="124"/>
      <c r="E126" t="s">
        <v>10</v>
      </c>
      <c r="F126">
        <v>2003</v>
      </c>
      <c r="G126">
        <v>179.24527</v>
      </c>
    </row>
    <row r="127" spans="1:7" x14ac:dyDescent="0.75">
      <c r="A127" t="s">
        <v>128</v>
      </c>
      <c r="B127" s="124">
        <f t="shared" si="6"/>
        <v>0.39861020000000003</v>
      </c>
      <c r="C127" s="124">
        <f t="shared" si="7"/>
        <v>1.8901230274538798</v>
      </c>
      <c r="D127" s="124"/>
      <c r="E127" t="s">
        <v>10</v>
      </c>
      <c r="F127">
        <v>2004</v>
      </c>
      <c r="G127">
        <v>172.71158</v>
      </c>
    </row>
    <row r="128" spans="1:7" x14ac:dyDescent="0.75">
      <c r="A128" t="s">
        <v>129</v>
      </c>
      <c r="B128" s="124">
        <f t="shared" si="6"/>
        <v>0.25874123999999998</v>
      </c>
      <c r="C128" s="124">
        <f t="shared" si="7"/>
        <v>1.2268947856225727</v>
      </c>
      <c r="D128" s="124"/>
      <c r="E128" t="s">
        <v>10</v>
      </c>
      <c r="F128">
        <v>2005</v>
      </c>
      <c r="G128">
        <v>184.21053000000001</v>
      </c>
    </row>
    <row r="129" spans="1:7" x14ac:dyDescent="0.75">
      <c r="A129" t="s">
        <v>130</v>
      </c>
      <c r="B129" s="124">
        <f t="shared" si="6"/>
        <v>2.4864376000000001E-2</v>
      </c>
      <c r="C129" s="124">
        <f t="shared" si="7"/>
        <v>0.11790147276931597</v>
      </c>
      <c r="D129" s="124"/>
      <c r="E129" t="s">
        <v>10</v>
      </c>
      <c r="F129">
        <v>2006</v>
      </c>
      <c r="G129">
        <v>161.12084999999999</v>
      </c>
    </row>
    <row r="130" spans="1:7" x14ac:dyDescent="0.75">
      <c r="A130" t="s">
        <v>131</v>
      </c>
      <c r="B130" s="124">
        <f t="shared" ref="B130:B161" si="8">_xlfn.XLOOKUP(A130,E:E,G:G,$G$4293,0,-1)/1000</f>
        <v>0.26327329999999999</v>
      </c>
      <c r="C130" s="124">
        <f t="shared" ref="C130:C161" si="9">B130/$B$174</f>
        <v>1.2483848302019704</v>
      </c>
      <c r="D130" s="124"/>
      <c r="E130" t="s">
        <v>10</v>
      </c>
      <c r="F130">
        <v>2007</v>
      </c>
      <c r="G130">
        <v>162.25748999999999</v>
      </c>
    </row>
    <row r="131" spans="1:7" x14ac:dyDescent="0.75">
      <c r="A131" t="s">
        <v>132</v>
      </c>
      <c r="B131" s="124">
        <f t="shared" si="8"/>
        <v>0.61337994000000007</v>
      </c>
      <c r="C131" s="124">
        <f t="shared" si="9"/>
        <v>2.9085145065838236</v>
      </c>
      <c r="D131" s="124"/>
      <c r="E131" t="s">
        <v>10</v>
      </c>
      <c r="F131">
        <v>2008</v>
      </c>
      <c r="G131">
        <v>193.22033999999999</v>
      </c>
    </row>
    <row r="132" spans="1:7" x14ac:dyDescent="0.75">
      <c r="A132" t="s">
        <v>133</v>
      </c>
      <c r="B132" s="124">
        <f t="shared" si="8"/>
        <v>0.61498235999999995</v>
      </c>
      <c r="C132" s="124">
        <f t="shared" si="9"/>
        <v>2.9161128343277007</v>
      </c>
      <c r="D132" s="124"/>
      <c r="E132" t="s">
        <v>10</v>
      </c>
      <c r="F132">
        <v>2009</v>
      </c>
      <c r="G132">
        <v>134.19118</v>
      </c>
    </row>
    <row r="133" spans="1:7" x14ac:dyDescent="0.75">
      <c r="A133" t="s">
        <v>134</v>
      </c>
      <c r="B133" s="124">
        <f t="shared" si="8"/>
        <v>0.11228676</v>
      </c>
      <c r="C133" s="124">
        <f t="shared" si="9"/>
        <v>0.53243943771179769</v>
      </c>
      <c r="D133" s="124"/>
      <c r="E133" t="s">
        <v>10</v>
      </c>
      <c r="F133">
        <v>2010</v>
      </c>
      <c r="G133">
        <v>146.73047</v>
      </c>
    </row>
    <row r="134" spans="1:7" x14ac:dyDescent="0.75">
      <c r="A134" t="s">
        <v>135</v>
      </c>
      <c r="B134" s="124">
        <f t="shared" si="8"/>
        <v>0.6028308</v>
      </c>
      <c r="C134" s="124">
        <f t="shared" si="9"/>
        <v>2.8584927749928233</v>
      </c>
      <c r="D134" s="124"/>
      <c r="E134" t="s">
        <v>10</v>
      </c>
      <c r="F134">
        <v>2011</v>
      </c>
      <c r="G134">
        <v>203.8835</v>
      </c>
    </row>
    <row r="135" spans="1:7" x14ac:dyDescent="0.75">
      <c r="A135" t="s">
        <v>136</v>
      </c>
      <c r="B135" s="124">
        <f t="shared" si="8"/>
        <v>0.24555428000000001</v>
      </c>
      <c r="C135" s="124">
        <f t="shared" si="9"/>
        <v>1.1643650842799751</v>
      </c>
      <c r="D135" s="124"/>
      <c r="E135" t="s">
        <v>10</v>
      </c>
      <c r="F135">
        <v>2012</v>
      </c>
      <c r="G135">
        <v>263.4271</v>
      </c>
    </row>
    <row r="136" spans="1:7" x14ac:dyDescent="0.75">
      <c r="A136" t="s">
        <v>137</v>
      </c>
      <c r="B136" s="124">
        <f t="shared" si="8"/>
        <v>0.44919592000000003</v>
      </c>
      <c r="C136" s="124">
        <f t="shared" si="9"/>
        <v>2.1299895291950151</v>
      </c>
      <c r="D136" s="124"/>
      <c r="E136" t="s">
        <v>10</v>
      </c>
      <c r="F136">
        <v>2013</v>
      </c>
      <c r="G136">
        <v>256.34179999999998</v>
      </c>
    </row>
    <row r="137" spans="1:7" x14ac:dyDescent="0.75">
      <c r="A137" t="s">
        <v>138</v>
      </c>
      <c r="B137" s="124">
        <f t="shared" si="8"/>
        <v>0.30188680000000001</v>
      </c>
      <c r="C137" s="124">
        <f t="shared" si="9"/>
        <v>1.431481663952312</v>
      </c>
      <c r="D137" s="124"/>
      <c r="E137" t="s">
        <v>10</v>
      </c>
      <c r="F137">
        <v>2014</v>
      </c>
      <c r="G137">
        <v>264.27620000000002</v>
      </c>
    </row>
    <row r="138" spans="1:7" x14ac:dyDescent="0.75">
      <c r="A138" t="s">
        <v>139</v>
      </c>
      <c r="B138" s="124">
        <f t="shared" si="8"/>
        <v>0.63636365000000006</v>
      </c>
      <c r="C138" s="124">
        <f t="shared" si="9"/>
        <v>3.0174982694863335</v>
      </c>
      <c r="D138" s="124"/>
      <c r="E138" t="s">
        <v>10</v>
      </c>
      <c r="F138">
        <v>2015</v>
      </c>
      <c r="G138">
        <v>225.16556</v>
      </c>
    </row>
    <row r="139" spans="1:7" x14ac:dyDescent="0.75">
      <c r="A139" t="s">
        <v>140</v>
      </c>
      <c r="B139" s="124">
        <f t="shared" si="8"/>
        <v>0.64999994000000005</v>
      </c>
      <c r="C139" s="124">
        <f t="shared" si="9"/>
        <v>3.0821585961363764</v>
      </c>
      <c r="D139" s="124"/>
      <c r="E139" t="s">
        <v>10</v>
      </c>
      <c r="F139">
        <v>2016</v>
      </c>
      <c r="G139">
        <v>222.53522000000001</v>
      </c>
    </row>
    <row r="140" spans="1:7" x14ac:dyDescent="0.75">
      <c r="A140" t="s">
        <v>141</v>
      </c>
      <c r="B140" s="124">
        <f t="shared" si="8"/>
        <v>0.6</v>
      </c>
      <c r="C140" s="124">
        <f t="shared" si="9"/>
        <v>2.8450697359784769</v>
      </c>
      <c r="D140" s="124"/>
      <c r="E140" t="s">
        <v>10</v>
      </c>
      <c r="F140">
        <v>2017</v>
      </c>
      <c r="G140">
        <v>231.07570000000001</v>
      </c>
    </row>
    <row r="141" spans="1:7" x14ac:dyDescent="0.75">
      <c r="A141" t="s">
        <v>142</v>
      </c>
      <c r="B141" s="124">
        <f t="shared" si="8"/>
        <v>0.4730065</v>
      </c>
      <c r="C141" s="124">
        <f t="shared" si="9"/>
        <v>2.2428941301185055</v>
      </c>
      <c r="D141" s="124"/>
      <c r="E141" t="s">
        <v>10</v>
      </c>
      <c r="F141">
        <v>2018</v>
      </c>
      <c r="G141">
        <v>268.7747</v>
      </c>
    </row>
    <row r="142" spans="1:7" x14ac:dyDescent="0.75">
      <c r="A142" t="s">
        <v>143</v>
      </c>
      <c r="B142" s="124">
        <f t="shared" si="8"/>
        <v>0.55555553999999996</v>
      </c>
      <c r="C142" s="124">
        <f t="shared" si="9"/>
        <v>2.6343237558486332</v>
      </c>
      <c r="D142" s="124"/>
      <c r="E142" t="s">
        <v>10</v>
      </c>
      <c r="F142">
        <v>2019</v>
      </c>
      <c r="G142">
        <v>248.33112</v>
      </c>
    </row>
    <row r="143" spans="1:7" x14ac:dyDescent="0.75">
      <c r="A143" t="s">
        <v>144</v>
      </c>
      <c r="B143" s="124">
        <f t="shared" si="8"/>
        <v>0.69631335000000005</v>
      </c>
      <c r="C143" s="124">
        <f t="shared" si="9"/>
        <v>3.3017667314046482</v>
      </c>
      <c r="D143" s="124"/>
      <c r="E143" t="s">
        <v>10</v>
      </c>
      <c r="F143">
        <v>2020</v>
      </c>
      <c r="G143">
        <v>251.30889999999999</v>
      </c>
    </row>
    <row r="144" spans="1:7" x14ac:dyDescent="0.75">
      <c r="A144" t="s">
        <v>145</v>
      </c>
      <c r="B144" s="124">
        <f t="shared" si="8"/>
        <v>0.53540369999999993</v>
      </c>
      <c r="C144" s="124">
        <f t="shared" si="9"/>
        <v>2.5387681056681655</v>
      </c>
      <c r="D144" s="124"/>
      <c r="E144" t="s">
        <v>10</v>
      </c>
      <c r="F144">
        <v>2021</v>
      </c>
      <c r="G144">
        <v>265.54404</v>
      </c>
    </row>
    <row r="145" spans="1:7" x14ac:dyDescent="0.75">
      <c r="A145" t="s">
        <v>146</v>
      </c>
      <c r="B145" s="124">
        <f t="shared" si="8"/>
        <v>0.67079739999999999</v>
      </c>
      <c r="C145" s="124">
        <f t="shared" si="9"/>
        <v>3.1807756361884145</v>
      </c>
      <c r="D145" s="124"/>
      <c r="E145" t="s">
        <v>10</v>
      </c>
      <c r="F145">
        <v>2022</v>
      </c>
      <c r="G145">
        <v>240.89070000000001</v>
      </c>
    </row>
    <row r="146" spans="1:7" x14ac:dyDescent="0.75">
      <c r="A146" t="s">
        <v>147</v>
      </c>
      <c r="B146" s="124">
        <f t="shared" si="8"/>
        <v>4.7619050000000003E-2</v>
      </c>
      <c r="C146" s="124">
        <f t="shared" si="9"/>
        <v>0.2257991966850765</v>
      </c>
      <c r="D146" s="124"/>
      <c r="E146" t="s">
        <v>10</v>
      </c>
      <c r="F146">
        <v>2023</v>
      </c>
      <c r="G146">
        <v>262.42775999999998</v>
      </c>
    </row>
    <row r="147" spans="1:7" x14ac:dyDescent="0.75">
      <c r="A147" t="s">
        <v>148</v>
      </c>
      <c r="B147" s="124">
        <f t="shared" si="8"/>
        <v>0.49874182</v>
      </c>
      <c r="C147" s="124">
        <f t="shared" si="9"/>
        <v>2.3649254302480416</v>
      </c>
      <c r="D147" s="124"/>
      <c r="E147" t="s">
        <v>10</v>
      </c>
      <c r="F147">
        <v>2024</v>
      </c>
      <c r="G147">
        <v>244.34389999999999</v>
      </c>
    </row>
    <row r="148" spans="1:7" x14ac:dyDescent="0.75">
      <c r="A148" t="s">
        <v>149</v>
      </c>
      <c r="B148" s="124">
        <f t="shared" si="8"/>
        <v>9.6488235000000006E-2</v>
      </c>
      <c r="C148" s="124">
        <f t="shared" si="9"/>
        <v>0.45752626212746539</v>
      </c>
      <c r="D148" s="124"/>
      <c r="E148" t="s">
        <v>11</v>
      </c>
      <c r="F148">
        <v>2000</v>
      </c>
      <c r="G148">
        <v>805.97699999999998</v>
      </c>
    </row>
    <row r="149" spans="1:7" x14ac:dyDescent="0.75">
      <c r="A149" t="s">
        <v>150</v>
      </c>
      <c r="B149" s="124">
        <f t="shared" si="8"/>
        <v>0.22764705000000002</v>
      </c>
      <c r="C149" s="124">
        <f t="shared" si="9"/>
        <v>1.0794528873996319</v>
      </c>
      <c r="D149" s="124"/>
      <c r="E149" t="s">
        <v>11</v>
      </c>
      <c r="F149">
        <v>2001</v>
      </c>
      <c r="G149">
        <v>803.13030000000003</v>
      </c>
    </row>
    <row r="150" spans="1:7" x14ac:dyDescent="0.75">
      <c r="A150" t="s">
        <v>151</v>
      </c>
      <c r="B150" s="124">
        <f t="shared" si="8"/>
        <v>0.52380949999999993</v>
      </c>
      <c r="C150" s="124">
        <f t="shared" si="9"/>
        <v>2.4837909264466962</v>
      </c>
      <c r="D150" s="124"/>
      <c r="E150" t="s">
        <v>11</v>
      </c>
      <c r="F150">
        <v>2002</v>
      </c>
      <c r="G150">
        <v>794.66643999999997</v>
      </c>
    </row>
    <row r="151" spans="1:7" x14ac:dyDescent="0.75">
      <c r="A151" t="s">
        <v>152</v>
      </c>
      <c r="B151" s="124">
        <f t="shared" si="8"/>
        <v>0.70887620000000007</v>
      </c>
      <c r="C151" s="124">
        <f t="shared" si="9"/>
        <v>3.36133703862571</v>
      </c>
      <c r="D151" s="124"/>
      <c r="E151" t="s">
        <v>11</v>
      </c>
      <c r="F151">
        <v>2003</v>
      </c>
      <c r="G151">
        <v>792.16643999999997</v>
      </c>
    </row>
    <row r="152" spans="1:7" x14ac:dyDescent="0.75">
      <c r="A152" t="s">
        <v>153</v>
      </c>
      <c r="B152" s="124">
        <f t="shared" si="8"/>
        <v>0.41427259999999999</v>
      </c>
      <c r="C152" s="124">
        <f t="shared" si="9"/>
        <v>1.9643907278418618</v>
      </c>
      <c r="D152" s="124"/>
      <c r="E152" t="s">
        <v>11</v>
      </c>
      <c r="F152">
        <v>2004</v>
      </c>
      <c r="G152">
        <v>792.82820000000004</v>
      </c>
    </row>
    <row r="153" spans="1:7" x14ac:dyDescent="0.75">
      <c r="A153" t="s">
        <v>154</v>
      </c>
      <c r="B153" s="124">
        <f t="shared" si="8"/>
        <v>0.61016956</v>
      </c>
      <c r="C153" s="124">
        <f t="shared" si="9"/>
        <v>2.8932915816188389</v>
      </c>
      <c r="D153" s="124"/>
      <c r="E153" t="s">
        <v>11</v>
      </c>
      <c r="F153">
        <v>2005</v>
      </c>
      <c r="G153">
        <v>791.80029999999999</v>
      </c>
    </row>
    <row r="154" spans="1:7" x14ac:dyDescent="0.75">
      <c r="A154" t="s">
        <v>155</v>
      </c>
      <c r="B154" s="124">
        <f t="shared" si="8"/>
        <v>0.14615355999999999</v>
      </c>
      <c r="C154" s="124">
        <f t="shared" si="9"/>
        <v>0.69302845060252405</v>
      </c>
      <c r="D154" s="124"/>
      <c r="E154" t="s">
        <v>11</v>
      </c>
      <c r="F154">
        <v>2006</v>
      </c>
      <c r="G154">
        <v>790.49540000000002</v>
      </c>
    </row>
    <row r="155" spans="1:7" x14ac:dyDescent="0.75">
      <c r="A155" t="s">
        <v>156</v>
      </c>
      <c r="B155" s="124">
        <f t="shared" si="8"/>
        <v>0.50978137000000001</v>
      </c>
      <c r="C155" s="124">
        <f t="shared" si="9"/>
        <v>2.4172725795877437</v>
      </c>
      <c r="D155" s="124"/>
      <c r="E155" t="s">
        <v>11</v>
      </c>
      <c r="F155">
        <v>2007</v>
      </c>
      <c r="G155">
        <v>791.15093999999999</v>
      </c>
    </row>
    <row r="156" spans="1:7" x14ac:dyDescent="0.75">
      <c r="A156" t="s">
        <v>157</v>
      </c>
      <c r="B156" s="124">
        <f t="shared" si="8"/>
        <v>0.21432835</v>
      </c>
      <c r="C156" s="124">
        <f t="shared" si="9"/>
        <v>1.0162985035786709</v>
      </c>
      <c r="D156" s="124"/>
      <c r="E156" t="s">
        <v>11</v>
      </c>
      <c r="F156">
        <v>2008</v>
      </c>
      <c r="G156">
        <v>791.50699999999995</v>
      </c>
    </row>
    <row r="157" spans="1:7" x14ac:dyDescent="0.75">
      <c r="A157" t="s">
        <v>158</v>
      </c>
      <c r="B157" s="124">
        <f t="shared" si="8"/>
        <v>0.38317754999999998</v>
      </c>
      <c r="C157" s="124">
        <f t="shared" si="9"/>
        <v>1.8169447516856325</v>
      </c>
      <c r="D157" s="124"/>
      <c r="E157" t="s">
        <v>11</v>
      </c>
      <c r="F157">
        <v>2009</v>
      </c>
      <c r="G157">
        <v>785.11410000000001</v>
      </c>
    </row>
    <row r="158" spans="1:7" x14ac:dyDescent="0.75">
      <c r="A158" t="s">
        <v>159</v>
      </c>
      <c r="B158" s="124">
        <f t="shared" si="8"/>
        <v>3.5823832999999999E-2</v>
      </c>
      <c r="C158" s="124">
        <f t="shared" si="9"/>
        <v>0.16986883849174508</v>
      </c>
      <c r="D158" s="124"/>
      <c r="E158" t="s">
        <v>11</v>
      </c>
      <c r="F158">
        <v>2010</v>
      </c>
      <c r="G158">
        <v>775.67039999999997</v>
      </c>
    </row>
    <row r="159" spans="1:7" x14ac:dyDescent="0.75">
      <c r="A159" t="s">
        <v>160</v>
      </c>
      <c r="B159" s="124">
        <f t="shared" si="8"/>
        <v>3.6599316E-2</v>
      </c>
      <c r="C159" s="124">
        <f t="shared" si="9"/>
        <v>0.17354601051518806</v>
      </c>
      <c r="D159" s="124"/>
      <c r="E159" t="s">
        <v>11</v>
      </c>
      <c r="F159">
        <v>2011</v>
      </c>
      <c r="G159">
        <v>749.41470000000004</v>
      </c>
    </row>
    <row r="160" spans="1:7" x14ac:dyDescent="0.75">
      <c r="A160" t="s">
        <v>161</v>
      </c>
      <c r="B160" s="124">
        <f t="shared" si="8"/>
        <v>0.68227093999999999</v>
      </c>
      <c r="C160" s="124">
        <f t="shared" si="9"/>
        <v>3.2351806718859786</v>
      </c>
      <c r="D160" s="124"/>
      <c r="E160" t="s">
        <v>11</v>
      </c>
      <c r="F160">
        <v>2012</v>
      </c>
      <c r="G160">
        <v>746.98800000000006</v>
      </c>
    </row>
    <row r="161" spans="1:7" x14ac:dyDescent="0.75">
      <c r="A161" t="s">
        <v>162</v>
      </c>
      <c r="B161" s="124">
        <f t="shared" si="8"/>
        <v>0.63565106000000005</v>
      </c>
      <c r="C161" s="124">
        <f t="shared" si="9"/>
        <v>3.0141193224143983</v>
      </c>
      <c r="D161" s="124"/>
      <c r="E161" t="s">
        <v>11</v>
      </c>
      <c r="F161">
        <v>2013</v>
      </c>
      <c r="G161">
        <v>726.15800000000002</v>
      </c>
    </row>
    <row r="162" spans="1:7" x14ac:dyDescent="0.75">
      <c r="A162" t="s">
        <v>163</v>
      </c>
      <c r="B162" s="124">
        <f t="shared" ref="B162:B182" si="10">_xlfn.XLOOKUP(A162,E:E,G:G,$G$4293,0,-1)/1000</f>
        <v>0.11587792000000001</v>
      </c>
      <c r="C162" s="124">
        <f t="shared" ref="C162:C182" si="11">B162/$B$174</f>
        <v>0.54946793876689182</v>
      </c>
      <c r="D162" s="124"/>
      <c r="E162" t="s">
        <v>11</v>
      </c>
      <c r="F162">
        <v>2014</v>
      </c>
      <c r="G162">
        <v>734.18133999999998</v>
      </c>
    </row>
    <row r="163" spans="1:7" x14ac:dyDescent="0.75">
      <c r="A163" t="s">
        <v>164</v>
      </c>
      <c r="B163" s="124">
        <f t="shared" si="10"/>
        <v>0.37158471999999998</v>
      </c>
      <c r="C163" s="124">
        <f t="shared" si="11"/>
        <v>1.7619740687067269</v>
      </c>
      <c r="D163" s="124"/>
      <c r="E163" t="s">
        <v>11</v>
      </c>
      <c r="F163">
        <v>2015</v>
      </c>
      <c r="G163">
        <v>729.71375</v>
      </c>
    </row>
    <row r="164" spans="1:7" x14ac:dyDescent="0.75">
      <c r="A164" t="s">
        <v>165</v>
      </c>
      <c r="B164" s="124">
        <f t="shared" si="10"/>
        <v>0.55449760000000003</v>
      </c>
      <c r="C164" s="124">
        <f t="shared" si="11"/>
        <v>2.6293072340544987</v>
      </c>
      <c r="D164" s="124"/>
      <c r="E164" t="s">
        <v>11</v>
      </c>
      <c r="F164">
        <v>2016</v>
      </c>
      <c r="G164">
        <v>713.51116999999999</v>
      </c>
    </row>
    <row r="165" spans="1:7" x14ac:dyDescent="0.75">
      <c r="A165" t="s">
        <v>166</v>
      </c>
      <c r="B165" s="124">
        <f t="shared" si="10"/>
        <v>0.66666669999999995</v>
      </c>
      <c r="C165" s="124">
        <f t="shared" si="11"/>
        <v>3.1611887535910705</v>
      </c>
      <c r="D165" s="124"/>
      <c r="E165" t="s">
        <v>11</v>
      </c>
      <c r="F165">
        <v>2017</v>
      </c>
      <c r="G165">
        <v>718.07550000000003</v>
      </c>
    </row>
    <row r="166" spans="1:7" x14ac:dyDescent="0.75">
      <c r="A166" t="s">
        <v>167</v>
      </c>
      <c r="B166" s="124">
        <f t="shared" si="10"/>
        <v>0.47826085999999995</v>
      </c>
      <c r="C166" s="124">
        <f t="shared" si="11"/>
        <v>2.267809164481732</v>
      </c>
      <c r="D166" s="124"/>
      <c r="E166" t="s">
        <v>11</v>
      </c>
      <c r="F166">
        <v>2018</v>
      </c>
      <c r="G166">
        <v>688.42096000000004</v>
      </c>
    </row>
    <row r="167" spans="1:7" x14ac:dyDescent="0.75">
      <c r="A167" t="s">
        <v>168</v>
      </c>
      <c r="B167" s="124">
        <f t="shared" si="10"/>
        <v>0.68210530000000003</v>
      </c>
      <c r="C167" s="124">
        <f t="shared" si="11"/>
        <v>3.2343952429675329</v>
      </c>
      <c r="D167" s="124"/>
      <c r="E167" t="s">
        <v>11</v>
      </c>
      <c r="F167">
        <v>2019</v>
      </c>
      <c r="G167">
        <v>670.10149999999999</v>
      </c>
    </row>
    <row r="168" spans="1:7" x14ac:dyDescent="0.75">
      <c r="A168" t="s">
        <v>169</v>
      </c>
      <c r="B168" s="124">
        <f t="shared" si="10"/>
        <v>0.56024963000000005</v>
      </c>
      <c r="C168" s="124">
        <f t="shared" si="11"/>
        <v>2.6565821115102324</v>
      </c>
      <c r="D168" s="124"/>
      <c r="E168" t="s">
        <v>11</v>
      </c>
      <c r="F168">
        <v>2020</v>
      </c>
      <c r="G168">
        <v>642.31569999999999</v>
      </c>
    </row>
    <row r="169" spans="1:7" x14ac:dyDescent="0.75">
      <c r="A169" t="s">
        <v>170</v>
      </c>
      <c r="B169" s="124">
        <f t="shared" si="10"/>
        <v>0.46969699999999998</v>
      </c>
      <c r="C169" s="124">
        <f t="shared" si="11"/>
        <v>2.2272011996331376</v>
      </c>
      <c r="D169" s="124"/>
      <c r="E169" t="s">
        <v>11</v>
      </c>
      <c r="F169">
        <v>2021</v>
      </c>
      <c r="G169">
        <v>605.90764999999999</v>
      </c>
    </row>
    <row r="170" spans="1:7" x14ac:dyDescent="0.75">
      <c r="A170" t="s">
        <v>171</v>
      </c>
      <c r="B170" s="124">
        <f t="shared" si="10"/>
        <v>1.3063035999999999</v>
      </c>
      <c r="C170" s="124">
        <f t="shared" si="11"/>
        <v>6.1942080639328889</v>
      </c>
      <c r="D170" s="124"/>
      <c r="E170" t="s">
        <v>11</v>
      </c>
      <c r="F170">
        <v>2022</v>
      </c>
      <c r="G170">
        <v>577.86162999999999</v>
      </c>
    </row>
    <row r="171" spans="1:7" x14ac:dyDescent="0.75">
      <c r="A171" t="s">
        <v>172</v>
      </c>
      <c r="B171" s="124">
        <f t="shared" si="10"/>
        <v>5.7391308000000002E-2</v>
      </c>
      <c r="C171" s="124">
        <f t="shared" si="11"/>
        <v>0.27213712249836575</v>
      </c>
      <c r="D171" s="124"/>
      <c r="E171" t="s">
        <v>11</v>
      </c>
      <c r="F171">
        <v>2023</v>
      </c>
      <c r="G171">
        <v>556.29600000000005</v>
      </c>
    </row>
    <row r="172" spans="1:7" x14ac:dyDescent="0.75">
      <c r="A172" t="s">
        <v>173</v>
      </c>
      <c r="B172" s="124">
        <f t="shared" si="10"/>
        <v>0.25621008000000001</v>
      </c>
      <c r="C172" s="124">
        <f t="shared" si="11"/>
        <v>1.2148925744343742</v>
      </c>
      <c r="D172" s="124"/>
      <c r="E172" t="s">
        <v>11</v>
      </c>
      <c r="F172">
        <v>2024</v>
      </c>
      <c r="G172">
        <v>551.58983999999998</v>
      </c>
    </row>
    <row r="173" spans="1:7" x14ac:dyDescent="0.75">
      <c r="A173" t="s">
        <v>174</v>
      </c>
      <c r="B173" s="124">
        <f t="shared" si="10"/>
        <v>0.49269826999999999</v>
      </c>
      <c r="C173" s="124">
        <f t="shared" si="11"/>
        <v>2.3362682282432536</v>
      </c>
      <c r="D173" s="124"/>
      <c r="E173" t="s">
        <v>12</v>
      </c>
      <c r="F173">
        <v>2000</v>
      </c>
      <c r="G173">
        <v>203.387</v>
      </c>
    </row>
    <row r="174" spans="1:7" x14ac:dyDescent="0.75">
      <c r="A174" t="s">
        <v>175</v>
      </c>
      <c r="B174" s="124">
        <f t="shared" si="10"/>
        <v>0.21089114</v>
      </c>
      <c r="C174" s="124">
        <f t="shared" si="11"/>
        <v>1</v>
      </c>
      <c r="D174" s="124"/>
      <c r="E174" t="s">
        <v>12</v>
      </c>
      <c r="F174">
        <v>2001</v>
      </c>
      <c r="G174">
        <v>229.0915</v>
      </c>
    </row>
    <row r="175" spans="1:7" x14ac:dyDescent="0.75">
      <c r="A175" t="s">
        <v>176</v>
      </c>
      <c r="B175" s="124">
        <f t="shared" si="10"/>
        <v>0.38354919999999998</v>
      </c>
      <c r="C175" s="124">
        <f t="shared" si="11"/>
        <v>1.8187070352979267</v>
      </c>
      <c r="D175" s="124"/>
      <c r="E175" t="s">
        <v>12</v>
      </c>
      <c r="F175">
        <v>2002</v>
      </c>
      <c r="G175">
        <v>226.12567000000001</v>
      </c>
    </row>
    <row r="176" spans="1:7" x14ac:dyDescent="0.75">
      <c r="A176" t="s">
        <v>177</v>
      </c>
      <c r="B176" s="124">
        <f t="shared" si="10"/>
        <v>9.669947000000001E-2</v>
      </c>
      <c r="C176" s="124">
        <f t="shared" si="11"/>
        <v>0.45852789263693111</v>
      </c>
      <c r="D176" s="124"/>
      <c r="E176" t="s">
        <v>12</v>
      </c>
      <c r="F176">
        <v>2003</v>
      </c>
      <c r="G176">
        <v>282.38745</v>
      </c>
    </row>
    <row r="177" spans="1:7" x14ac:dyDescent="0.75">
      <c r="A177" t="s">
        <v>178</v>
      </c>
      <c r="B177" s="124">
        <f t="shared" si="10"/>
        <v>1.1211803</v>
      </c>
      <c r="C177" s="124">
        <f t="shared" si="11"/>
        <v>5.3163935668421161</v>
      </c>
      <c r="D177" s="124"/>
      <c r="E177" t="s">
        <v>12</v>
      </c>
      <c r="F177">
        <v>2004</v>
      </c>
      <c r="G177">
        <v>259.33713</v>
      </c>
    </row>
    <row r="178" spans="1:7" x14ac:dyDescent="0.75">
      <c r="A178" t="s">
        <v>179</v>
      </c>
      <c r="B178" s="124">
        <f t="shared" si="10"/>
        <v>0.18025078</v>
      </c>
      <c r="C178" s="124">
        <f t="shared" si="11"/>
        <v>0.85471006510752412</v>
      </c>
      <c r="D178" s="124"/>
      <c r="E178" t="s">
        <v>12</v>
      </c>
      <c r="F178">
        <v>2005</v>
      </c>
      <c r="G178">
        <v>254.00030000000001</v>
      </c>
    </row>
    <row r="179" spans="1:7" x14ac:dyDescent="0.75">
      <c r="A179" t="s">
        <v>180</v>
      </c>
      <c r="B179" s="124">
        <f t="shared" si="10"/>
        <v>0.47115857</v>
      </c>
      <c r="C179" s="124">
        <f t="shared" si="11"/>
        <v>2.2341316472564943</v>
      </c>
      <c r="D179" s="124"/>
      <c r="E179" t="s">
        <v>12</v>
      </c>
      <c r="F179">
        <v>2006</v>
      </c>
      <c r="G179">
        <v>253.01399000000001</v>
      </c>
    </row>
    <row r="180" spans="1:7" x14ac:dyDescent="0.75">
      <c r="A180" t="s">
        <v>181</v>
      </c>
      <c r="B180" s="124">
        <f t="shared" si="10"/>
        <v>0.58631920000000004</v>
      </c>
      <c r="C180" s="124">
        <f t="shared" si="11"/>
        <v>2.780198352571853</v>
      </c>
      <c r="D180" s="124"/>
      <c r="E180" t="s">
        <v>12</v>
      </c>
      <c r="F180">
        <v>2007</v>
      </c>
      <c r="G180">
        <v>232.69138000000001</v>
      </c>
    </row>
    <row r="181" spans="1:7" x14ac:dyDescent="0.75">
      <c r="A181" t="s">
        <v>182</v>
      </c>
      <c r="B181" s="124">
        <f t="shared" si="10"/>
        <v>0.11099692500000001</v>
      </c>
      <c r="C181" s="124">
        <f t="shared" si="11"/>
        <v>0.52632332017362138</v>
      </c>
      <c r="D181" s="124"/>
      <c r="E181" t="s">
        <v>12</v>
      </c>
      <c r="F181">
        <v>2008</v>
      </c>
      <c r="G181">
        <v>220.41005999999999</v>
      </c>
    </row>
    <row r="182" spans="1:7" x14ac:dyDescent="0.75">
      <c r="A182" t="s">
        <v>183</v>
      </c>
      <c r="B182" s="124">
        <f t="shared" si="10"/>
        <v>0.29843560000000002</v>
      </c>
      <c r="C182" s="124">
        <f t="shared" si="11"/>
        <v>1.4151168228309638</v>
      </c>
      <c r="D182" s="124"/>
      <c r="E182" t="s">
        <v>12</v>
      </c>
      <c r="F182">
        <v>2009</v>
      </c>
      <c r="G182">
        <v>195.89186000000001</v>
      </c>
    </row>
    <row r="183" spans="1:7" x14ac:dyDescent="0.75">
      <c r="E183" t="s">
        <v>12</v>
      </c>
      <c r="F183">
        <v>2010</v>
      </c>
      <c r="G183">
        <v>226.77676</v>
      </c>
    </row>
    <row r="184" spans="1:7" x14ac:dyDescent="0.75">
      <c r="E184" t="s">
        <v>12</v>
      </c>
      <c r="F184">
        <v>2011</v>
      </c>
      <c r="G184">
        <v>238.58519999999999</v>
      </c>
    </row>
    <row r="185" spans="1:7" x14ac:dyDescent="0.75">
      <c r="E185" t="s">
        <v>12</v>
      </c>
      <c r="F185">
        <v>2012</v>
      </c>
      <c r="G185">
        <v>185.87036000000001</v>
      </c>
    </row>
    <row r="186" spans="1:7" x14ac:dyDescent="0.75">
      <c r="E186" t="s">
        <v>12</v>
      </c>
      <c r="F186">
        <v>2013</v>
      </c>
      <c r="G186">
        <v>173.35397</v>
      </c>
    </row>
    <row r="187" spans="1:7" x14ac:dyDescent="0.75">
      <c r="E187" t="s">
        <v>12</v>
      </c>
      <c r="F187">
        <v>2014</v>
      </c>
      <c r="G187">
        <v>150.4468</v>
      </c>
    </row>
    <row r="188" spans="1:7" x14ac:dyDescent="0.75">
      <c r="E188" t="s">
        <v>12</v>
      </c>
      <c r="F188">
        <v>2015</v>
      </c>
      <c r="G188">
        <v>172.06216000000001</v>
      </c>
    </row>
    <row r="189" spans="1:7" x14ac:dyDescent="0.75">
      <c r="E189" t="s">
        <v>12</v>
      </c>
      <c r="F189">
        <v>2016</v>
      </c>
      <c r="G189">
        <v>154.61690999999999</v>
      </c>
    </row>
    <row r="190" spans="1:7" x14ac:dyDescent="0.75">
      <c r="E190" t="s">
        <v>12</v>
      </c>
      <c r="F190">
        <v>2017</v>
      </c>
      <c r="G190">
        <v>162.91550000000001</v>
      </c>
    </row>
    <row r="191" spans="1:7" x14ac:dyDescent="0.75">
      <c r="E191" t="s">
        <v>12</v>
      </c>
      <c r="F191">
        <v>2018</v>
      </c>
      <c r="G191">
        <v>157.87845999999999</v>
      </c>
    </row>
    <row r="192" spans="1:7" x14ac:dyDescent="0.75">
      <c r="E192" t="s">
        <v>12</v>
      </c>
      <c r="F192">
        <v>2019</v>
      </c>
      <c r="G192">
        <v>152.77974</v>
      </c>
    </row>
    <row r="193" spans="5:7" x14ac:dyDescent="0.75">
      <c r="E193" t="s">
        <v>12</v>
      </c>
      <c r="F193">
        <v>2020</v>
      </c>
      <c r="G193">
        <v>133.40092000000001</v>
      </c>
    </row>
    <row r="194" spans="5:7" x14ac:dyDescent="0.75">
      <c r="E194" t="s">
        <v>12</v>
      </c>
      <c r="F194">
        <v>2021</v>
      </c>
      <c r="G194">
        <v>135.15941000000001</v>
      </c>
    </row>
    <row r="195" spans="5:7" x14ac:dyDescent="0.75">
      <c r="E195" t="s">
        <v>12</v>
      </c>
      <c r="F195">
        <v>2022</v>
      </c>
      <c r="G195">
        <v>141.0634</v>
      </c>
    </row>
    <row r="196" spans="5:7" x14ac:dyDescent="0.75">
      <c r="E196" t="s">
        <v>12</v>
      </c>
      <c r="F196">
        <v>2023</v>
      </c>
      <c r="G196">
        <v>111.61346</v>
      </c>
    </row>
    <row r="197" spans="5:7" x14ac:dyDescent="0.75">
      <c r="E197" t="s">
        <v>12</v>
      </c>
      <c r="F197">
        <v>2024</v>
      </c>
      <c r="G197">
        <v>102.62287000000001</v>
      </c>
    </row>
    <row r="198" spans="5:7" x14ac:dyDescent="0.75">
      <c r="E198" t="s">
        <v>13</v>
      </c>
      <c r="F198">
        <v>2000</v>
      </c>
      <c r="G198">
        <v>617.77300000000002</v>
      </c>
    </row>
    <row r="199" spans="5:7" x14ac:dyDescent="0.75">
      <c r="E199" t="s">
        <v>13</v>
      </c>
      <c r="F199">
        <v>2001</v>
      </c>
      <c r="G199">
        <v>648.73419999999999</v>
      </c>
    </row>
    <row r="200" spans="5:7" x14ac:dyDescent="0.75">
      <c r="E200" t="s">
        <v>13</v>
      </c>
      <c r="F200">
        <v>2002</v>
      </c>
      <c r="G200">
        <v>623.66160000000002</v>
      </c>
    </row>
    <row r="201" spans="5:7" x14ac:dyDescent="0.75">
      <c r="E201" t="s">
        <v>13</v>
      </c>
      <c r="F201">
        <v>2003</v>
      </c>
      <c r="G201">
        <v>615.23987</v>
      </c>
    </row>
    <row r="202" spans="5:7" x14ac:dyDescent="0.75">
      <c r="E202" t="s">
        <v>13</v>
      </c>
      <c r="F202">
        <v>2004</v>
      </c>
      <c r="G202">
        <v>611.87850000000003</v>
      </c>
    </row>
    <row r="203" spans="5:7" x14ac:dyDescent="0.75">
      <c r="E203" t="s">
        <v>13</v>
      </c>
      <c r="F203">
        <v>2005</v>
      </c>
      <c r="G203">
        <v>609.89495999999997</v>
      </c>
    </row>
    <row r="204" spans="5:7" x14ac:dyDescent="0.75">
      <c r="E204" t="s">
        <v>13</v>
      </c>
      <c r="F204">
        <v>2006</v>
      </c>
      <c r="G204">
        <v>630.76293999999996</v>
      </c>
    </row>
    <row r="205" spans="5:7" x14ac:dyDescent="0.75">
      <c r="E205" t="s">
        <v>13</v>
      </c>
      <c r="F205">
        <v>2007</v>
      </c>
      <c r="G205">
        <v>631.07245</v>
      </c>
    </row>
    <row r="206" spans="5:7" x14ac:dyDescent="0.75">
      <c r="E206" t="s">
        <v>13</v>
      </c>
      <c r="F206">
        <v>2008</v>
      </c>
      <c r="G206">
        <v>639.68539999999996</v>
      </c>
    </row>
    <row r="207" spans="5:7" x14ac:dyDescent="0.75">
      <c r="E207" t="s">
        <v>13</v>
      </c>
      <c r="F207">
        <v>2009</v>
      </c>
      <c r="G207">
        <v>629.17769999999996</v>
      </c>
    </row>
    <row r="208" spans="5:7" x14ac:dyDescent="0.75">
      <c r="E208" t="s">
        <v>13</v>
      </c>
      <c r="F208">
        <v>2010</v>
      </c>
      <c r="G208">
        <v>588.64490000000001</v>
      </c>
    </row>
    <row r="209" spans="5:7" x14ac:dyDescent="0.75">
      <c r="E209" t="s">
        <v>13</v>
      </c>
      <c r="F209">
        <v>2011</v>
      </c>
      <c r="G209">
        <v>623.58167000000003</v>
      </c>
    </row>
    <row r="210" spans="5:7" x14ac:dyDescent="0.75">
      <c r="E210" t="s">
        <v>13</v>
      </c>
      <c r="F210">
        <v>2012</v>
      </c>
      <c r="G210">
        <v>659.55597</v>
      </c>
    </row>
    <row r="211" spans="5:7" x14ac:dyDescent="0.75">
      <c r="E211" t="s">
        <v>13</v>
      </c>
      <c r="F211">
        <v>2013</v>
      </c>
      <c r="G211">
        <v>669.2473</v>
      </c>
    </row>
    <row r="212" spans="5:7" x14ac:dyDescent="0.75">
      <c r="E212" t="s">
        <v>13</v>
      </c>
      <c r="F212">
        <v>2014</v>
      </c>
      <c r="G212">
        <v>677.22295999999994</v>
      </c>
    </row>
    <row r="213" spans="5:7" x14ac:dyDescent="0.75">
      <c r="E213" t="s">
        <v>13</v>
      </c>
      <c r="F213">
        <v>2015</v>
      </c>
      <c r="G213">
        <v>663.81759999999997</v>
      </c>
    </row>
    <row r="214" spans="5:7" x14ac:dyDescent="0.75">
      <c r="E214" t="s">
        <v>13</v>
      </c>
      <c r="F214">
        <v>2016</v>
      </c>
      <c r="G214">
        <v>651.50909999999999</v>
      </c>
    </row>
    <row r="215" spans="5:7" x14ac:dyDescent="0.75">
      <c r="E215" t="s">
        <v>13</v>
      </c>
      <c r="F215">
        <v>2017</v>
      </c>
      <c r="G215">
        <v>658.95952999999997</v>
      </c>
    </row>
    <row r="216" spans="5:7" x14ac:dyDescent="0.75">
      <c r="E216" t="s">
        <v>13</v>
      </c>
      <c r="F216">
        <v>2018</v>
      </c>
      <c r="G216">
        <v>661.75885000000005</v>
      </c>
    </row>
    <row r="217" spans="5:7" x14ac:dyDescent="0.75">
      <c r="E217" t="s">
        <v>13</v>
      </c>
      <c r="F217">
        <v>2019</v>
      </c>
      <c r="G217">
        <v>667.82270000000005</v>
      </c>
    </row>
    <row r="218" spans="5:7" x14ac:dyDescent="0.75">
      <c r="E218" t="s">
        <v>13</v>
      </c>
      <c r="F218">
        <v>2020</v>
      </c>
      <c r="G218">
        <v>680</v>
      </c>
    </row>
    <row r="219" spans="5:7" x14ac:dyDescent="0.75">
      <c r="E219" t="s">
        <v>13</v>
      </c>
      <c r="F219">
        <v>2021</v>
      </c>
      <c r="G219">
        <v>676.14250000000004</v>
      </c>
    </row>
    <row r="220" spans="5:7" x14ac:dyDescent="0.75">
      <c r="E220" t="s">
        <v>13</v>
      </c>
      <c r="F220">
        <v>2022</v>
      </c>
      <c r="G220">
        <v>671.38909999999998</v>
      </c>
    </row>
    <row r="221" spans="5:7" x14ac:dyDescent="0.75">
      <c r="E221" t="s">
        <v>13</v>
      </c>
      <c r="F221">
        <v>2023</v>
      </c>
      <c r="G221">
        <v>669.98969999999997</v>
      </c>
    </row>
    <row r="222" spans="5:7" x14ac:dyDescent="0.75">
      <c r="E222" t="s">
        <v>13</v>
      </c>
      <c r="F222">
        <v>2024</v>
      </c>
      <c r="G222">
        <v>633.07140000000004</v>
      </c>
    </row>
    <row r="223" spans="5:7" x14ac:dyDescent="0.75">
      <c r="E223" t="s">
        <v>14</v>
      </c>
      <c r="F223">
        <v>2000</v>
      </c>
      <c r="G223">
        <v>658.82349999999997</v>
      </c>
    </row>
    <row r="224" spans="5:7" x14ac:dyDescent="0.75">
      <c r="E224" t="s">
        <v>14</v>
      </c>
      <c r="F224">
        <v>2001</v>
      </c>
      <c r="G224">
        <v>655.36725000000001</v>
      </c>
    </row>
    <row r="225" spans="5:7" x14ac:dyDescent="0.75">
      <c r="E225" t="s">
        <v>14</v>
      </c>
      <c r="F225">
        <v>2002</v>
      </c>
      <c r="G225">
        <v>656.08465999999999</v>
      </c>
    </row>
    <row r="226" spans="5:7" x14ac:dyDescent="0.75">
      <c r="E226" t="s">
        <v>14</v>
      </c>
      <c r="F226">
        <v>2003</v>
      </c>
      <c r="G226">
        <v>660</v>
      </c>
    </row>
    <row r="227" spans="5:7" x14ac:dyDescent="0.75">
      <c r="E227" t="s">
        <v>14</v>
      </c>
      <c r="F227">
        <v>2004</v>
      </c>
      <c r="G227">
        <v>656.56560000000002</v>
      </c>
    </row>
    <row r="228" spans="5:7" x14ac:dyDescent="0.75">
      <c r="E228" t="s">
        <v>14</v>
      </c>
      <c r="F228">
        <v>2005</v>
      </c>
      <c r="G228">
        <v>660.28710000000001</v>
      </c>
    </row>
    <row r="229" spans="5:7" x14ac:dyDescent="0.75">
      <c r="E229" t="s">
        <v>14</v>
      </c>
      <c r="F229">
        <v>2006</v>
      </c>
      <c r="G229">
        <v>655.66039999999998</v>
      </c>
    </row>
    <row r="230" spans="5:7" x14ac:dyDescent="0.75">
      <c r="E230" t="s">
        <v>14</v>
      </c>
      <c r="F230">
        <v>2007</v>
      </c>
      <c r="G230">
        <v>657.77779999999996</v>
      </c>
    </row>
    <row r="231" spans="5:7" x14ac:dyDescent="0.75">
      <c r="E231" t="s">
        <v>14</v>
      </c>
      <c r="F231">
        <v>2008</v>
      </c>
      <c r="G231">
        <v>657.77779999999996</v>
      </c>
    </row>
    <row r="232" spans="5:7" x14ac:dyDescent="0.75">
      <c r="E232" t="s">
        <v>14</v>
      </c>
      <c r="F232">
        <v>2009</v>
      </c>
      <c r="G232">
        <v>658.87850000000003</v>
      </c>
    </row>
    <row r="233" spans="5:7" x14ac:dyDescent="0.75">
      <c r="E233" t="s">
        <v>14</v>
      </c>
      <c r="F233">
        <v>2010</v>
      </c>
      <c r="G233">
        <v>656.71642999999995</v>
      </c>
    </row>
    <row r="234" spans="5:7" x14ac:dyDescent="0.75">
      <c r="E234" t="s">
        <v>14</v>
      </c>
      <c r="F234">
        <v>2011</v>
      </c>
      <c r="G234">
        <v>658.53660000000002</v>
      </c>
    </row>
    <row r="235" spans="5:7" x14ac:dyDescent="0.75">
      <c r="E235" t="s">
        <v>14</v>
      </c>
      <c r="F235">
        <v>2012</v>
      </c>
      <c r="G235">
        <v>657.89480000000003</v>
      </c>
    </row>
    <row r="236" spans="5:7" x14ac:dyDescent="0.75">
      <c r="E236" t="s">
        <v>14</v>
      </c>
      <c r="F236">
        <v>2013</v>
      </c>
      <c r="G236">
        <v>659.57446000000004</v>
      </c>
    </row>
    <row r="237" spans="5:7" x14ac:dyDescent="0.75">
      <c r="E237" t="s">
        <v>14</v>
      </c>
      <c r="F237">
        <v>2014</v>
      </c>
      <c r="G237">
        <v>656.25</v>
      </c>
    </row>
    <row r="238" spans="5:7" x14ac:dyDescent="0.75">
      <c r="E238" t="s">
        <v>14</v>
      </c>
      <c r="F238">
        <v>2015</v>
      </c>
      <c r="G238">
        <v>660</v>
      </c>
    </row>
    <row r="239" spans="5:7" x14ac:dyDescent="0.75">
      <c r="E239" t="s">
        <v>14</v>
      </c>
      <c r="F239">
        <v>2016</v>
      </c>
      <c r="G239">
        <v>659.89844000000005</v>
      </c>
    </row>
    <row r="240" spans="5:7" x14ac:dyDescent="0.75">
      <c r="E240" t="s">
        <v>14</v>
      </c>
      <c r="F240">
        <v>2017</v>
      </c>
      <c r="G240">
        <v>658.29143999999997</v>
      </c>
    </row>
    <row r="241" spans="5:7" x14ac:dyDescent="0.75">
      <c r="E241" t="s">
        <v>14</v>
      </c>
      <c r="F241">
        <v>2018</v>
      </c>
      <c r="G241">
        <v>660</v>
      </c>
    </row>
    <row r="242" spans="5:7" x14ac:dyDescent="0.75">
      <c r="E242" t="s">
        <v>14</v>
      </c>
      <c r="F242">
        <v>2019</v>
      </c>
      <c r="G242">
        <v>656.71642999999995</v>
      </c>
    </row>
    <row r="243" spans="5:7" x14ac:dyDescent="0.75">
      <c r="E243" t="s">
        <v>14</v>
      </c>
      <c r="F243">
        <v>2020</v>
      </c>
      <c r="G243">
        <v>655.17240000000004</v>
      </c>
    </row>
    <row r="244" spans="5:7" x14ac:dyDescent="0.75">
      <c r="E244" t="s">
        <v>14</v>
      </c>
      <c r="F244">
        <v>2021</v>
      </c>
      <c r="G244">
        <v>656.86279999999999</v>
      </c>
    </row>
    <row r="245" spans="5:7" x14ac:dyDescent="0.75">
      <c r="E245" t="s">
        <v>14</v>
      </c>
      <c r="F245">
        <v>2022</v>
      </c>
      <c r="G245">
        <v>653.65857000000005</v>
      </c>
    </row>
    <row r="246" spans="5:7" x14ac:dyDescent="0.75">
      <c r="E246" t="s">
        <v>15</v>
      </c>
      <c r="F246">
        <v>2000</v>
      </c>
      <c r="G246">
        <v>904.76189999999997</v>
      </c>
    </row>
    <row r="247" spans="5:7" x14ac:dyDescent="0.75">
      <c r="E247" t="s">
        <v>15</v>
      </c>
      <c r="F247">
        <v>2001</v>
      </c>
      <c r="G247">
        <v>904.92474000000004</v>
      </c>
    </row>
    <row r="248" spans="5:7" x14ac:dyDescent="0.75">
      <c r="E248" t="s">
        <v>15</v>
      </c>
      <c r="F248">
        <v>2002</v>
      </c>
      <c r="G248">
        <v>904.98035000000004</v>
      </c>
    </row>
    <row r="249" spans="5:7" x14ac:dyDescent="0.75">
      <c r="E249" t="s">
        <v>15</v>
      </c>
      <c r="F249">
        <v>2003</v>
      </c>
      <c r="G249">
        <v>904.45860000000005</v>
      </c>
    </row>
    <row r="250" spans="5:7" x14ac:dyDescent="0.75">
      <c r="E250" t="s">
        <v>15</v>
      </c>
      <c r="F250">
        <v>2004</v>
      </c>
      <c r="G250">
        <v>904.64400000000001</v>
      </c>
    </row>
    <row r="251" spans="5:7" x14ac:dyDescent="0.75">
      <c r="E251" t="s">
        <v>15</v>
      </c>
      <c r="F251">
        <v>2005</v>
      </c>
      <c r="G251">
        <v>904.49145999999996</v>
      </c>
    </row>
    <row r="252" spans="5:7" x14ac:dyDescent="0.75">
      <c r="E252" t="s">
        <v>15</v>
      </c>
      <c r="F252">
        <v>2006</v>
      </c>
      <c r="G252">
        <v>898.76419999999996</v>
      </c>
    </row>
    <row r="253" spans="5:7" x14ac:dyDescent="0.75">
      <c r="E253" t="s">
        <v>15</v>
      </c>
      <c r="F253">
        <v>2007</v>
      </c>
      <c r="G253">
        <v>901.47329999999999</v>
      </c>
    </row>
    <row r="254" spans="5:7" x14ac:dyDescent="0.75">
      <c r="E254" t="s">
        <v>15</v>
      </c>
      <c r="F254">
        <v>2008</v>
      </c>
      <c r="G254">
        <v>904.90796</v>
      </c>
    </row>
    <row r="255" spans="5:7" x14ac:dyDescent="0.75">
      <c r="E255" t="s">
        <v>15</v>
      </c>
      <c r="F255">
        <v>2009</v>
      </c>
      <c r="G255">
        <v>904.69860000000006</v>
      </c>
    </row>
    <row r="256" spans="5:7" x14ac:dyDescent="0.75">
      <c r="E256" t="s">
        <v>15</v>
      </c>
      <c r="F256">
        <v>2010</v>
      </c>
      <c r="G256">
        <v>904.70190000000002</v>
      </c>
    </row>
    <row r="257" spans="5:7" x14ac:dyDescent="0.75">
      <c r="E257" t="s">
        <v>15</v>
      </c>
      <c r="F257">
        <v>2011</v>
      </c>
      <c r="G257">
        <v>904.68364999999994</v>
      </c>
    </row>
    <row r="258" spans="5:7" x14ac:dyDescent="0.75">
      <c r="E258" t="s">
        <v>15</v>
      </c>
      <c r="F258">
        <v>2012</v>
      </c>
      <c r="G258">
        <v>904.72344999999996</v>
      </c>
    </row>
    <row r="259" spans="5:7" x14ac:dyDescent="0.75">
      <c r="E259" t="s">
        <v>15</v>
      </c>
      <c r="F259">
        <v>2013</v>
      </c>
      <c r="G259">
        <v>904.67003999999997</v>
      </c>
    </row>
    <row r="260" spans="5:7" x14ac:dyDescent="0.75">
      <c r="E260" t="s">
        <v>15</v>
      </c>
      <c r="F260">
        <v>2014</v>
      </c>
      <c r="G260">
        <v>904.25530000000003</v>
      </c>
    </row>
    <row r="261" spans="5:7" x14ac:dyDescent="0.75">
      <c r="E261" t="s">
        <v>15</v>
      </c>
      <c r="F261">
        <v>2015</v>
      </c>
      <c r="G261">
        <v>904.52795000000003</v>
      </c>
    </row>
    <row r="262" spans="5:7" x14ac:dyDescent="0.75">
      <c r="E262" t="s">
        <v>15</v>
      </c>
      <c r="F262">
        <v>2016</v>
      </c>
      <c r="G262">
        <v>904.27769999999998</v>
      </c>
    </row>
    <row r="263" spans="5:7" x14ac:dyDescent="0.75">
      <c r="E263" t="s">
        <v>15</v>
      </c>
      <c r="F263">
        <v>2017</v>
      </c>
      <c r="G263">
        <v>904.55020000000002</v>
      </c>
    </row>
    <row r="264" spans="5:7" x14ac:dyDescent="0.75">
      <c r="E264" t="s">
        <v>15</v>
      </c>
      <c r="F264">
        <v>2018</v>
      </c>
      <c r="G264">
        <v>904.56853999999998</v>
      </c>
    </row>
    <row r="265" spans="5:7" x14ac:dyDescent="0.75">
      <c r="E265" t="s">
        <v>15</v>
      </c>
      <c r="F265">
        <v>2019</v>
      </c>
      <c r="G265">
        <v>904.25854000000004</v>
      </c>
    </row>
    <row r="266" spans="5:7" x14ac:dyDescent="0.75">
      <c r="E266" t="s">
        <v>15</v>
      </c>
      <c r="F266">
        <v>2020</v>
      </c>
      <c r="G266">
        <v>904.13419999999996</v>
      </c>
    </row>
    <row r="267" spans="5:7" x14ac:dyDescent="0.75">
      <c r="E267" t="s">
        <v>15</v>
      </c>
      <c r="F267">
        <v>2021</v>
      </c>
      <c r="G267">
        <v>903.56823999999995</v>
      </c>
    </row>
    <row r="268" spans="5:7" x14ac:dyDescent="0.75">
      <c r="E268" t="s">
        <v>15</v>
      </c>
      <c r="F268">
        <v>2022</v>
      </c>
      <c r="G268">
        <v>902.74659999999994</v>
      </c>
    </row>
    <row r="269" spans="5:7" x14ac:dyDescent="0.75">
      <c r="E269" t="s">
        <v>15</v>
      </c>
      <c r="F269">
        <v>2023</v>
      </c>
      <c r="G269">
        <v>902.40533000000005</v>
      </c>
    </row>
    <row r="270" spans="5:7" x14ac:dyDescent="0.75">
      <c r="E270" t="s">
        <v>16</v>
      </c>
      <c r="F270">
        <v>2000</v>
      </c>
      <c r="G270">
        <v>645.54584</v>
      </c>
    </row>
    <row r="271" spans="5:7" x14ac:dyDescent="0.75">
      <c r="E271" t="s">
        <v>16</v>
      </c>
      <c r="F271">
        <v>2001</v>
      </c>
      <c r="G271">
        <v>647.29579999999999</v>
      </c>
    </row>
    <row r="272" spans="5:7" x14ac:dyDescent="0.75">
      <c r="E272" t="s">
        <v>16</v>
      </c>
      <c r="F272">
        <v>2002</v>
      </c>
      <c r="G272">
        <v>647.49339999999995</v>
      </c>
    </row>
    <row r="273" spans="5:7" x14ac:dyDescent="0.75">
      <c r="E273" t="s">
        <v>16</v>
      </c>
      <c r="F273">
        <v>2003</v>
      </c>
      <c r="G273">
        <v>648.23119999999994</v>
      </c>
    </row>
    <row r="274" spans="5:7" x14ac:dyDescent="0.75">
      <c r="E274" t="s">
        <v>16</v>
      </c>
      <c r="F274">
        <v>2004</v>
      </c>
      <c r="G274">
        <v>653.00440000000003</v>
      </c>
    </row>
    <row r="275" spans="5:7" x14ac:dyDescent="0.75">
      <c r="E275" t="s">
        <v>16</v>
      </c>
      <c r="F275">
        <v>2005</v>
      </c>
      <c r="G275">
        <v>654.67359999999996</v>
      </c>
    </row>
    <row r="276" spans="5:7" x14ac:dyDescent="0.75">
      <c r="E276" t="s">
        <v>16</v>
      </c>
      <c r="F276">
        <v>2006</v>
      </c>
      <c r="G276">
        <v>655.8356</v>
      </c>
    </row>
    <row r="277" spans="5:7" x14ac:dyDescent="0.75">
      <c r="E277" t="s">
        <v>16</v>
      </c>
      <c r="F277">
        <v>2007</v>
      </c>
      <c r="G277">
        <v>673.12036000000001</v>
      </c>
    </row>
    <row r="278" spans="5:7" x14ac:dyDescent="0.75">
      <c r="E278" t="s">
        <v>16</v>
      </c>
      <c r="F278">
        <v>2008</v>
      </c>
      <c r="G278">
        <v>672.5095</v>
      </c>
    </row>
    <row r="279" spans="5:7" x14ac:dyDescent="0.75">
      <c r="E279" t="s">
        <v>16</v>
      </c>
      <c r="F279">
        <v>2009</v>
      </c>
      <c r="G279">
        <v>681.97686999999996</v>
      </c>
    </row>
    <row r="280" spans="5:7" x14ac:dyDescent="0.75">
      <c r="E280" t="s">
        <v>16</v>
      </c>
      <c r="F280">
        <v>2010</v>
      </c>
      <c r="G280">
        <v>675.23249999999996</v>
      </c>
    </row>
    <row r="281" spans="5:7" x14ac:dyDescent="0.75">
      <c r="E281" t="s">
        <v>16</v>
      </c>
      <c r="F281">
        <v>2011</v>
      </c>
      <c r="G281">
        <v>672.54629999999997</v>
      </c>
    </row>
    <row r="282" spans="5:7" x14ac:dyDescent="0.75">
      <c r="E282" t="s">
        <v>16</v>
      </c>
      <c r="F282">
        <v>2012</v>
      </c>
      <c r="G282">
        <v>673.79674999999997</v>
      </c>
    </row>
    <row r="283" spans="5:7" x14ac:dyDescent="0.75">
      <c r="E283" t="s">
        <v>16</v>
      </c>
      <c r="F283">
        <v>2013</v>
      </c>
      <c r="G283">
        <v>673.79079999999999</v>
      </c>
    </row>
    <row r="284" spans="5:7" x14ac:dyDescent="0.75">
      <c r="E284" t="s">
        <v>16</v>
      </c>
      <c r="F284">
        <v>2014</v>
      </c>
      <c r="G284">
        <v>676.53876000000002</v>
      </c>
    </row>
    <row r="285" spans="5:7" x14ac:dyDescent="0.75">
      <c r="E285" t="s">
        <v>16</v>
      </c>
      <c r="F285">
        <v>2015</v>
      </c>
      <c r="G285">
        <v>675.8306</v>
      </c>
    </row>
    <row r="286" spans="5:7" x14ac:dyDescent="0.75">
      <c r="E286" t="s">
        <v>16</v>
      </c>
      <c r="F286">
        <v>2016</v>
      </c>
      <c r="G286">
        <v>672.601</v>
      </c>
    </row>
    <row r="287" spans="5:7" x14ac:dyDescent="0.75">
      <c r="E287" t="s">
        <v>16</v>
      </c>
      <c r="F287">
        <v>2017</v>
      </c>
      <c r="G287">
        <v>672.15796</v>
      </c>
    </row>
    <row r="288" spans="5:7" x14ac:dyDescent="0.75">
      <c r="E288" t="s">
        <v>16</v>
      </c>
      <c r="F288">
        <v>2018</v>
      </c>
      <c r="G288">
        <v>673.02589999999998</v>
      </c>
    </row>
    <row r="289" spans="5:7" x14ac:dyDescent="0.75">
      <c r="E289" t="s">
        <v>16</v>
      </c>
      <c r="F289">
        <v>2019</v>
      </c>
      <c r="G289">
        <v>675.24383999999998</v>
      </c>
    </row>
    <row r="290" spans="5:7" x14ac:dyDescent="0.75">
      <c r="E290" t="s">
        <v>16</v>
      </c>
      <c r="F290">
        <v>2020</v>
      </c>
      <c r="G290">
        <v>678.91409999999996</v>
      </c>
    </row>
    <row r="291" spans="5:7" x14ac:dyDescent="0.75">
      <c r="E291" t="s">
        <v>16</v>
      </c>
      <c r="F291">
        <v>2021</v>
      </c>
      <c r="G291">
        <v>679.03814999999997</v>
      </c>
    </row>
    <row r="292" spans="5:7" x14ac:dyDescent="0.75">
      <c r="E292" t="s">
        <v>16</v>
      </c>
      <c r="F292">
        <v>2022</v>
      </c>
      <c r="G292">
        <v>676.47919999999999</v>
      </c>
    </row>
    <row r="293" spans="5:7" x14ac:dyDescent="0.75">
      <c r="E293" t="s">
        <v>16</v>
      </c>
      <c r="F293">
        <v>2023</v>
      </c>
      <c r="G293">
        <v>683.11974999999995</v>
      </c>
    </row>
    <row r="294" spans="5:7" x14ac:dyDescent="0.75">
      <c r="E294" t="s">
        <v>16</v>
      </c>
      <c r="F294">
        <v>2024</v>
      </c>
      <c r="G294">
        <v>694.62494000000004</v>
      </c>
    </row>
    <row r="295" spans="5:7" x14ac:dyDescent="0.75">
      <c r="E295" t="s">
        <v>17</v>
      </c>
      <c r="F295">
        <v>2000</v>
      </c>
      <c r="G295">
        <v>658.2278</v>
      </c>
    </row>
    <row r="296" spans="5:7" x14ac:dyDescent="0.75">
      <c r="E296" t="s">
        <v>17</v>
      </c>
      <c r="F296">
        <v>2001</v>
      </c>
      <c r="G296">
        <v>650.60249999999996</v>
      </c>
    </row>
    <row r="297" spans="5:7" x14ac:dyDescent="0.75">
      <c r="E297" t="s">
        <v>17</v>
      </c>
      <c r="F297">
        <v>2002</v>
      </c>
      <c r="G297">
        <v>662.79065000000003</v>
      </c>
    </row>
    <row r="298" spans="5:7" x14ac:dyDescent="0.75">
      <c r="E298" t="s">
        <v>17</v>
      </c>
      <c r="F298">
        <v>2003</v>
      </c>
      <c r="G298">
        <v>666.66660000000002</v>
      </c>
    </row>
    <row r="299" spans="5:7" x14ac:dyDescent="0.75">
      <c r="E299" t="s">
        <v>17</v>
      </c>
      <c r="F299">
        <v>2004</v>
      </c>
      <c r="G299">
        <v>662.92129999999997</v>
      </c>
    </row>
    <row r="300" spans="5:7" x14ac:dyDescent="0.75">
      <c r="E300" t="s">
        <v>17</v>
      </c>
      <c r="F300">
        <v>2005</v>
      </c>
      <c r="G300">
        <v>656.56560000000002</v>
      </c>
    </row>
    <row r="301" spans="5:7" x14ac:dyDescent="0.75">
      <c r="E301" t="s">
        <v>17</v>
      </c>
      <c r="F301">
        <v>2006</v>
      </c>
      <c r="G301">
        <v>656.86279999999999</v>
      </c>
    </row>
    <row r="302" spans="5:7" x14ac:dyDescent="0.75">
      <c r="E302" t="s">
        <v>17</v>
      </c>
      <c r="F302">
        <v>2007</v>
      </c>
      <c r="G302">
        <v>657.14290000000005</v>
      </c>
    </row>
    <row r="303" spans="5:7" x14ac:dyDescent="0.75">
      <c r="E303" t="s">
        <v>17</v>
      </c>
      <c r="F303">
        <v>2008</v>
      </c>
      <c r="G303">
        <v>657.14290000000005</v>
      </c>
    </row>
    <row r="304" spans="5:7" x14ac:dyDescent="0.75">
      <c r="E304" t="s">
        <v>17</v>
      </c>
      <c r="F304">
        <v>2009</v>
      </c>
      <c r="G304">
        <v>663.55133000000001</v>
      </c>
    </row>
    <row r="305" spans="5:7" x14ac:dyDescent="0.75">
      <c r="E305" t="s">
        <v>17</v>
      </c>
      <c r="F305">
        <v>2010</v>
      </c>
      <c r="G305">
        <v>660.19420000000002</v>
      </c>
    </row>
    <row r="306" spans="5:7" x14ac:dyDescent="0.75">
      <c r="E306" t="s">
        <v>17</v>
      </c>
      <c r="F306">
        <v>2011</v>
      </c>
      <c r="G306">
        <v>663.46154999999999</v>
      </c>
    </row>
    <row r="307" spans="5:7" x14ac:dyDescent="0.75">
      <c r="E307" t="s">
        <v>17</v>
      </c>
      <c r="F307">
        <v>2012</v>
      </c>
      <c r="G307">
        <v>654.86725000000001</v>
      </c>
    </row>
    <row r="308" spans="5:7" x14ac:dyDescent="0.75">
      <c r="E308" t="s">
        <v>17</v>
      </c>
      <c r="F308">
        <v>2013</v>
      </c>
      <c r="G308">
        <v>653.46540000000005</v>
      </c>
    </row>
    <row r="309" spans="5:7" x14ac:dyDescent="0.75">
      <c r="E309" t="s">
        <v>17</v>
      </c>
      <c r="F309">
        <v>2014</v>
      </c>
      <c r="G309">
        <v>650.4855</v>
      </c>
    </row>
    <row r="310" spans="5:7" x14ac:dyDescent="0.75">
      <c r="E310" t="s">
        <v>17</v>
      </c>
      <c r="F310">
        <v>2015</v>
      </c>
      <c r="G310">
        <v>644.23082999999997</v>
      </c>
    </row>
    <row r="311" spans="5:7" x14ac:dyDescent="0.75">
      <c r="E311" t="s">
        <v>17</v>
      </c>
      <c r="F311">
        <v>2016</v>
      </c>
      <c r="G311">
        <v>638.09529999999995</v>
      </c>
    </row>
    <row r="312" spans="5:7" x14ac:dyDescent="0.75">
      <c r="E312" t="s">
        <v>17</v>
      </c>
      <c r="F312">
        <v>2017</v>
      </c>
      <c r="G312">
        <v>634.61540000000002</v>
      </c>
    </row>
    <row r="313" spans="5:7" x14ac:dyDescent="0.75">
      <c r="E313" t="s">
        <v>17</v>
      </c>
      <c r="F313">
        <v>2018</v>
      </c>
      <c r="G313">
        <v>634.61540000000002</v>
      </c>
    </row>
    <row r="314" spans="5:7" x14ac:dyDescent="0.75">
      <c r="E314" t="s">
        <v>17</v>
      </c>
      <c r="F314">
        <v>2019</v>
      </c>
      <c r="G314">
        <v>632.07550000000003</v>
      </c>
    </row>
    <row r="315" spans="5:7" x14ac:dyDescent="0.75">
      <c r="E315" t="s">
        <v>17</v>
      </c>
      <c r="F315">
        <v>2020</v>
      </c>
      <c r="G315">
        <v>613.20759999999996</v>
      </c>
    </row>
    <row r="316" spans="5:7" x14ac:dyDescent="0.75">
      <c r="E316" t="s">
        <v>17</v>
      </c>
      <c r="F316">
        <v>2021</v>
      </c>
      <c r="G316">
        <v>603.77359999999999</v>
      </c>
    </row>
    <row r="317" spans="5:7" x14ac:dyDescent="0.75">
      <c r="E317" t="s">
        <v>17</v>
      </c>
      <c r="F317">
        <v>2022</v>
      </c>
      <c r="G317">
        <v>605.50459999999998</v>
      </c>
    </row>
    <row r="318" spans="5:7" x14ac:dyDescent="0.75">
      <c r="E318" t="s">
        <v>17</v>
      </c>
      <c r="F318">
        <v>2023</v>
      </c>
      <c r="G318">
        <v>600</v>
      </c>
    </row>
    <row r="319" spans="5:7" x14ac:dyDescent="0.75">
      <c r="E319" t="s">
        <v>18</v>
      </c>
      <c r="F319">
        <v>2000</v>
      </c>
      <c r="G319">
        <v>518.0077</v>
      </c>
    </row>
    <row r="320" spans="5:7" x14ac:dyDescent="0.75">
      <c r="E320" t="s">
        <v>18</v>
      </c>
      <c r="F320">
        <v>2001</v>
      </c>
      <c r="G320">
        <v>516.55364999999995</v>
      </c>
    </row>
    <row r="321" spans="5:7" x14ac:dyDescent="0.75">
      <c r="E321" t="s">
        <v>18</v>
      </c>
      <c r="F321">
        <v>2002</v>
      </c>
      <c r="G321">
        <v>515.49509999999998</v>
      </c>
    </row>
    <row r="322" spans="5:7" x14ac:dyDescent="0.75">
      <c r="E322" t="s">
        <v>18</v>
      </c>
      <c r="F322">
        <v>2003</v>
      </c>
      <c r="G322">
        <v>514.08185000000003</v>
      </c>
    </row>
    <row r="323" spans="5:7" x14ac:dyDescent="0.75">
      <c r="E323" t="s">
        <v>18</v>
      </c>
      <c r="F323">
        <v>2004</v>
      </c>
      <c r="G323">
        <v>515.06410000000005</v>
      </c>
    </row>
    <row r="324" spans="5:7" x14ac:dyDescent="0.75">
      <c r="E324" t="s">
        <v>18</v>
      </c>
      <c r="F324">
        <v>2005</v>
      </c>
      <c r="G324">
        <v>512.59690000000001</v>
      </c>
    </row>
    <row r="325" spans="5:7" x14ac:dyDescent="0.75">
      <c r="E325" t="s">
        <v>18</v>
      </c>
      <c r="F325">
        <v>2006</v>
      </c>
      <c r="G325">
        <v>515.24676999999997</v>
      </c>
    </row>
    <row r="326" spans="5:7" x14ac:dyDescent="0.75">
      <c r="E326" t="s">
        <v>18</v>
      </c>
      <c r="F326">
        <v>2007</v>
      </c>
      <c r="G326">
        <v>508.95386000000002</v>
      </c>
    </row>
    <row r="327" spans="5:7" x14ac:dyDescent="0.75">
      <c r="E327" t="s">
        <v>18</v>
      </c>
      <c r="F327">
        <v>2008</v>
      </c>
      <c r="G327">
        <v>512.12554999999998</v>
      </c>
    </row>
    <row r="328" spans="5:7" x14ac:dyDescent="0.75">
      <c r="E328" t="s">
        <v>18</v>
      </c>
      <c r="F328">
        <v>2009</v>
      </c>
      <c r="G328">
        <v>534.07965000000002</v>
      </c>
    </row>
    <row r="329" spans="5:7" x14ac:dyDescent="0.75">
      <c r="E329" t="s">
        <v>18</v>
      </c>
      <c r="F329">
        <v>2010</v>
      </c>
      <c r="G329">
        <v>511.17477000000002</v>
      </c>
    </row>
    <row r="330" spans="5:7" x14ac:dyDescent="0.75">
      <c r="E330" t="s">
        <v>18</v>
      </c>
      <c r="F330">
        <v>2011</v>
      </c>
      <c r="G330">
        <v>509.16433999999998</v>
      </c>
    </row>
    <row r="331" spans="5:7" x14ac:dyDescent="0.75">
      <c r="E331" t="s">
        <v>18</v>
      </c>
      <c r="F331">
        <v>2012</v>
      </c>
      <c r="G331">
        <v>510.22397000000001</v>
      </c>
    </row>
    <row r="332" spans="5:7" x14ac:dyDescent="0.75">
      <c r="E332" t="s">
        <v>18</v>
      </c>
      <c r="F332">
        <v>2013</v>
      </c>
      <c r="G332">
        <v>505.87112000000002</v>
      </c>
    </row>
    <row r="333" spans="5:7" x14ac:dyDescent="0.75">
      <c r="E333" t="s">
        <v>18</v>
      </c>
      <c r="F333">
        <v>2014</v>
      </c>
      <c r="G333">
        <v>507.19632000000001</v>
      </c>
    </row>
    <row r="334" spans="5:7" x14ac:dyDescent="0.75">
      <c r="E334" t="s">
        <v>18</v>
      </c>
      <c r="F334">
        <v>2015</v>
      </c>
      <c r="G334">
        <v>506.89352000000002</v>
      </c>
    </row>
    <row r="335" spans="5:7" x14ac:dyDescent="0.75">
      <c r="E335" t="s">
        <v>18</v>
      </c>
      <c r="F335">
        <v>2016</v>
      </c>
      <c r="G335">
        <v>506.10663</v>
      </c>
    </row>
    <row r="336" spans="5:7" x14ac:dyDescent="0.75">
      <c r="E336" t="s">
        <v>18</v>
      </c>
      <c r="F336">
        <v>2017</v>
      </c>
      <c r="G336">
        <v>499.85512999999997</v>
      </c>
    </row>
    <row r="337" spans="5:7" x14ac:dyDescent="0.75">
      <c r="E337" t="s">
        <v>18</v>
      </c>
      <c r="F337">
        <v>2018</v>
      </c>
      <c r="G337">
        <v>501.15413999999998</v>
      </c>
    </row>
    <row r="338" spans="5:7" x14ac:dyDescent="0.75">
      <c r="E338" t="s">
        <v>18</v>
      </c>
      <c r="F338">
        <v>2019</v>
      </c>
      <c r="G338">
        <v>498.76422000000002</v>
      </c>
    </row>
    <row r="339" spans="5:7" x14ac:dyDescent="0.75">
      <c r="E339" t="s">
        <v>18</v>
      </c>
      <c r="F339">
        <v>2020</v>
      </c>
      <c r="G339">
        <v>498.70260000000002</v>
      </c>
    </row>
    <row r="340" spans="5:7" x14ac:dyDescent="0.75">
      <c r="E340" t="s">
        <v>18</v>
      </c>
      <c r="F340">
        <v>2021</v>
      </c>
      <c r="G340">
        <v>433.21213</v>
      </c>
    </row>
    <row r="341" spans="5:7" x14ac:dyDescent="0.75">
      <c r="E341" t="s">
        <v>18</v>
      </c>
      <c r="F341">
        <v>2022</v>
      </c>
      <c r="G341">
        <v>439.21463</v>
      </c>
    </row>
    <row r="342" spans="5:7" x14ac:dyDescent="0.75">
      <c r="E342" t="s">
        <v>18</v>
      </c>
      <c r="F342">
        <v>2023</v>
      </c>
      <c r="G342">
        <v>364.38733000000002</v>
      </c>
    </row>
    <row r="343" spans="5:7" x14ac:dyDescent="0.75">
      <c r="E343" t="s">
        <v>18</v>
      </c>
      <c r="F343">
        <v>2024</v>
      </c>
      <c r="G343">
        <v>313.6173</v>
      </c>
    </row>
    <row r="344" spans="5:7" x14ac:dyDescent="0.75">
      <c r="E344" t="s">
        <v>19</v>
      </c>
      <c r="F344">
        <v>2000</v>
      </c>
      <c r="G344">
        <v>269.59778</v>
      </c>
    </row>
    <row r="345" spans="5:7" x14ac:dyDescent="0.75">
      <c r="E345" t="s">
        <v>19</v>
      </c>
      <c r="F345">
        <v>2001</v>
      </c>
      <c r="G345">
        <v>252.82971000000001</v>
      </c>
    </row>
    <row r="346" spans="5:7" x14ac:dyDescent="0.75">
      <c r="E346" t="s">
        <v>19</v>
      </c>
      <c r="F346">
        <v>2002</v>
      </c>
      <c r="G346">
        <v>249.81467000000001</v>
      </c>
    </row>
    <row r="347" spans="5:7" x14ac:dyDescent="0.75">
      <c r="E347" t="s">
        <v>19</v>
      </c>
      <c r="F347">
        <v>2003</v>
      </c>
      <c r="G347">
        <v>249.13246000000001</v>
      </c>
    </row>
    <row r="348" spans="5:7" x14ac:dyDescent="0.75">
      <c r="E348" t="s">
        <v>19</v>
      </c>
      <c r="F348">
        <v>2004</v>
      </c>
      <c r="G348">
        <v>247.61788999999999</v>
      </c>
    </row>
    <row r="349" spans="5:7" x14ac:dyDescent="0.75">
      <c r="E349" t="s">
        <v>19</v>
      </c>
      <c r="F349">
        <v>2005</v>
      </c>
      <c r="G349">
        <v>241.05240000000001</v>
      </c>
    </row>
    <row r="350" spans="5:7" x14ac:dyDescent="0.75">
      <c r="E350" t="s">
        <v>19</v>
      </c>
      <c r="F350">
        <v>2006</v>
      </c>
      <c r="G350">
        <v>231.58148</v>
      </c>
    </row>
    <row r="351" spans="5:7" x14ac:dyDescent="0.75">
      <c r="E351" t="s">
        <v>19</v>
      </c>
      <c r="F351">
        <v>2007</v>
      </c>
      <c r="G351">
        <v>224.28290999999999</v>
      </c>
    </row>
    <row r="352" spans="5:7" x14ac:dyDescent="0.75">
      <c r="E352" t="s">
        <v>19</v>
      </c>
      <c r="F352">
        <v>2008</v>
      </c>
      <c r="G352">
        <v>218.27593999999999</v>
      </c>
    </row>
    <row r="353" spans="5:7" x14ac:dyDescent="0.75">
      <c r="E353" t="s">
        <v>19</v>
      </c>
      <c r="F353">
        <v>2009</v>
      </c>
      <c r="G353">
        <v>216.91175999999999</v>
      </c>
    </row>
    <row r="354" spans="5:7" x14ac:dyDescent="0.75">
      <c r="E354" t="s">
        <v>19</v>
      </c>
      <c r="F354">
        <v>2010</v>
      </c>
      <c r="G354">
        <v>212.83456000000001</v>
      </c>
    </row>
    <row r="355" spans="5:7" x14ac:dyDescent="0.75">
      <c r="E355" t="s">
        <v>19</v>
      </c>
      <c r="F355">
        <v>2011</v>
      </c>
      <c r="G355">
        <v>192.89795000000001</v>
      </c>
    </row>
    <row r="356" spans="5:7" x14ac:dyDescent="0.75">
      <c r="E356" t="s">
        <v>19</v>
      </c>
      <c r="F356">
        <v>2012</v>
      </c>
      <c r="G356">
        <v>202.67451</v>
      </c>
    </row>
    <row r="357" spans="5:7" x14ac:dyDescent="0.75">
      <c r="E357" t="s">
        <v>19</v>
      </c>
      <c r="F357">
        <v>2013</v>
      </c>
      <c r="G357">
        <v>184.25871000000001</v>
      </c>
    </row>
    <row r="358" spans="5:7" x14ac:dyDescent="0.75">
      <c r="E358" t="s">
        <v>19</v>
      </c>
      <c r="F358">
        <v>2014</v>
      </c>
      <c r="G358">
        <v>189.88765000000001</v>
      </c>
    </row>
    <row r="359" spans="5:7" x14ac:dyDescent="0.75">
      <c r="E359" t="s">
        <v>19</v>
      </c>
      <c r="F359">
        <v>2015</v>
      </c>
      <c r="G359">
        <v>215.54874000000001</v>
      </c>
    </row>
    <row r="360" spans="5:7" x14ac:dyDescent="0.75">
      <c r="E360" t="s">
        <v>19</v>
      </c>
      <c r="F360">
        <v>2016</v>
      </c>
      <c r="G360">
        <v>158.70004</v>
      </c>
    </row>
    <row r="361" spans="5:7" x14ac:dyDescent="0.75">
      <c r="E361" t="s">
        <v>19</v>
      </c>
      <c r="F361">
        <v>2017</v>
      </c>
      <c r="G361">
        <v>159.47973999999999</v>
      </c>
    </row>
    <row r="362" spans="5:7" x14ac:dyDescent="0.75">
      <c r="E362" t="s">
        <v>19</v>
      </c>
      <c r="F362">
        <v>2018</v>
      </c>
      <c r="G362">
        <v>186.95004</v>
      </c>
    </row>
    <row r="363" spans="5:7" x14ac:dyDescent="0.75">
      <c r="E363" t="s">
        <v>19</v>
      </c>
      <c r="F363">
        <v>2019</v>
      </c>
      <c r="G363">
        <v>156.54331999999999</v>
      </c>
    </row>
    <row r="364" spans="5:7" x14ac:dyDescent="0.75">
      <c r="E364" t="s">
        <v>19</v>
      </c>
      <c r="F364">
        <v>2020</v>
      </c>
      <c r="G364">
        <v>166.61002999999999</v>
      </c>
    </row>
    <row r="365" spans="5:7" x14ac:dyDescent="0.75">
      <c r="E365" t="s">
        <v>19</v>
      </c>
      <c r="F365">
        <v>2021</v>
      </c>
      <c r="G365">
        <v>131.80402000000001</v>
      </c>
    </row>
    <row r="366" spans="5:7" x14ac:dyDescent="0.75">
      <c r="E366" t="s">
        <v>19</v>
      </c>
      <c r="F366">
        <v>2022</v>
      </c>
      <c r="G366">
        <v>139.4042</v>
      </c>
    </row>
    <row r="367" spans="5:7" x14ac:dyDescent="0.75">
      <c r="E367" t="s">
        <v>19</v>
      </c>
      <c r="F367">
        <v>2023</v>
      </c>
      <c r="G367">
        <v>134.91486</v>
      </c>
    </row>
    <row r="368" spans="5:7" x14ac:dyDescent="0.75">
      <c r="E368" t="s">
        <v>19</v>
      </c>
      <c r="F368">
        <v>2024</v>
      </c>
      <c r="G368">
        <v>117.57641</v>
      </c>
    </row>
    <row r="369" spans="5:7" x14ac:dyDescent="0.75">
      <c r="E369" t="s">
        <v>20</v>
      </c>
      <c r="F369">
        <v>2000</v>
      </c>
      <c r="G369">
        <v>230.76924</v>
      </c>
    </row>
    <row r="370" spans="5:7" x14ac:dyDescent="0.75">
      <c r="E370" t="s">
        <v>20</v>
      </c>
      <c r="F370">
        <v>2001</v>
      </c>
      <c r="G370">
        <v>230.76924</v>
      </c>
    </row>
    <row r="371" spans="5:7" x14ac:dyDescent="0.75">
      <c r="E371" t="s">
        <v>20</v>
      </c>
      <c r="F371">
        <v>2002</v>
      </c>
      <c r="G371">
        <v>214.28569999999999</v>
      </c>
    </row>
    <row r="372" spans="5:7" x14ac:dyDescent="0.75">
      <c r="E372" t="s">
        <v>20</v>
      </c>
      <c r="F372">
        <v>2003</v>
      </c>
      <c r="G372">
        <v>437.5</v>
      </c>
    </row>
    <row r="373" spans="5:7" x14ac:dyDescent="0.75">
      <c r="E373" t="s">
        <v>20</v>
      </c>
      <c r="F373">
        <v>2004</v>
      </c>
      <c r="G373">
        <v>357.14285000000001</v>
      </c>
    </row>
    <row r="374" spans="5:7" x14ac:dyDescent="0.75">
      <c r="E374" t="s">
        <v>20</v>
      </c>
      <c r="F374">
        <v>2005</v>
      </c>
      <c r="G374">
        <v>375</v>
      </c>
    </row>
    <row r="375" spans="5:7" x14ac:dyDescent="0.75">
      <c r="E375" t="s">
        <v>20</v>
      </c>
      <c r="F375">
        <v>2006</v>
      </c>
      <c r="G375">
        <v>95.238100000000003</v>
      </c>
    </row>
    <row r="376" spans="5:7" x14ac:dyDescent="0.75">
      <c r="E376" t="s">
        <v>20</v>
      </c>
      <c r="F376">
        <v>2007</v>
      </c>
      <c r="G376">
        <v>136.36363</v>
      </c>
    </row>
    <row r="377" spans="5:7" x14ac:dyDescent="0.75">
      <c r="E377" t="s">
        <v>20</v>
      </c>
      <c r="F377">
        <v>2008</v>
      </c>
      <c r="G377">
        <v>47.619050000000001</v>
      </c>
    </row>
    <row r="378" spans="5:7" x14ac:dyDescent="0.75">
      <c r="E378" t="s">
        <v>20</v>
      </c>
      <c r="F378">
        <v>2009</v>
      </c>
      <c r="G378">
        <v>125</v>
      </c>
    </row>
    <row r="379" spans="5:7" x14ac:dyDescent="0.75">
      <c r="E379" t="s">
        <v>20</v>
      </c>
      <c r="F379">
        <v>2010</v>
      </c>
      <c r="G379">
        <v>142.85714999999999</v>
      </c>
    </row>
    <row r="380" spans="5:7" x14ac:dyDescent="0.75">
      <c r="E380" t="s">
        <v>20</v>
      </c>
      <c r="F380">
        <v>2011</v>
      </c>
      <c r="G380">
        <v>90.909090000000006</v>
      </c>
    </row>
    <row r="381" spans="5:7" x14ac:dyDescent="0.75">
      <c r="E381" t="s">
        <v>20</v>
      </c>
      <c r="F381">
        <v>2012</v>
      </c>
      <c r="G381">
        <v>131.57894999999999</v>
      </c>
    </row>
    <row r="382" spans="5:7" x14ac:dyDescent="0.75">
      <c r="E382" t="s">
        <v>20</v>
      </c>
      <c r="F382">
        <v>2013</v>
      </c>
      <c r="G382">
        <v>108.10809999999999</v>
      </c>
    </row>
    <row r="383" spans="5:7" x14ac:dyDescent="0.75">
      <c r="E383" t="s">
        <v>20</v>
      </c>
      <c r="F383">
        <v>2014</v>
      </c>
      <c r="G383">
        <v>138.88889</v>
      </c>
    </row>
    <row r="384" spans="5:7" x14ac:dyDescent="0.75">
      <c r="E384" t="s">
        <v>20</v>
      </c>
      <c r="F384">
        <v>2015</v>
      </c>
      <c r="G384">
        <v>138.88889</v>
      </c>
    </row>
    <row r="385" spans="5:7" x14ac:dyDescent="0.75">
      <c r="E385" t="s">
        <v>20</v>
      </c>
      <c r="F385">
        <v>2016</v>
      </c>
      <c r="G385">
        <v>105.26315</v>
      </c>
    </row>
    <row r="386" spans="5:7" x14ac:dyDescent="0.75">
      <c r="E386" t="s">
        <v>20</v>
      </c>
      <c r="F386">
        <v>2017</v>
      </c>
      <c r="G386">
        <v>100</v>
      </c>
    </row>
    <row r="387" spans="5:7" x14ac:dyDescent="0.75">
      <c r="E387" t="s">
        <v>20</v>
      </c>
      <c r="F387">
        <v>2018</v>
      </c>
      <c r="G387">
        <v>146.34146000000001</v>
      </c>
    </row>
    <row r="388" spans="5:7" x14ac:dyDescent="0.75">
      <c r="E388" t="s">
        <v>20</v>
      </c>
      <c r="F388">
        <v>2019</v>
      </c>
      <c r="G388">
        <v>173.07693</v>
      </c>
    </row>
    <row r="389" spans="5:7" x14ac:dyDescent="0.75">
      <c r="E389" t="s">
        <v>20</v>
      </c>
      <c r="F389">
        <v>2020</v>
      </c>
      <c r="G389">
        <v>159.09091000000001</v>
      </c>
    </row>
    <row r="390" spans="5:7" x14ac:dyDescent="0.75">
      <c r="E390" t="s">
        <v>20</v>
      </c>
      <c r="F390">
        <v>2021</v>
      </c>
      <c r="G390">
        <v>166.66666000000001</v>
      </c>
    </row>
    <row r="391" spans="5:7" x14ac:dyDescent="0.75">
      <c r="E391" t="s">
        <v>20</v>
      </c>
      <c r="F391">
        <v>2022</v>
      </c>
      <c r="G391">
        <v>170.21277000000001</v>
      </c>
    </row>
    <row r="392" spans="5:7" x14ac:dyDescent="0.75">
      <c r="E392" t="s">
        <v>20</v>
      </c>
      <c r="F392">
        <v>2023</v>
      </c>
      <c r="G392">
        <v>155.55556000000001</v>
      </c>
    </row>
    <row r="393" spans="5:7" x14ac:dyDescent="0.75">
      <c r="E393" t="s">
        <v>21</v>
      </c>
      <c r="F393">
        <v>2000</v>
      </c>
      <c r="G393">
        <v>625</v>
      </c>
    </row>
    <row r="394" spans="5:7" x14ac:dyDescent="0.75">
      <c r="E394" t="s">
        <v>21</v>
      </c>
      <c r="F394">
        <v>2001</v>
      </c>
      <c r="G394">
        <v>666.66669999999999</v>
      </c>
    </row>
    <row r="395" spans="5:7" x14ac:dyDescent="0.75">
      <c r="E395" t="s">
        <v>21</v>
      </c>
      <c r="F395">
        <v>2002</v>
      </c>
      <c r="G395">
        <v>666.66669999999999</v>
      </c>
    </row>
    <row r="396" spans="5:7" x14ac:dyDescent="0.75">
      <c r="E396" t="s">
        <v>21</v>
      </c>
      <c r="F396">
        <v>2003</v>
      </c>
      <c r="G396">
        <v>625</v>
      </c>
    </row>
    <row r="397" spans="5:7" x14ac:dyDescent="0.75">
      <c r="E397" t="s">
        <v>21</v>
      </c>
      <c r="F397">
        <v>2004</v>
      </c>
      <c r="G397">
        <v>625</v>
      </c>
    </row>
    <row r="398" spans="5:7" x14ac:dyDescent="0.75">
      <c r="E398" t="s">
        <v>21</v>
      </c>
      <c r="F398">
        <v>2005</v>
      </c>
      <c r="G398">
        <v>636.36365000000001</v>
      </c>
    </row>
    <row r="399" spans="5:7" x14ac:dyDescent="0.75">
      <c r="E399" t="s">
        <v>21</v>
      </c>
      <c r="F399">
        <v>2006</v>
      </c>
      <c r="G399">
        <v>666.66660000000002</v>
      </c>
    </row>
    <row r="400" spans="5:7" x14ac:dyDescent="0.75">
      <c r="E400" t="s">
        <v>21</v>
      </c>
      <c r="F400">
        <v>2007</v>
      </c>
      <c r="G400">
        <v>636.36365000000001</v>
      </c>
    </row>
    <row r="401" spans="5:7" x14ac:dyDescent="0.75">
      <c r="E401" t="s">
        <v>21</v>
      </c>
      <c r="F401">
        <v>2008</v>
      </c>
      <c r="G401">
        <v>652.17394999999999</v>
      </c>
    </row>
    <row r="402" spans="5:7" x14ac:dyDescent="0.75">
      <c r="E402" t="s">
        <v>21</v>
      </c>
      <c r="F402">
        <v>2009</v>
      </c>
      <c r="G402">
        <v>692.30773999999997</v>
      </c>
    </row>
    <row r="403" spans="5:7" x14ac:dyDescent="0.75">
      <c r="E403" t="s">
        <v>21</v>
      </c>
      <c r="F403">
        <v>2010</v>
      </c>
      <c r="G403">
        <v>636.36365000000001</v>
      </c>
    </row>
    <row r="404" spans="5:7" x14ac:dyDescent="0.75">
      <c r="E404" t="s">
        <v>21</v>
      </c>
      <c r="F404">
        <v>2011</v>
      </c>
      <c r="G404">
        <v>700</v>
      </c>
    </row>
    <row r="405" spans="5:7" x14ac:dyDescent="0.75">
      <c r="E405" t="s">
        <v>21</v>
      </c>
      <c r="F405">
        <v>2012</v>
      </c>
      <c r="G405">
        <v>600</v>
      </c>
    </row>
    <row r="406" spans="5:7" x14ac:dyDescent="0.75">
      <c r="E406" t="s">
        <v>21</v>
      </c>
      <c r="F406">
        <v>2013</v>
      </c>
      <c r="G406">
        <v>615.38463999999999</v>
      </c>
    </row>
    <row r="407" spans="5:7" x14ac:dyDescent="0.75">
      <c r="E407" t="s">
        <v>21</v>
      </c>
      <c r="F407">
        <v>2014</v>
      </c>
      <c r="G407">
        <v>647.05884000000003</v>
      </c>
    </row>
    <row r="408" spans="5:7" x14ac:dyDescent="0.75">
      <c r="E408" t="s">
        <v>21</v>
      </c>
      <c r="F408">
        <v>2015</v>
      </c>
      <c r="G408">
        <v>625</v>
      </c>
    </row>
    <row r="409" spans="5:7" x14ac:dyDescent="0.75">
      <c r="E409" t="s">
        <v>21</v>
      </c>
      <c r="F409">
        <v>2016</v>
      </c>
      <c r="G409">
        <v>666.66669999999999</v>
      </c>
    </row>
    <row r="410" spans="5:7" x14ac:dyDescent="0.75">
      <c r="E410" t="s">
        <v>21</v>
      </c>
      <c r="F410">
        <v>2017</v>
      </c>
      <c r="G410">
        <v>625</v>
      </c>
    </row>
    <row r="411" spans="5:7" x14ac:dyDescent="0.75">
      <c r="E411" t="s">
        <v>21</v>
      </c>
      <c r="F411">
        <v>2018</v>
      </c>
      <c r="G411">
        <v>631.57889999999998</v>
      </c>
    </row>
    <row r="412" spans="5:7" x14ac:dyDescent="0.75">
      <c r="E412" t="s">
        <v>21</v>
      </c>
      <c r="F412">
        <v>2019</v>
      </c>
      <c r="G412">
        <v>611.11109999999996</v>
      </c>
    </row>
    <row r="413" spans="5:7" x14ac:dyDescent="0.75">
      <c r="E413" t="s">
        <v>21</v>
      </c>
      <c r="F413">
        <v>2020</v>
      </c>
      <c r="G413">
        <v>595.95952999999997</v>
      </c>
    </row>
    <row r="414" spans="5:7" x14ac:dyDescent="0.75">
      <c r="E414" t="s">
        <v>21</v>
      </c>
      <c r="F414">
        <v>2021</v>
      </c>
      <c r="G414">
        <v>584.07079999999996</v>
      </c>
    </row>
    <row r="415" spans="5:7" x14ac:dyDescent="0.75">
      <c r="E415" t="s">
        <v>21</v>
      </c>
      <c r="F415">
        <v>2022</v>
      </c>
      <c r="G415">
        <v>595.95952999999997</v>
      </c>
    </row>
    <row r="416" spans="5:7" x14ac:dyDescent="0.75">
      <c r="E416" t="s">
        <v>21</v>
      </c>
      <c r="F416">
        <v>2023</v>
      </c>
      <c r="G416">
        <v>590</v>
      </c>
    </row>
    <row r="417" spans="5:7" x14ac:dyDescent="0.75">
      <c r="E417" t="s">
        <v>22</v>
      </c>
      <c r="F417">
        <v>2000</v>
      </c>
      <c r="G417">
        <v>22.346368999999999</v>
      </c>
    </row>
    <row r="418" spans="5:7" x14ac:dyDescent="0.75">
      <c r="E418" t="s">
        <v>22</v>
      </c>
      <c r="F418">
        <v>2001</v>
      </c>
      <c r="G418">
        <v>26.041668000000001</v>
      </c>
    </row>
    <row r="419" spans="5:7" x14ac:dyDescent="0.75">
      <c r="E419" t="s">
        <v>22</v>
      </c>
      <c r="F419">
        <v>2002</v>
      </c>
      <c r="G419">
        <v>22.935780000000001</v>
      </c>
    </row>
    <row r="420" spans="5:7" x14ac:dyDescent="0.75">
      <c r="E420" t="s">
        <v>22</v>
      </c>
      <c r="F420">
        <v>2003</v>
      </c>
      <c r="G420">
        <v>24</v>
      </c>
    </row>
    <row r="421" spans="5:7" x14ac:dyDescent="0.75">
      <c r="E421" t="s">
        <v>22</v>
      </c>
      <c r="F421">
        <v>2004</v>
      </c>
      <c r="G421">
        <v>25.751073999999999</v>
      </c>
    </row>
    <row r="422" spans="5:7" x14ac:dyDescent="0.75">
      <c r="E422" t="s">
        <v>22</v>
      </c>
      <c r="F422">
        <v>2005</v>
      </c>
      <c r="G422">
        <v>22.900763999999999</v>
      </c>
    </row>
    <row r="423" spans="5:7" x14ac:dyDescent="0.75">
      <c r="E423" t="s">
        <v>22</v>
      </c>
      <c r="F423">
        <v>2006</v>
      </c>
      <c r="G423">
        <v>24.608501</v>
      </c>
    </row>
    <row r="424" spans="5:7" x14ac:dyDescent="0.75">
      <c r="E424" t="s">
        <v>22</v>
      </c>
      <c r="F424">
        <v>2007</v>
      </c>
      <c r="G424">
        <v>23.112482</v>
      </c>
    </row>
    <row r="425" spans="5:7" x14ac:dyDescent="0.75">
      <c r="E425" t="s">
        <v>22</v>
      </c>
      <c r="F425">
        <v>2008</v>
      </c>
      <c r="G425">
        <v>23.222061</v>
      </c>
    </row>
    <row r="426" spans="5:7" x14ac:dyDescent="0.75">
      <c r="E426" t="s">
        <v>22</v>
      </c>
      <c r="F426">
        <v>2009</v>
      </c>
      <c r="G426">
        <v>23.088021999999999</v>
      </c>
    </row>
    <row r="427" spans="5:7" x14ac:dyDescent="0.75">
      <c r="E427" t="s">
        <v>22</v>
      </c>
      <c r="F427">
        <v>2010</v>
      </c>
      <c r="G427">
        <v>23.415977000000002</v>
      </c>
    </row>
    <row r="428" spans="5:7" x14ac:dyDescent="0.75">
      <c r="E428" t="s">
        <v>22</v>
      </c>
      <c r="F428">
        <v>2011</v>
      </c>
      <c r="G428">
        <v>24.390245</v>
      </c>
    </row>
    <row r="429" spans="5:7" x14ac:dyDescent="0.75">
      <c r="E429" t="s">
        <v>22</v>
      </c>
      <c r="F429">
        <v>2012</v>
      </c>
      <c r="G429">
        <v>23.738873000000002</v>
      </c>
    </row>
    <row r="430" spans="5:7" x14ac:dyDescent="0.75">
      <c r="E430" t="s">
        <v>22</v>
      </c>
      <c r="F430">
        <v>2013</v>
      </c>
      <c r="G430">
        <v>23.904382999999999</v>
      </c>
    </row>
    <row r="431" spans="5:7" x14ac:dyDescent="0.75">
      <c r="E431" t="s">
        <v>22</v>
      </c>
      <c r="F431">
        <v>2014</v>
      </c>
      <c r="G431">
        <v>23.776223999999999</v>
      </c>
    </row>
    <row r="432" spans="5:7" x14ac:dyDescent="0.75">
      <c r="E432" t="s">
        <v>22</v>
      </c>
      <c r="F432">
        <v>2015</v>
      </c>
      <c r="G432">
        <v>23.285900000000002</v>
      </c>
    </row>
    <row r="433" spans="5:7" x14ac:dyDescent="0.75">
      <c r="E433" t="s">
        <v>22</v>
      </c>
      <c r="F433">
        <v>2016</v>
      </c>
      <c r="G433">
        <v>24.111675000000002</v>
      </c>
    </row>
    <row r="434" spans="5:7" x14ac:dyDescent="0.75">
      <c r="E434" t="s">
        <v>22</v>
      </c>
      <c r="F434">
        <v>2017</v>
      </c>
      <c r="G434">
        <v>23.529413000000002</v>
      </c>
    </row>
    <row r="435" spans="5:7" x14ac:dyDescent="0.75">
      <c r="E435" t="s">
        <v>22</v>
      </c>
      <c r="F435">
        <v>2018</v>
      </c>
      <c r="G435">
        <v>23.222061</v>
      </c>
    </row>
    <row r="436" spans="5:7" x14ac:dyDescent="0.75">
      <c r="E436" t="s">
        <v>22</v>
      </c>
      <c r="F436">
        <v>2019</v>
      </c>
      <c r="G436">
        <v>24.277456000000001</v>
      </c>
    </row>
    <row r="437" spans="5:7" x14ac:dyDescent="0.75">
      <c r="E437" t="s">
        <v>22</v>
      </c>
      <c r="F437">
        <v>2020</v>
      </c>
      <c r="G437">
        <v>23.746701999999999</v>
      </c>
    </row>
    <row r="438" spans="5:7" x14ac:dyDescent="0.75">
      <c r="E438" t="s">
        <v>22</v>
      </c>
      <c r="F438">
        <v>2021</v>
      </c>
      <c r="G438">
        <v>24.029575000000001</v>
      </c>
    </row>
    <row r="439" spans="5:7" x14ac:dyDescent="0.75">
      <c r="E439" t="s">
        <v>22</v>
      </c>
      <c r="F439">
        <v>2022</v>
      </c>
      <c r="G439">
        <v>24.14113</v>
      </c>
    </row>
    <row r="440" spans="5:7" x14ac:dyDescent="0.75">
      <c r="E440" t="s">
        <v>22</v>
      </c>
      <c r="F440">
        <v>2023</v>
      </c>
      <c r="G440">
        <v>24.193549999999998</v>
      </c>
    </row>
    <row r="441" spans="5:7" x14ac:dyDescent="0.75">
      <c r="E441" t="s">
        <v>23</v>
      </c>
      <c r="F441">
        <v>2000</v>
      </c>
      <c r="G441">
        <v>368.55667</v>
      </c>
    </row>
    <row r="442" spans="5:7" x14ac:dyDescent="0.75">
      <c r="E442" t="s">
        <v>23</v>
      </c>
      <c r="F442">
        <v>2001</v>
      </c>
      <c r="G442">
        <v>345.95960000000002</v>
      </c>
    </row>
    <row r="443" spans="5:7" x14ac:dyDescent="0.75">
      <c r="E443" t="s">
        <v>23</v>
      </c>
      <c r="F443">
        <v>2002</v>
      </c>
      <c r="G443">
        <v>350.96154999999999</v>
      </c>
    </row>
    <row r="444" spans="5:7" x14ac:dyDescent="0.75">
      <c r="E444" t="s">
        <v>23</v>
      </c>
      <c r="F444">
        <v>2003</v>
      </c>
      <c r="G444">
        <v>404.15703999999999</v>
      </c>
    </row>
    <row r="445" spans="5:7" x14ac:dyDescent="0.75">
      <c r="E445" t="s">
        <v>23</v>
      </c>
      <c r="F445">
        <v>2004</v>
      </c>
      <c r="G445">
        <v>390.72845000000001</v>
      </c>
    </row>
    <row r="446" spans="5:7" x14ac:dyDescent="0.75">
      <c r="E446" t="s">
        <v>23</v>
      </c>
      <c r="F446">
        <v>2005</v>
      </c>
      <c r="G446">
        <v>443.76281999999998</v>
      </c>
    </row>
    <row r="447" spans="5:7" x14ac:dyDescent="0.75">
      <c r="E447" t="s">
        <v>23</v>
      </c>
      <c r="F447">
        <v>2006</v>
      </c>
      <c r="G447">
        <v>423.99997000000002</v>
      </c>
    </row>
    <row r="448" spans="5:7" x14ac:dyDescent="0.75">
      <c r="E448" t="s">
        <v>23</v>
      </c>
      <c r="F448">
        <v>2007</v>
      </c>
      <c r="G448">
        <v>424.63231999999999</v>
      </c>
    </row>
    <row r="449" spans="5:7" x14ac:dyDescent="0.75">
      <c r="E449" t="s">
        <v>23</v>
      </c>
      <c r="F449">
        <v>2008</v>
      </c>
      <c r="G449">
        <v>451.01352000000003</v>
      </c>
    </row>
    <row r="450" spans="5:7" x14ac:dyDescent="0.75">
      <c r="E450" t="s">
        <v>23</v>
      </c>
      <c r="F450">
        <v>2009</v>
      </c>
      <c r="G450">
        <v>465.37844999999999</v>
      </c>
    </row>
    <row r="451" spans="5:7" x14ac:dyDescent="0.75">
      <c r="E451" t="s">
        <v>23</v>
      </c>
      <c r="F451">
        <v>2010</v>
      </c>
      <c r="G451">
        <v>494.73682000000002</v>
      </c>
    </row>
    <row r="452" spans="5:7" x14ac:dyDescent="0.75">
      <c r="E452" t="s">
        <v>23</v>
      </c>
      <c r="F452">
        <v>2011</v>
      </c>
      <c r="G452">
        <v>493.65300000000002</v>
      </c>
    </row>
    <row r="453" spans="5:7" x14ac:dyDescent="0.75">
      <c r="E453" t="s">
        <v>23</v>
      </c>
      <c r="F453">
        <v>2012</v>
      </c>
      <c r="G453">
        <v>504.72336000000001</v>
      </c>
    </row>
    <row r="454" spans="5:7" x14ac:dyDescent="0.75">
      <c r="E454" t="s">
        <v>23</v>
      </c>
      <c r="F454">
        <v>2013</v>
      </c>
      <c r="G454">
        <v>495.51855</v>
      </c>
    </row>
    <row r="455" spans="5:7" x14ac:dyDescent="0.75">
      <c r="E455" t="s">
        <v>23</v>
      </c>
      <c r="F455">
        <v>2014</v>
      </c>
      <c r="G455">
        <v>530.12049999999999</v>
      </c>
    </row>
    <row r="456" spans="5:7" x14ac:dyDescent="0.75">
      <c r="E456" t="s">
        <v>23</v>
      </c>
      <c r="F456">
        <v>2015</v>
      </c>
      <c r="G456">
        <v>526.66660000000002</v>
      </c>
    </row>
    <row r="457" spans="5:7" x14ac:dyDescent="0.75">
      <c r="E457" t="s">
        <v>23</v>
      </c>
      <c r="F457">
        <v>2016</v>
      </c>
      <c r="G457">
        <v>588.17200000000003</v>
      </c>
    </row>
    <row r="458" spans="5:7" x14ac:dyDescent="0.75">
      <c r="E458" t="s">
        <v>23</v>
      </c>
      <c r="F458">
        <v>2017</v>
      </c>
      <c r="G458">
        <v>554.74450000000002</v>
      </c>
    </row>
    <row r="459" spans="5:7" x14ac:dyDescent="0.75">
      <c r="E459" t="s">
        <v>23</v>
      </c>
      <c r="F459">
        <v>2018</v>
      </c>
      <c r="G459">
        <v>523.90440000000001</v>
      </c>
    </row>
    <row r="460" spans="5:7" x14ac:dyDescent="0.75">
      <c r="E460" t="s">
        <v>23</v>
      </c>
      <c r="F460">
        <v>2019</v>
      </c>
      <c r="G460">
        <v>478.30279999999999</v>
      </c>
    </row>
    <row r="461" spans="5:7" x14ac:dyDescent="0.75">
      <c r="E461" t="s">
        <v>23</v>
      </c>
      <c r="F461">
        <v>2020</v>
      </c>
      <c r="G461">
        <v>483.93374999999997</v>
      </c>
    </row>
    <row r="462" spans="5:7" x14ac:dyDescent="0.75">
      <c r="E462" t="s">
        <v>23</v>
      </c>
      <c r="F462">
        <v>2021</v>
      </c>
      <c r="G462">
        <v>467.34129999999999</v>
      </c>
    </row>
    <row r="463" spans="5:7" x14ac:dyDescent="0.75">
      <c r="E463" t="s">
        <v>23</v>
      </c>
      <c r="F463">
        <v>2022</v>
      </c>
      <c r="G463">
        <v>485.86117999999999</v>
      </c>
    </row>
    <row r="464" spans="5:7" x14ac:dyDescent="0.75">
      <c r="E464" t="s">
        <v>23</v>
      </c>
      <c r="F464">
        <v>2023</v>
      </c>
      <c r="G464">
        <v>489.11223999999999</v>
      </c>
    </row>
    <row r="465" spans="5:7" x14ac:dyDescent="0.75">
      <c r="E465" t="s">
        <v>23</v>
      </c>
      <c r="F465">
        <v>2024</v>
      </c>
      <c r="G465">
        <v>468.01620000000003</v>
      </c>
    </row>
    <row r="466" spans="5:7" x14ac:dyDescent="0.75">
      <c r="E466" t="s">
        <v>24</v>
      </c>
      <c r="F466">
        <v>2000</v>
      </c>
      <c r="G466">
        <v>517.7373</v>
      </c>
    </row>
    <row r="467" spans="5:7" x14ac:dyDescent="0.75">
      <c r="E467" t="s">
        <v>24</v>
      </c>
      <c r="F467">
        <v>2001</v>
      </c>
      <c r="G467">
        <v>517.40355999999997</v>
      </c>
    </row>
    <row r="468" spans="5:7" x14ac:dyDescent="0.75">
      <c r="E468" t="s">
        <v>24</v>
      </c>
      <c r="F468">
        <v>2002</v>
      </c>
      <c r="G468">
        <v>515.29192999999998</v>
      </c>
    </row>
    <row r="469" spans="5:7" x14ac:dyDescent="0.75">
      <c r="E469" t="s">
        <v>24</v>
      </c>
      <c r="F469">
        <v>2003</v>
      </c>
      <c r="G469">
        <v>601.59717000000001</v>
      </c>
    </row>
    <row r="470" spans="5:7" x14ac:dyDescent="0.75">
      <c r="E470" t="s">
        <v>24</v>
      </c>
      <c r="F470">
        <v>2004</v>
      </c>
      <c r="G470">
        <v>534.17125999999996</v>
      </c>
    </row>
    <row r="471" spans="5:7" x14ac:dyDescent="0.75">
      <c r="E471" t="s">
        <v>24</v>
      </c>
      <c r="F471">
        <v>2005</v>
      </c>
      <c r="G471">
        <v>526.98413000000005</v>
      </c>
    </row>
    <row r="472" spans="5:7" x14ac:dyDescent="0.75">
      <c r="E472" t="s">
        <v>24</v>
      </c>
      <c r="F472">
        <v>2006</v>
      </c>
      <c r="G472">
        <v>562.82920000000001</v>
      </c>
    </row>
    <row r="473" spans="5:7" x14ac:dyDescent="0.75">
      <c r="E473" t="s">
        <v>24</v>
      </c>
      <c r="F473">
        <v>2007</v>
      </c>
      <c r="G473">
        <v>659.59249999999997</v>
      </c>
    </row>
    <row r="474" spans="5:7" x14ac:dyDescent="0.75">
      <c r="E474" t="s">
        <v>24</v>
      </c>
      <c r="F474">
        <v>2008</v>
      </c>
      <c r="G474">
        <v>671.43835000000001</v>
      </c>
    </row>
    <row r="475" spans="5:7" x14ac:dyDescent="0.75">
      <c r="E475" t="s">
        <v>24</v>
      </c>
      <c r="F475">
        <v>2009</v>
      </c>
      <c r="G475">
        <v>600.77520000000004</v>
      </c>
    </row>
    <row r="476" spans="5:7" x14ac:dyDescent="0.75">
      <c r="E476" t="s">
        <v>24</v>
      </c>
      <c r="F476">
        <v>2010</v>
      </c>
      <c r="G476">
        <v>531.01</v>
      </c>
    </row>
    <row r="477" spans="5:7" x14ac:dyDescent="0.75">
      <c r="E477" t="s">
        <v>24</v>
      </c>
      <c r="F477">
        <v>2011</v>
      </c>
      <c r="G477">
        <v>708.69280000000003</v>
      </c>
    </row>
    <row r="478" spans="5:7" x14ac:dyDescent="0.75">
      <c r="E478" t="s">
        <v>24</v>
      </c>
      <c r="F478">
        <v>2012</v>
      </c>
      <c r="G478">
        <v>700.21720000000005</v>
      </c>
    </row>
    <row r="479" spans="5:7" x14ac:dyDescent="0.75">
      <c r="E479" t="s">
        <v>24</v>
      </c>
      <c r="F479">
        <v>2013</v>
      </c>
      <c r="G479">
        <v>584.92755</v>
      </c>
    </row>
    <row r="480" spans="5:7" x14ac:dyDescent="0.75">
      <c r="E480" t="s">
        <v>24</v>
      </c>
      <c r="F480">
        <v>2014</v>
      </c>
      <c r="G480">
        <v>653.55255</v>
      </c>
    </row>
    <row r="481" spans="5:7" x14ac:dyDescent="0.75">
      <c r="E481" t="s">
        <v>24</v>
      </c>
      <c r="F481">
        <v>2015</v>
      </c>
      <c r="G481">
        <v>664.02919999999995</v>
      </c>
    </row>
    <row r="482" spans="5:7" x14ac:dyDescent="0.75">
      <c r="E482" t="s">
        <v>24</v>
      </c>
      <c r="F482">
        <v>2016</v>
      </c>
      <c r="G482">
        <v>685.48846000000003</v>
      </c>
    </row>
    <row r="483" spans="5:7" x14ac:dyDescent="0.75">
      <c r="E483" t="s">
        <v>24</v>
      </c>
      <c r="F483">
        <v>2017</v>
      </c>
      <c r="G483">
        <v>766.00980000000004</v>
      </c>
    </row>
    <row r="484" spans="5:7" x14ac:dyDescent="0.75">
      <c r="E484" t="s">
        <v>24</v>
      </c>
      <c r="F484">
        <v>2018</v>
      </c>
      <c r="G484">
        <v>660.72370000000001</v>
      </c>
    </row>
    <row r="485" spans="5:7" x14ac:dyDescent="0.75">
      <c r="E485" t="s">
        <v>24</v>
      </c>
      <c r="F485">
        <v>2019</v>
      </c>
      <c r="G485">
        <v>637.19866999999999</v>
      </c>
    </row>
    <row r="486" spans="5:7" x14ac:dyDescent="0.75">
      <c r="E486" t="s">
        <v>24</v>
      </c>
      <c r="F486">
        <v>2020</v>
      </c>
      <c r="G486">
        <v>711.13750000000005</v>
      </c>
    </row>
    <row r="487" spans="5:7" x14ac:dyDescent="0.75">
      <c r="E487" t="s">
        <v>24</v>
      </c>
      <c r="F487">
        <v>2021</v>
      </c>
      <c r="G487">
        <v>615.96960000000001</v>
      </c>
    </row>
    <row r="488" spans="5:7" x14ac:dyDescent="0.75">
      <c r="E488" t="s">
        <v>24</v>
      </c>
      <c r="F488">
        <v>2022</v>
      </c>
      <c r="G488">
        <v>683.18039999999996</v>
      </c>
    </row>
    <row r="489" spans="5:7" x14ac:dyDescent="0.75">
      <c r="E489" t="s">
        <v>24</v>
      </c>
      <c r="F489">
        <v>2023</v>
      </c>
      <c r="G489">
        <v>612.32950000000005</v>
      </c>
    </row>
    <row r="490" spans="5:7" x14ac:dyDescent="0.75">
      <c r="E490" t="s">
        <v>24</v>
      </c>
      <c r="F490">
        <v>2024</v>
      </c>
      <c r="G490">
        <v>638.04485999999997</v>
      </c>
    </row>
    <row r="491" spans="5:7" x14ac:dyDescent="0.75">
      <c r="E491" t="s">
        <v>25</v>
      </c>
      <c r="F491">
        <v>2000</v>
      </c>
      <c r="G491">
        <v>850.87725999999998</v>
      </c>
    </row>
    <row r="492" spans="5:7" x14ac:dyDescent="0.75">
      <c r="E492" t="s">
        <v>25</v>
      </c>
      <c r="F492">
        <v>2001</v>
      </c>
      <c r="G492">
        <v>849.5575</v>
      </c>
    </row>
    <row r="493" spans="5:7" x14ac:dyDescent="0.75">
      <c r="E493" t="s">
        <v>25</v>
      </c>
      <c r="F493">
        <v>2002</v>
      </c>
      <c r="G493">
        <v>852.17394999999999</v>
      </c>
    </row>
    <row r="494" spans="5:7" x14ac:dyDescent="0.75">
      <c r="E494" t="s">
        <v>25</v>
      </c>
      <c r="F494">
        <v>2003</v>
      </c>
      <c r="G494">
        <v>855.76919999999996</v>
      </c>
    </row>
    <row r="495" spans="5:7" x14ac:dyDescent="0.75">
      <c r="E495" t="s">
        <v>25</v>
      </c>
      <c r="F495">
        <v>2004</v>
      </c>
      <c r="G495">
        <v>845.36080000000004</v>
      </c>
    </row>
    <row r="496" spans="5:7" x14ac:dyDescent="0.75">
      <c r="E496" t="s">
        <v>25</v>
      </c>
      <c r="F496">
        <v>2005</v>
      </c>
      <c r="G496">
        <v>858.49066000000005</v>
      </c>
    </row>
    <row r="497" spans="5:7" x14ac:dyDescent="0.75">
      <c r="E497" t="s">
        <v>25</v>
      </c>
      <c r="F497">
        <v>2006</v>
      </c>
      <c r="G497">
        <v>858.58590000000004</v>
      </c>
    </row>
    <row r="498" spans="5:7" x14ac:dyDescent="0.75">
      <c r="E498" t="s">
        <v>25</v>
      </c>
      <c r="F498">
        <v>2007</v>
      </c>
      <c r="G498">
        <v>855.42169999999999</v>
      </c>
    </row>
    <row r="499" spans="5:7" x14ac:dyDescent="0.75">
      <c r="E499" t="s">
        <v>25</v>
      </c>
      <c r="F499">
        <v>2008</v>
      </c>
      <c r="G499">
        <v>857.14290000000005</v>
      </c>
    </row>
    <row r="500" spans="5:7" x14ac:dyDescent="0.75">
      <c r="E500" t="s">
        <v>25</v>
      </c>
      <c r="F500">
        <v>2009</v>
      </c>
      <c r="G500">
        <v>854.83870000000002</v>
      </c>
    </row>
    <row r="501" spans="5:7" x14ac:dyDescent="0.75">
      <c r="E501" t="s">
        <v>25</v>
      </c>
      <c r="F501">
        <v>2010</v>
      </c>
      <c r="G501">
        <v>849.05664000000002</v>
      </c>
    </row>
    <row r="502" spans="5:7" x14ac:dyDescent="0.75">
      <c r="E502" t="s">
        <v>25</v>
      </c>
      <c r="F502">
        <v>2011</v>
      </c>
      <c r="G502">
        <v>854.16669999999999</v>
      </c>
    </row>
    <row r="503" spans="5:7" x14ac:dyDescent="0.75">
      <c r="E503" t="s">
        <v>25</v>
      </c>
      <c r="F503">
        <v>2012</v>
      </c>
      <c r="G503">
        <v>800</v>
      </c>
    </row>
    <row r="504" spans="5:7" x14ac:dyDescent="0.75">
      <c r="E504" t="s">
        <v>25</v>
      </c>
      <c r="F504">
        <v>2013</v>
      </c>
      <c r="G504">
        <v>826.08690000000001</v>
      </c>
    </row>
    <row r="505" spans="5:7" x14ac:dyDescent="0.75">
      <c r="E505" t="s">
        <v>25</v>
      </c>
      <c r="F505">
        <v>2014</v>
      </c>
      <c r="G505">
        <v>852.81389999999999</v>
      </c>
    </row>
    <row r="506" spans="5:7" x14ac:dyDescent="0.75">
      <c r="E506" t="s">
        <v>25</v>
      </c>
      <c r="F506">
        <v>2015</v>
      </c>
      <c r="G506">
        <v>848.48486000000003</v>
      </c>
    </row>
    <row r="507" spans="5:7" x14ac:dyDescent="0.75">
      <c r="E507" t="s">
        <v>25</v>
      </c>
      <c r="F507">
        <v>2016</v>
      </c>
      <c r="G507">
        <v>858.73599999999999</v>
      </c>
    </row>
    <row r="508" spans="5:7" x14ac:dyDescent="0.75">
      <c r="E508" t="s">
        <v>25</v>
      </c>
      <c r="F508">
        <v>2017</v>
      </c>
      <c r="G508">
        <v>857.61584000000005</v>
      </c>
    </row>
    <row r="509" spans="5:7" x14ac:dyDescent="0.75">
      <c r="E509" t="s">
        <v>25</v>
      </c>
      <c r="F509">
        <v>2018</v>
      </c>
      <c r="G509">
        <v>855.30553999999995</v>
      </c>
    </row>
    <row r="510" spans="5:7" x14ac:dyDescent="0.75">
      <c r="E510" t="s">
        <v>25</v>
      </c>
      <c r="F510">
        <v>2019</v>
      </c>
      <c r="G510">
        <v>852.58965999999998</v>
      </c>
    </row>
    <row r="511" spans="5:7" x14ac:dyDescent="0.75">
      <c r="E511" t="s">
        <v>25</v>
      </c>
      <c r="F511">
        <v>2020</v>
      </c>
      <c r="G511">
        <v>848.62383999999997</v>
      </c>
    </row>
    <row r="512" spans="5:7" x14ac:dyDescent="0.75">
      <c r="E512" t="s">
        <v>25</v>
      </c>
      <c r="F512">
        <v>2021</v>
      </c>
      <c r="G512">
        <v>847.3895</v>
      </c>
    </row>
    <row r="513" spans="5:7" x14ac:dyDescent="0.75">
      <c r="E513" t="s">
        <v>25</v>
      </c>
      <c r="F513">
        <v>2022</v>
      </c>
      <c r="G513">
        <v>847.65629999999999</v>
      </c>
    </row>
    <row r="514" spans="5:7" x14ac:dyDescent="0.75">
      <c r="E514" t="s">
        <v>25</v>
      </c>
      <c r="F514">
        <v>2023</v>
      </c>
      <c r="G514">
        <v>849.42089999999996</v>
      </c>
    </row>
    <row r="515" spans="5:7" x14ac:dyDescent="0.75">
      <c r="E515" t="s">
        <v>26</v>
      </c>
      <c r="F515">
        <v>2000</v>
      </c>
      <c r="G515">
        <v>89.444869999999995</v>
      </c>
    </row>
    <row r="516" spans="5:7" x14ac:dyDescent="0.75">
      <c r="E516" t="s">
        <v>26</v>
      </c>
      <c r="F516">
        <v>2001</v>
      </c>
      <c r="G516">
        <v>105.73734</v>
      </c>
    </row>
    <row r="517" spans="5:7" x14ac:dyDescent="0.75">
      <c r="E517" t="s">
        <v>26</v>
      </c>
      <c r="F517">
        <v>2002</v>
      </c>
      <c r="G517">
        <v>97.304180000000002</v>
      </c>
    </row>
    <row r="518" spans="5:7" x14ac:dyDescent="0.75">
      <c r="E518" t="s">
        <v>26</v>
      </c>
      <c r="F518">
        <v>2003</v>
      </c>
      <c r="G518">
        <v>90.672079999999994</v>
      </c>
    </row>
    <row r="519" spans="5:7" x14ac:dyDescent="0.75">
      <c r="E519" t="s">
        <v>26</v>
      </c>
      <c r="F519">
        <v>2004</v>
      </c>
      <c r="G519">
        <v>101.78327</v>
      </c>
    </row>
    <row r="520" spans="5:7" x14ac:dyDescent="0.75">
      <c r="E520" t="s">
        <v>26</v>
      </c>
      <c r="F520">
        <v>2005</v>
      </c>
      <c r="G520">
        <v>98.891013999999998</v>
      </c>
    </row>
    <row r="521" spans="5:7" x14ac:dyDescent="0.75">
      <c r="E521" t="s">
        <v>26</v>
      </c>
      <c r="F521">
        <v>2006</v>
      </c>
      <c r="G521">
        <v>95.95899</v>
      </c>
    </row>
    <row r="522" spans="5:7" x14ac:dyDescent="0.75">
      <c r="E522" t="s">
        <v>26</v>
      </c>
      <c r="F522">
        <v>2007</v>
      </c>
      <c r="G522">
        <v>90.913179999999997</v>
      </c>
    </row>
    <row r="523" spans="5:7" x14ac:dyDescent="0.75">
      <c r="E523" t="s">
        <v>26</v>
      </c>
      <c r="F523">
        <v>2008</v>
      </c>
      <c r="G523">
        <v>113.62752999999999</v>
      </c>
    </row>
    <row r="524" spans="5:7" x14ac:dyDescent="0.75">
      <c r="E524" t="s">
        <v>26</v>
      </c>
      <c r="F524">
        <v>2009</v>
      </c>
      <c r="G524">
        <v>87.371560000000002</v>
      </c>
    </row>
    <row r="525" spans="5:7" x14ac:dyDescent="0.75">
      <c r="E525" t="s">
        <v>26</v>
      </c>
      <c r="F525">
        <v>2010</v>
      </c>
      <c r="G525">
        <v>114.15278000000001</v>
      </c>
    </row>
    <row r="526" spans="5:7" x14ac:dyDescent="0.75">
      <c r="E526" t="s">
        <v>26</v>
      </c>
      <c r="F526">
        <v>2011</v>
      </c>
      <c r="G526">
        <v>99.763050000000007</v>
      </c>
    </row>
    <row r="527" spans="5:7" x14ac:dyDescent="0.75">
      <c r="E527" t="s">
        <v>26</v>
      </c>
      <c r="F527">
        <v>2012</v>
      </c>
      <c r="G527">
        <v>128.34389999999999</v>
      </c>
    </row>
    <row r="528" spans="5:7" x14ac:dyDescent="0.75">
      <c r="E528" t="s">
        <v>26</v>
      </c>
      <c r="F528">
        <v>2013</v>
      </c>
      <c r="G528">
        <v>167.8433</v>
      </c>
    </row>
    <row r="529" spans="5:7" x14ac:dyDescent="0.75">
      <c r="E529" t="s">
        <v>26</v>
      </c>
      <c r="F529">
        <v>2014</v>
      </c>
      <c r="G529">
        <v>192.93879999999999</v>
      </c>
    </row>
    <row r="530" spans="5:7" x14ac:dyDescent="0.75">
      <c r="E530" t="s">
        <v>26</v>
      </c>
      <c r="F530">
        <v>2015</v>
      </c>
      <c r="G530">
        <v>188.6377</v>
      </c>
    </row>
    <row r="531" spans="5:7" x14ac:dyDescent="0.75">
      <c r="E531" t="s">
        <v>26</v>
      </c>
      <c r="F531">
        <v>2016</v>
      </c>
      <c r="G531">
        <v>149.64845</v>
      </c>
    </row>
    <row r="532" spans="5:7" x14ac:dyDescent="0.75">
      <c r="E532" t="s">
        <v>26</v>
      </c>
      <c r="F532">
        <v>2017</v>
      </c>
      <c r="G532">
        <v>155.87457000000001</v>
      </c>
    </row>
    <row r="533" spans="5:7" x14ac:dyDescent="0.75">
      <c r="E533" t="s">
        <v>26</v>
      </c>
      <c r="F533">
        <v>2018</v>
      </c>
      <c r="G533">
        <v>136.9494</v>
      </c>
    </row>
    <row r="534" spans="5:7" x14ac:dyDescent="0.75">
      <c r="E534" t="s">
        <v>26</v>
      </c>
      <c r="F534">
        <v>2019</v>
      </c>
      <c r="G534">
        <v>141.93233000000001</v>
      </c>
    </row>
    <row r="535" spans="5:7" x14ac:dyDescent="0.75">
      <c r="E535" t="s">
        <v>26</v>
      </c>
      <c r="F535">
        <v>2020</v>
      </c>
      <c r="G535">
        <v>133.35771</v>
      </c>
    </row>
    <row r="536" spans="5:7" x14ac:dyDescent="0.75">
      <c r="E536" t="s">
        <v>26</v>
      </c>
      <c r="F536">
        <v>2021</v>
      </c>
      <c r="G536">
        <v>168.05109999999999</v>
      </c>
    </row>
    <row r="537" spans="5:7" x14ac:dyDescent="0.75">
      <c r="E537" t="s">
        <v>26</v>
      </c>
      <c r="F537">
        <v>2022</v>
      </c>
      <c r="G537">
        <v>103.32709</v>
      </c>
    </row>
    <row r="538" spans="5:7" x14ac:dyDescent="0.75">
      <c r="E538" t="s">
        <v>26</v>
      </c>
      <c r="F538">
        <v>2023</v>
      </c>
      <c r="G538">
        <v>96.39573</v>
      </c>
    </row>
    <row r="539" spans="5:7" x14ac:dyDescent="0.75">
      <c r="E539" t="s">
        <v>26</v>
      </c>
      <c r="F539">
        <v>2024</v>
      </c>
      <c r="G539">
        <v>103.21229599999999</v>
      </c>
    </row>
    <row r="540" spans="5:7" x14ac:dyDescent="0.75">
      <c r="E540" t="s">
        <v>27</v>
      </c>
      <c r="F540">
        <v>2000</v>
      </c>
      <c r="G540">
        <v>901.57479999999998</v>
      </c>
    </row>
    <row r="541" spans="5:7" x14ac:dyDescent="0.75">
      <c r="E541" t="s">
        <v>27</v>
      </c>
      <c r="F541">
        <v>2001</v>
      </c>
      <c r="G541">
        <v>903.10077000000001</v>
      </c>
    </row>
    <row r="542" spans="5:7" x14ac:dyDescent="0.75">
      <c r="E542" t="s">
        <v>27</v>
      </c>
      <c r="F542">
        <v>2002</v>
      </c>
      <c r="G542">
        <v>904.05899999999997</v>
      </c>
    </row>
    <row r="543" spans="5:7" x14ac:dyDescent="0.75">
      <c r="E543" t="s">
        <v>27</v>
      </c>
      <c r="F543">
        <v>2003</v>
      </c>
      <c r="G543">
        <v>903.125</v>
      </c>
    </row>
    <row r="544" spans="5:7" x14ac:dyDescent="0.75">
      <c r="E544" t="s">
        <v>27</v>
      </c>
      <c r="F544">
        <v>2004</v>
      </c>
      <c r="G544">
        <v>901.84050000000002</v>
      </c>
    </row>
    <row r="545" spans="5:7" x14ac:dyDescent="0.75">
      <c r="E545" t="s">
        <v>27</v>
      </c>
      <c r="F545">
        <v>2005</v>
      </c>
      <c r="G545">
        <v>901.84050000000002</v>
      </c>
    </row>
    <row r="546" spans="5:7" x14ac:dyDescent="0.75">
      <c r="E546" t="s">
        <v>27</v>
      </c>
      <c r="F546">
        <v>2006</v>
      </c>
      <c r="G546">
        <v>903.03033000000005</v>
      </c>
    </row>
    <row r="547" spans="5:7" x14ac:dyDescent="0.75">
      <c r="E547" t="s">
        <v>27</v>
      </c>
      <c r="F547">
        <v>2007</v>
      </c>
      <c r="G547">
        <v>902.65485000000001</v>
      </c>
    </row>
    <row r="548" spans="5:7" x14ac:dyDescent="0.75">
      <c r="E548" t="s">
        <v>27</v>
      </c>
      <c r="F548">
        <v>2008</v>
      </c>
      <c r="G548">
        <v>903.50869999999998</v>
      </c>
    </row>
    <row r="549" spans="5:7" x14ac:dyDescent="0.75">
      <c r="E549" t="s">
        <v>27</v>
      </c>
      <c r="F549">
        <v>2009</v>
      </c>
      <c r="G549">
        <v>903.31493999999998</v>
      </c>
    </row>
    <row r="550" spans="5:7" x14ac:dyDescent="0.75">
      <c r="E550" t="s">
        <v>27</v>
      </c>
      <c r="F550">
        <v>2010</v>
      </c>
      <c r="G550">
        <v>902.37469999999996</v>
      </c>
    </row>
    <row r="551" spans="5:7" x14ac:dyDescent="0.75">
      <c r="E551" t="s">
        <v>27</v>
      </c>
      <c r="F551">
        <v>2011</v>
      </c>
      <c r="G551">
        <v>903.48519999999996</v>
      </c>
    </row>
    <row r="552" spans="5:7" x14ac:dyDescent="0.75">
      <c r="E552" t="s">
        <v>27</v>
      </c>
      <c r="F552">
        <v>2012</v>
      </c>
      <c r="G552">
        <v>903.30786000000001</v>
      </c>
    </row>
    <row r="553" spans="5:7" x14ac:dyDescent="0.75">
      <c r="E553" t="s">
        <v>27</v>
      </c>
      <c r="F553">
        <v>2013</v>
      </c>
      <c r="G553">
        <v>904.54539999999997</v>
      </c>
    </row>
    <row r="554" spans="5:7" x14ac:dyDescent="0.75">
      <c r="E554" t="s">
        <v>27</v>
      </c>
      <c r="F554">
        <v>2014</v>
      </c>
      <c r="G554">
        <v>904.44446000000005</v>
      </c>
    </row>
    <row r="555" spans="5:7" x14ac:dyDescent="0.75">
      <c r="E555" t="s">
        <v>27</v>
      </c>
      <c r="F555">
        <v>2015</v>
      </c>
      <c r="G555">
        <v>902.38099999999997</v>
      </c>
    </row>
    <row r="556" spans="5:7" x14ac:dyDescent="0.75">
      <c r="E556" t="s">
        <v>27</v>
      </c>
      <c r="F556">
        <v>2016</v>
      </c>
      <c r="G556">
        <v>901.63933999999995</v>
      </c>
    </row>
    <row r="557" spans="5:7" x14ac:dyDescent="0.75">
      <c r="E557" t="s">
        <v>27</v>
      </c>
      <c r="F557">
        <v>2017</v>
      </c>
      <c r="G557">
        <v>901.44230000000005</v>
      </c>
    </row>
    <row r="558" spans="5:7" x14ac:dyDescent="0.75">
      <c r="E558" t="s">
        <v>27</v>
      </c>
      <c r="F558">
        <v>2018</v>
      </c>
      <c r="G558">
        <v>902.32556</v>
      </c>
    </row>
    <row r="559" spans="5:7" x14ac:dyDescent="0.75">
      <c r="E559" t="s">
        <v>27</v>
      </c>
      <c r="F559">
        <v>2019</v>
      </c>
      <c r="G559">
        <v>896.55175999999994</v>
      </c>
    </row>
    <row r="560" spans="5:7" x14ac:dyDescent="0.75">
      <c r="E560" t="s">
        <v>27</v>
      </c>
      <c r="F560">
        <v>2020</v>
      </c>
      <c r="G560">
        <v>895.47040000000004</v>
      </c>
    </row>
    <row r="561" spans="5:7" x14ac:dyDescent="0.75">
      <c r="E561" t="s">
        <v>27</v>
      </c>
      <c r="F561">
        <v>2021</v>
      </c>
      <c r="G561">
        <v>894.73689999999999</v>
      </c>
    </row>
    <row r="562" spans="5:7" x14ac:dyDescent="0.75">
      <c r="E562" t="s">
        <v>27</v>
      </c>
      <c r="F562">
        <v>2022</v>
      </c>
      <c r="G562">
        <v>892.85720000000003</v>
      </c>
    </row>
    <row r="563" spans="5:7" x14ac:dyDescent="0.75">
      <c r="E563" t="s">
        <v>27</v>
      </c>
      <c r="F563">
        <v>2023</v>
      </c>
      <c r="G563">
        <v>892.66539999999998</v>
      </c>
    </row>
    <row r="564" spans="5:7" x14ac:dyDescent="0.75">
      <c r="E564" t="s">
        <v>28</v>
      </c>
      <c r="F564">
        <v>2000</v>
      </c>
      <c r="G564">
        <v>458.24097</v>
      </c>
    </row>
    <row r="565" spans="5:7" x14ac:dyDescent="0.75">
      <c r="E565" t="s">
        <v>28</v>
      </c>
      <c r="F565">
        <v>2001</v>
      </c>
      <c r="G565">
        <v>484.34625</v>
      </c>
    </row>
    <row r="566" spans="5:7" x14ac:dyDescent="0.75">
      <c r="E566" t="s">
        <v>28</v>
      </c>
      <c r="F566">
        <v>2002</v>
      </c>
      <c r="G566">
        <v>444.62923999999998</v>
      </c>
    </row>
    <row r="567" spans="5:7" x14ac:dyDescent="0.75">
      <c r="E567" t="s">
        <v>28</v>
      </c>
      <c r="F567">
        <v>2003</v>
      </c>
      <c r="G567">
        <v>492.90445</v>
      </c>
    </row>
    <row r="568" spans="5:7" x14ac:dyDescent="0.75">
      <c r="E568" t="s">
        <v>28</v>
      </c>
      <c r="F568">
        <v>2004</v>
      </c>
      <c r="G568">
        <v>493.71370000000002</v>
      </c>
    </row>
    <row r="569" spans="5:7" x14ac:dyDescent="0.75">
      <c r="E569" t="s">
        <v>28</v>
      </c>
      <c r="F569">
        <v>2005</v>
      </c>
      <c r="G569">
        <v>453.86194</v>
      </c>
    </row>
    <row r="570" spans="5:7" x14ac:dyDescent="0.75">
      <c r="E570" t="s">
        <v>28</v>
      </c>
      <c r="F570">
        <v>2006</v>
      </c>
      <c r="G570">
        <v>451.80459999999999</v>
      </c>
    </row>
    <row r="571" spans="5:7" x14ac:dyDescent="0.75">
      <c r="E571" t="s">
        <v>28</v>
      </c>
      <c r="F571">
        <v>2007</v>
      </c>
      <c r="G571">
        <v>558.61749999999995</v>
      </c>
    </row>
    <row r="572" spans="5:7" x14ac:dyDescent="0.75">
      <c r="E572" t="s">
        <v>28</v>
      </c>
      <c r="F572">
        <v>2008</v>
      </c>
      <c r="G572">
        <v>550.91030000000001</v>
      </c>
    </row>
    <row r="573" spans="5:7" x14ac:dyDescent="0.75">
      <c r="E573" t="s">
        <v>28</v>
      </c>
      <c r="F573">
        <v>2009</v>
      </c>
      <c r="G573">
        <v>528.48030000000006</v>
      </c>
    </row>
    <row r="574" spans="5:7" x14ac:dyDescent="0.75">
      <c r="E574" t="s">
        <v>28</v>
      </c>
      <c r="F574">
        <v>2010</v>
      </c>
      <c r="G574">
        <v>521.01025000000004</v>
      </c>
    </row>
    <row r="575" spans="5:7" x14ac:dyDescent="0.75">
      <c r="E575" t="s">
        <v>28</v>
      </c>
      <c r="F575">
        <v>2011</v>
      </c>
      <c r="G575">
        <v>577.66219999999998</v>
      </c>
    </row>
    <row r="576" spans="5:7" x14ac:dyDescent="0.75">
      <c r="E576" t="s">
        <v>28</v>
      </c>
      <c r="F576">
        <v>2012</v>
      </c>
      <c r="G576">
        <v>525.39819999999997</v>
      </c>
    </row>
    <row r="577" spans="5:7" x14ac:dyDescent="0.75">
      <c r="E577" t="s">
        <v>28</v>
      </c>
      <c r="F577">
        <v>2013</v>
      </c>
      <c r="G577">
        <v>487.44765999999998</v>
      </c>
    </row>
    <row r="578" spans="5:7" x14ac:dyDescent="0.75">
      <c r="E578" t="s">
        <v>28</v>
      </c>
      <c r="F578">
        <v>2014</v>
      </c>
      <c r="G578">
        <v>486.99918000000002</v>
      </c>
    </row>
    <row r="579" spans="5:7" x14ac:dyDescent="0.75">
      <c r="E579" t="s">
        <v>28</v>
      </c>
      <c r="F579">
        <v>2015</v>
      </c>
      <c r="G579">
        <v>494.55966000000001</v>
      </c>
    </row>
    <row r="580" spans="5:7" x14ac:dyDescent="0.75">
      <c r="E580" t="s">
        <v>28</v>
      </c>
      <c r="F580">
        <v>2016</v>
      </c>
      <c r="G580">
        <v>472.04135000000002</v>
      </c>
    </row>
    <row r="581" spans="5:7" x14ac:dyDescent="0.75">
      <c r="E581" t="s">
        <v>28</v>
      </c>
      <c r="F581">
        <v>2017</v>
      </c>
      <c r="G581">
        <v>502.89917000000003</v>
      </c>
    </row>
    <row r="582" spans="5:7" x14ac:dyDescent="0.75">
      <c r="E582" t="s">
        <v>28</v>
      </c>
      <c r="F582">
        <v>2018</v>
      </c>
      <c r="G582">
        <v>442.70049999999998</v>
      </c>
    </row>
    <row r="583" spans="5:7" x14ac:dyDescent="0.75">
      <c r="E583" t="s">
        <v>28</v>
      </c>
      <c r="F583">
        <v>2019</v>
      </c>
      <c r="G583">
        <v>438.70080000000002</v>
      </c>
    </row>
    <row r="584" spans="5:7" x14ac:dyDescent="0.75">
      <c r="E584" t="s">
        <v>28</v>
      </c>
      <c r="F584">
        <v>2020</v>
      </c>
      <c r="G584">
        <v>383.90634</v>
      </c>
    </row>
    <row r="585" spans="5:7" x14ac:dyDescent="0.75">
      <c r="E585" t="s">
        <v>28</v>
      </c>
      <c r="F585">
        <v>2021</v>
      </c>
      <c r="G585">
        <v>415.29012999999998</v>
      </c>
    </row>
    <row r="586" spans="5:7" x14ac:dyDescent="0.75">
      <c r="E586" t="s">
        <v>28</v>
      </c>
      <c r="F586">
        <v>2022</v>
      </c>
      <c r="G586">
        <v>476.33255000000003</v>
      </c>
    </row>
    <row r="587" spans="5:7" x14ac:dyDescent="0.75">
      <c r="E587" t="s">
        <v>28</v>
      </c>
      <c r="F587">
        <v>2023</v>
      </c>
      <c r="G587">
        <v>338.07029999999997</v>
      </c>
    </row>
    <row r="588" spans="5:7" x14ac:dyDescent="0.75">
      <c r="E588" t="s">
        <v>28</v>
      </c>
      <c r="F588">
        <v>2024</v>
      </c>
      <c r="G588">
        <v>264.20684999999997</v>
      </c>
    </row>
    <row r="589" spans="5:7" x14ac:dyDescent="0.75">
      <c r="E589" t="s">
        <v>29</v>
      </c>
      <c r="F589">
        <v>2000</v>
      </c>
      <c r="G589">
        <v>487.17950000000002</v>
      </c>
    </row>
    <row r="590" spans="5:7" x14ac:dyDescent="0.75">
      <c r="E590" t="s">
        <v>29</v>
      </c>
      <c r="F590">
        <v>2001</v>
      </c>
      <c r="G590">
        <v>555.55553999999995</v>
      </c>
    </row>
    <row r="591" spans="5:7" x14ac:dyDescent="0.75">
      <c r="E591" t="s">
        <v>29</v>
      </c>
      <c r="F591">
        <v>2002</v>
      </c>
      <c r="G591">
        <v>555.55553999999995</v>
      </c>
    </row>
    <row r="592" spans="5:7" x14ac:dyDescent="0.75">
      <c r="E592" t="s">
        <v>29</v>
      </c>
      <c r="F592">
        <v>2003</v>
      </c>
      <c r="G592">
        <v>511.11115000000001</v>
      </c>
    </row>
    <row r="593" spans="5:7" x14ac:dyDescent="0.75">
      <c r="E593" t="s">
        <v>29</v>
      </c>
      <c r="F593">
        <v>2004</v>
      </c>
      <c r="G593">
        <v>510.63828000000001</v>
      </c>
    </row>
    <row r="594" spans="5:7" x14ac:dyDescent="0.75">
      <c r="E594" t="s">
        <v>29</v>
      </c>
      <c r="F594">
        <v>2005</v>
      </c>
      <c r="G594">
        <v>538.46154999999999</v>
      </c>
    </row>
    <row r="595" spans="5:7" x14ac:dyDescent="0.75">
      <c r="E595" t="s">
        <v>29</v>
      </c>
      <c r="F595">
        <v>2006</v>
      </c>
      <c r="G595">
        <v>563.63634999999999</v>
      </c>
    </row>
    <row r="596" spans="5:7" x14ac:dyDescent="0.75">
      <c r="E596" t="s">
        <v>29</v>
      </c>
      <c r="F596">
        <v>2007</v>
      </c>
      <c r="G596">
        <v>540.98364000000004</v>
      </c>
    </row>
    <row r="597" spans="5:7" x14ac:dyDescent="0.75">
      <c r="E597" t="s">
        <v>29</v>
      </c>
      <c r="F597">
        <v>2008</v>
      </c>
      <c r="G597">
        <v>524.59014999999999</v>
      </c>
    </row>
    <row r="598" spans="5:7" x14ac:dyDescent="0.75">
      <c r="E598" t="s">
        <v>29</v>
      </c>
      <c r="F598">
        <v>2009</v>
      </c>
      <c r="G598">
        <v>542.85709999999995</v>
      </c>
    </row>
    <row r="599" spans="5:7" x14ac:dyDescent="0.75">
      <c r="E599" t="s">
        <v>29</v>
      </c>
      <c r="F599">
        <v>2010</v>
      </c>
      <c r="G599">
        <v>517.2414</v>
      </c>
    </row>
    <row r="600" spans="5:7" x14ac:dyDescent="0.75">
      <c r="E600" t="s">
        <v>29</v>
      </c>
      <c r="F600">
        <v>2011</v>
      </c>
      <c r="G600">
        <v>555.55553999999995</v>
      </c>
    </row>
    <row r="601" spans="5:7" x14ac:dyDescent="0.75">
      <c r="E601" t="s">
        <v>29</v>
      </c>
      <c r="F601">
        <v>2012</v>
      </c>
      <c r="G601">
        <v>546.875</v>
      </c>
    </row>
    <row r="602" spans="5:7" x14ac:dyDescent="0.75">
      <c r="E602" t="s">
        <v>29</v>
      </c>
      <c r="F602">
        <v>2013</v>
      </c>
      <c r="G602">
        <v>546.66669999999999</v>
      </c>
    </row>
    <row r="603" spans="5:7" x14ac:dyDescent="0.75">
      <c r="E603" t="s">
        <v>29</v>
      </c>
      <c r="F603">
        <v>2014</v>
      </c>
      <c r="G603">
        <v>579.54549999999995</v>
      </c>
    </row>
    <row r="604" spans="5:7" x14ac:dyDescent="0.75">
      <c r="E604" t="s">
        <v>29</v>
      </c>
      <c r="F604">
        <v>2015</v>
      </c>
      <c r="G604">
        <v>594.05944999999997</v>
      </c>
    </row>
    <row r="605" spans="5:7" x14ac:dyDescent="0.75">
      <c r="E605" t="s">
        <v>29</v>
      </c>
      <c r="F605">
        <v>2016</v>
      </c>
      <c r="G605">
        <v>555.55553999999995</v>
      </c>
    </row>
    <row r="606" spans="5:7" x14ac:dyDescent="0.75">
      <c r="E606" t="s">
        <v>29</v>
      </c>
      <c r="F606">
        <v>2017</v>
      </c>
      <c r="G606">
        <v>562.5</v>
      </c>
    </row>
    <row r="607" spans="5:7" x14ac:dyDescent="0.75">
      <c r="E607" t="s">
        <v>29</v>
      </c>
      <c r="F607">
        <v>2018</v>
      </c>
      <c r="G607">
        <v>566.84490000000005</v>
      </c>
    </row>
    <row r="608" spans="5:7" x14ac:dyDescent="0.75">
      <c r="E608" t="s">
        <v>29</v>
      </c>
      <c r="F608">
        <v>2019</v>
      </c>
      <c r="G608">
        <v>556.25</v>
      </c>
    </row>
    <row r="609" spans="5:7" x14ac:dyDescent="0.75">
      <c r="E609" t="s">
        <v>29</v>
      </c>
      <c r="F609">
        <v>2020</v>
      </c>
      <c r="G609">
        <v>547.16980000000001</v>
      </c>
    </row>
    <row r="610" spans="5:7" x14ac:dyDescent="0.75">
      <c r="E610" t="s">
        <v>29</v>
      </c>
      <c r="F610">
        <v>2021</v>
      </c>
      <c r="G610">
        <v>549.70759999999996</v>
      </c>
    </row>
    <row r="611" spans="5:7" x14ac:dyDescent="0.75">
      <c r="E611" t="s">
        <v>29</v>
      </c>
      <c r="F611">
        <v>2022</v>
      </c>
      <c r="G611">
        <v>568.04729999999995</v>
      </c>
    </row>
    <row r="612" spans="5:7" x14ac:dyDescent="0.75">
      <c r="E612" t="s">
        <v>29</v>
      </c>
      <c r="F612">
        <v>2023</v>
      </c>
      <c r="G612">
        <v>554.91327000000001</v>
      </c>
    </row>
    <row r="613" spans="5:7" x14ac:dyDescent="0.75">
      <c r="E613" t="s">
        <v>30</v>
      </c>
      <c r="F613">
        <v>2000</v>
      </c>
      <c r="G613">
        <v>0</v>
      </c>
    </row>
    <row r="614" spans="5:7" x14ac:dyDescent="0.75">
      <c r="E614" t="s">
        <v>30</v>
      </c>
      <c r="F614">
        <v>2001</v>
      </c>
      <c r="G614">
        <v>0</v>
      </c>
    </row>
    <row r="615" spans="5:7" x14ac:dyDescent="0.75">
      <c r="E615" t="s">
        <v>30</v>
      </c>
      <c r="F615">
        <v>2002</v>
      </c>
      <c r="G615">
        <v>0</v>
      </c>
    </row>
    <row r="616" spans="5:7" x14ac:dyDescent="0.75">
      <c r="E616" t="s">
        <v>30</v>
      </c>
      <c r="F616">
        <v>2003</v>
      </c>
      <c r="G616">
        <v>0</v>
      </c>
    </row>
    <row r="617" spans="5:7" x14ac:dyDescent="0.75">
      <c r="E617" t="s">
        <v>30</v>
      </c>
      <c r="F617">
        <v>2004</v>
      </c>
      <c r="G617">
        <v>0</v>
      </c>
    </row>
    <row r="618" spans="5:7" x14ac:dyDescent="0.75">
      <c r="E618" t="s">
        <v>30</v>
      </c>
      <c r="F618">
        <v>2005</v>
      </c>
      <c r="G618">
        <v>0</v>
      </c>
    </row>
    <row r="619" spans="5:7" x14ac:dyDescent="0.75">
      <c r="E619" t="s">
        <v>30</v>
      </c>
      <c r="F619">
        <v>2006</v>
      </c>
      <c r="G619">
        <v>0</v>
      </c>
    </row>
    <row r="620" spans="5:7" x14ac:dyDescent="0.75">
      <c r="E620" t="s">
        <v>30</v>
      </c>
      <c r="F620">
        <v>2007</v>
      </c>
      <c r="G620">
        <v>0</v>
      </c>
    </row>
    <row r="621" spans="5:7" x14ac:dyDescent="0.75">
      <c r="E621" t="s">
        <v>30</v>
      </c>
      <c r="F621">
        <v>2008</v>
      </c>
      <c r="G621">
        <v>0</v>
      </c>
    </row>
    <row r="622" spans="5:7" x14ac:dyDescent="0.75">
      <c r="E622" t="s">
        <v>30</v>
      </c>
      <c r="F622">
        <v>2009</v>
      </c>
      <c r="G622">
        <v>0</v>
      </c>
    </row>
    <row r="623" spans="5:7" x14ac:dyDescent="0.75">
      <c r="E623" t="s">
        <v>30</v>
      </c>
      <c r="F623">
        <v>2010</v>
      </c>
      <c r="G623">
        <v>62.5</v>
      </c>
    </row>
    <row r="624" spans="5:7" x14ac:dyDescent="0.75">
      <c r="E624" t="s">
        <v>30</v>
      </c>
      <c r="F624">
        <v>2011</v>
      </c>
      <c r="G624">
        <v>66.666663999999997</v>
      </c>
    </row>
    <row r="625" spans="5:7" x14ac:dyDescent="0.75">
      <c r="E625" t="s">
        <v>30</v>
      </c>
      <c r="F625">
        <v>2012</v>
      </c>
      <c r="G625">
        <v>0</v>
      </c>
    </row>
    <row r="626" spans="5:7" x14ac:dyDescent="0.75">
      <c r="E626" t="s">
        <v>30</v>
      </c>
      <c r="F626">
        <v>2013</v>
      </c>
      <c r="G626">
        <v>58.823529999999998</v>
      </c>
    </row>
    <row r="627" spans="5:7" x14ac:dyDescent="0.75">
      <c r="E627" t="s">
        <v>30</v>
      </c>
      <c r="F627">
        <v>2014</v>
      </c>
      <c r="G627">
        <v>111.11111</v>
      </c>
    </row>
    <row r="628" spans="5:7" x14ac:dyDescent="0.75">
      <c r="E628" t="s">
        <v>30</v>
      </c>
      <c r="F628">
        <v>2015</v>
      </c>
      <c r="G628">
        <v>111.11111</v>
      </c>
    </row>
    <row r="629" spans="5:7" x14ac:dyDescent="0.75">
      <c r="E629" t="s">
        <v>30</v>
      </c>
      <c r="F629">
        <v>2016</v>
      </c>
      <c r="G629">
        <v>55.555553000000003</v>
      </c>
    </row>
    <row r="630" spans="5:7" x14ac:dyDescent="0.75">
      <c r="E630" t="s">
        <v>30</v>
      </c>
      <c r="F630">
        <v>2017</v>
      </c>
      <c r="G630">
        <v>178.57142999999999</v>
      </c>
    </row>
    <row r="631" spans="5:7" x14ac:dyDescent="0.75">
      <c r="E631" t="s">
        <v>30</v>
      </c>
      <c r="F631">
        <v>2018</v>
      </c>
      <c r="G631">
        <v>228.57142999999999</v>
      </c>
    </row>
    <row r="632" spans="5:7" x14ac:dyDescent="0.75">
      <c r="E632" t="s">
        <v>30</v>
      </c>
      <c r="F632">
        <v>2019</v>
      </c>
      <c r="G632">
        <v>230.76924</v>
      </c>
    </row>
    <row r="633" spans="5:7" x14ac:dyDescent="0.75">
      <c r="E633" t="s">
        <v>30</v>
      </c>
      <c r="F633">
        <v>2020</v>
      </c>
      <c r="G633">
        <v>189.1892</v>
      </c>
    </row>
    <row r="634" spans="5:7" x14ac:dyDescent="0.75">
      <c r="E634" t="s">
        <v>30</v>
      </c>
      <c r="F634">
        <v>2021</v>
      </c>
      <c r="G634">
        <v>230.76924</v>
      </c>
    </row>
    <row r="635" spans="5:7" x14ac:dyDescent="0.75">
      <c r="E635" t="s">
        <v>30</v>
      </c>
      <c r="F635">
        <v>2022</v>
      </c>
      <c r="G635">
        <v>230.76924</v>
      </c>
    </row>
    <row r="636" spans="5:7" x14ac:dyDescent="0.75">
      <c r="E636" t="s">
        <v>30</v>
      </c>
      <c r="F636">
        <v>2023</v>
      </c>
      <c r="G636">
        <v>230.76924</v>
      </c>
    </row>
    <row r="637" spans="5:7" x14ac:dyDescent="0.75">
      <c r="E637" t="s">
        <v>32</v>
      </c>
      <c r="F637">
        <v>2000</v>
      </c>
      <c r="G637">
        <v>545.45450000000005</v>
      </c>
    </row>
    <row r="638" spans="5:7" x14ac:dyDescent="0.75">
      <c r="E638" t="s">
        <v>32</v>
      </c>
      <c r="F638">
        <v>2001</v>
      </c>
      <c r="G638">
        <v>571.42849999999999</v>
      </c>
    </row>
    <row r="639" spans="5:7" x14ac:dyDescent="0.75">
      <c r="E639" t="s">
        <v>32</v>
      </c>
      <c r="F639">
        <v>2002</v>
      </c>
      <c r="G639">
        <v>631.57899999999995</v>
      </c>
    </row>
    <row r="640" spans="5:7" x14ac:dyDescent="0.75">
      <c r="E640" t="s">
        <v>32</v>
      </c>
      <c r="F640">
        <v>2003</v>
      </c>
      <c r="G640">
        <v>609.375</v>
      </c>
    </row>
    <row r="641" spans="5:7" x14ac:dyDescent="0.75">
      <c r="E641" t="s">
        <v>32</v>
      </c>
      <c r="F641">
        <v>2004</v>
      </c>
      <c r="G641">
        <v>618.42110000000002</v>
      </c>
    </row>
    <row r="642" spans="5:7" x14ac:dyDescent="0.75">
      <c r="E642" t="s">
        <v>32</v>
      </c>
      <c r="F642">
        <v>2005</v>
      </c>
      <c r="G642">
        <v>621.05259999999998</v>
      </c>
    </row>
    <row r="643" spans="5:7" x14ac:dyDescent="0.75">
      <c r="E643" t="s">
        <v>32</v>
      </c>
      <c r="F643">
        <v>2006</v>
      </c>
      <c r="G643">
        <v>623.93164000000002</v>
      </c>
    </row>
    <row r="644" spans="5:7" x14ac:dyDescent="0.75">
      <c r="E644" t="s">
        <v>32</v>
      </c>
      <c r="F644">
        <v>2007</v>
      </c>
      <c r="G644">
        <v>624.16110000000003</v>
      </c>
    </row>
    <row r="645" spans="5:7" x14ac:dyDescent="0.75">
      <c r="E645" t="s">
        <v>32</v>
      </c>
      <c r="F645">
        <v>2008</v>
      </c>
      <c r="G645">
        <v>628.37836000000004</v>
      </c>
    </row>
    <row r="646" spans="5:7" x14ac:dyDescent="0.75">
      <c r="E646" t="s">
        <v>32</v>
      </c>
      <c r="F646">
        <v>2009</v>
      </c>
      <c r="G646">
        <v>634.92065000000002</v>
      </c>
    </row>
    <row r="647" spans="5:7" x14ac:dyDescent="0.75">
      <c r="E647" t="s">
        <v>32</v>
      </c>
      <c r="F647">
        <v>2010</v>
      </c>
      <c r="G647">
        <v>633.66330000000005</v>
      </c>
    </row>
    <row r="648" spans="5:7" x14ac:dyDescent="0.75">
      <c r="E648" t="s">
        <v>32</v>
      </c>
      <c r="F648">
        <v>2011</v>
      </c>
      <c r="G648">
        <v>622.64153999999996</v>
      </c>
    </row>
    <row r="649" spans="5:7" x14ac:dyDescent="0.75">
      <c r="E649" t="s">
        <v>32</v>
      </c>
      <c r="F649">
        <v>2012</v>
      </c>
      <c r="G649">
        <v>424.65753000000001</v>
      </c>
    </row>
    <row r="650" spans="5:7" x14ac:dyDescent="0.75">
      <c r="E650" t="s">
        <v>32</v>
      </c>
      <c r="F650">
        <v>2013</v>
      </c>
      <c r="G650">
        <v>314.91714000000002</v>
      </c>
    </row>
    <row r="651" spans="5:7" x14ac:dyDescent="0.75">
      <c r="E651" t="s">
        <v>32</v>
      </c>
      <c r="F651">
        <v>2014</v>
      </c>
      <c r="G651">
        <v>337.62056999999999</v>
      </c>
    </row>
    <row r="652" spans="5:7" x14ac:dyDescent="0.75">
      <c r="E652" t="s">
        <v>32</v>
      </c>
      <c r="F652">
        <v>2015</v>
      </c>
      <c r="G652">
        <v>480.34937000000002</v>
      </c>
    </row>
    <row r="653" spans="5:7" x14ac:dyDescent="0.75">
      <c r="E653" t="s">
        <v>32</v>
      </c>
      <c r="F653">
        <v>2016</v>
      </c>
      <c r="G653">
        <v>460.733</v>
      </c>
    </row>
    <row r="654" spans="5:7" x14ac:dyDescent="0.75">
      <c r="E654" t="s">
        <v>32</v>
      </c>
      <c r="F654">
        <v>2017</v>
      </c>
      <c r="G654">
        <v>512.40875000000005</v>
      </c>
    </row>
    <row r="655" spans="5:7" x14ac:dyDescent="0.75">
      <c r="E655" t="s">
        <v>32</v>
      </c>
      <c r="F655">
        <v>2018</v>
      </c>
      <c r="G655">
        <v>360.98129999999998</v>
      </c>
    </row>
    <row r="656" spans="5:7" x14ac:dyDescent="0.75">
      <c r="E656" t="s">
        <v>32</v>
      </c>
      <c r="F656">
        <v>2019</v>
      </c>
      <c r="G656">
        <v>436.94690000000003</v>
      </c>
    </row>
    <row r="657" spans="5:7" x14ac:dyDescent="0.75">
      <c r="E657" t="s">
        <v>32</v>
      </c>
      <c r="F657">
        <v>2020</v>
      </c>
      <c r="G657">
        <v>438.61610000000002</v>
      </c>
    </row>
    <row r="658" spans="5:7" x14ac:dyDescent="0.75">
      <c r="E658" t="s">
        <v>32</v>
      </c>
      <c r="F658">
        <v>2021</v>
      </c>
      <c r="G658">
        <v>356.1508</v>
      </c>
    </row>
    <row r="659" spans="5:7" x14ac:dyDescent="0.75">
      <c r="E659" t="s">
        <v>32</v>
      </c>
      <c r="F659">
        <v>2022</v>
      </c>
      <c r="G659">
        <v>305.16433999999998</v>
      </c>
    </row>
    <row r="660" spans="5:7" x14ac:dyDescent="0.75">
      <c r="E660" t="s">
        <v>32</v>
      </c>
      <c r="F660">
        <v>2023</v>
      </c>
      <c r="G660">
        <v>470.58823000000001</v>
      </c>
    </row>
    <row r="661" spans="5:7" x14ac:dyDescent="0.75">
      <c r="E661" t="s">
        <v>32</v>
      </c>
      <c r="F661">
        <v>2024</v>
      </c>
      <c r="G661">
        <v>497.45546999999999</v>
      </c>
    </row>
    <row r="662" spans="5:7" x14ac:dyDescent="0.75">
      <c r="E662" t="s">
        <v>33</v>
      </c>
      <c r="F662">
        <v>2000</v>
      </c>
      <c r="G662">
        <v>31.884058</v>
      </c>
    </row>
    <row r="663" spans="5:7" x14ac:dyDescent="0.75">
      <c r="E663" t="s">
        <v>33</v>
      </c>
      <c r="F663">
        <v>2001</v>
      </c>
      <c r="G663">
        <v>37.037036999999998</v>
      </c>
    </row>
    <row r="664" spans="5:7" x14ac:dyDescent="0.75">
      <c r="E664" t="s">
        <v>33</v>
      </c>
      <c r="F664">
        <v>2002</v>
      </c>
      <c r="G664">
        <v>45.871563000000002</v>
      </c>
    </row>
    <row r="665" spans="5:7" x14ac:dyDescent="0.75">
      <c r="E665" t="s">
        <v>33</v>
      </c>
      <c r="F665">
        <v>2003</v>
      </c>
      <c r="G665">
        <v>52.054794000000001</v>
      </c>
    </row>
    <row r="666" spans="5:7" x14ac:dyDescent="0.75">
      <c r="E666" t="s">
        <v>33</v>
      </c>
      <c r="F666">
        <v>2004</v>
      </c>
      <c r="G666">
        <v>54.054049999999997</v>
      </c>
    </row>
    <row r="667" spans="5:7" x14ac:dyDescent="0.75">
      <c r="E667" t="s">
        <v>33</v>
      </c>
      <c r="F667">
        <v>2005</v>
      </c>
      <c r="G667">
        <v>60.606059999999999</v>
      </c>
    </row>
    <row r="668" spans="5:7" x14ac:dyDescent="0.75">
      <c r="E668" t="s">
        <v>33</v>
      </c>
      <c r="F668">
        <v>2006</v>
      </c>
      <c r="G668">
        <v>120.55337</v>
      </c>
    </row>
    <row r="669" spans="5:7" x14ac:dyDescent="0.75">
      <c r="E669" t="s">
        <v>33</v>
      </c>
      <c r="F669">
        <v>2007</v>
      </c>
      <c r="G669">
        <v>199.61612</v>
      </c>
    </row>
    <row r="670" spans="5:7" x14ac:dyDescent="0.75">
      <c r="E670" t="s">
        <v>33</v>
      </c>
      <c r="F670">
        <v>2008</v>
      </c>
      <c r="G670">
        <v>193.26241999999999</v>
      </c>
    </row>
    <row r="671" spans="5:7" x14ac:dyDescent="0.75">
      <c r="E671" t="s">
        <v>33</v>
      </c>
      <c r="F671">
        <v>2009</v>
      </c>
      <c r="G671">
        <v>222.99652</v>
      </c>
    </row>
    <row r="672" spans="5:7" x14ac:dyDescent="0.75">
      <c r="E672" t="s">
        <v>33</v>
      </c>
      <c r="F672">
        <v>2010</v>
      </c>
      <c r="G672">
        <v>206.48464999999999</v>
      </c>
    </row>
    <row r="673" spans="5:7" x14ac:dyDescent="0.75">
      <c r="E673" t="s">
        <v>33</v>
      </c>
      <c r="F673">
        <v>2011</v>
      </c>
      <c r="G673">
        <v>192.17686</v>
      </c>
    </row>
    <row r="674" spans="5:7" x14ac:dyDescent="0.75">
      <c r="E674" t="s">
        <v>33</v>
      </c>
      <c r="F674">
        <v>2012</v>
      </c>
      <c r="G674">
        <v>167.58750000000001</v>
      </c>
    </row>
    <row r="675" spans="5:7" x14ac:dyDescent="0.75">
      <c r="E675" t="s">
        <v>33</v>
      </c>
      <c r="F675">
        <v>2013</v>
      </c>
      <c r="G675">
        <v>239.74762000000001</v>
      </c>
    </row>
    <row r="676" spans="5:7" x14ac:dyDescent="0.75">
      <c r="E676" t="s">
        <v>33</v>
      </c>
      <c r="F676">
        <v>2014</v>
      </c>
      <c r="G676">
        <v>281.5675</v>
      </c>
    </row>
    <row r="677" spans="5:7" x14ac:dyDescent="0.75">
      <c r="E677" t="s">
        <v>33</v>
      </c>
      <c r="F677">
        <v>2015</v>
      </c>
      <c r="G677">
        <v>336.68340000000001</v>
      </c>
    </row>
    <row r="678" spans="5:7" x14ac:dyDescent="0.75">
      <c r="E678" t="s">
        <v>33</v>
      </c>
      <c r="F678">
        <v>2016</v>
      </c>
      <c r="G678">
        <v>299.57805999999999</v>
      </c>
    </row>
    <row r="679" spans="5:7" x14ac:dyDescent="0.75">
      <c r="E679" t="s">
        <v>33</v>
      </c>
      <c r="F679">
        <v>2017</v>
      </c>
      <c r="G679">
        <v>288.19873000000001</v>
      </c>
    </row>
    <row r="680" spans="5:7" x14ac:dyDescent="0.75">
      <c r="E680" t="s">
        <v>33</v>
      </c>
      <c r="F680">
        <v>2018</v>
      </c>
      <c r="G680">
        <v>324.35595999999998</v>
      </c>
    </row>
    <row r="681" spans="5:7" x14ac:dyDescent="0.75">
      <c r="E681" t="s">
        <v>33</v>
      </c>
      <c r="F681">
        <v>2019</v>
      </c>
      <c r="G681">
        <v>305.55556999999999</v>
      </c>
    </row>
    <row r="682" spans="5:7" x14ac:dyDescent="0.75">
      <c r="E682" t="s">
        <v>33</v>
      </c>
      <c r="F682">
        <v>2020</v>
      </c>
      <c r="G682">
        <v>320.45452999999998</v>
      </c>
    </row>
    <row r="683" spans="5:7" x14ac:dyDescent="0.75">
      <c r="E683" t="s">
        <v>33</v>
      </c>
      <c r="F683">
        <v>2021</v>
      </c>
      <c r="G683">
        <v>298.45422000000002</v>
      </c>
    </row>
    <row r="684" spans="5:7" x14ac:dyDescent="0.75">
      <c r="E684" t="s">
        <v>33</v>
      </c>
      <c r="F684">
        <v>2022</v>
      </c>
      <c r="G684">
        <v>280.98160000000001</v>
      </c>
    </row>
    <row r="685" spans="5:7" x14ac:dyDescent="0.75">
      <c r="E685" t="s">
        <v>33</v>
      </c>
      <c r="F685">
        <v>2023</v>
      </c>
      <c r="G685">
        <v>285.71429999999998</v>
      </c>
    </row>
    <row r="686" spans="5:7" x14ac:dyDescent="0.75">
      <c r="E686" t="s">
        <v>34</v>
      </c>
      <c r="F686">
        <v>2000</v>
      </c>
      <c r="G686">
        <v>245.6858</v>
      </c>
    </row>
    <row r="687" spans="5:7" x14ac:dyDescent="0.75">
      <c r="E687" t="s">
        <v>34</v>
      </c>
      <c r="F687">
        <v>2001</v>
      </c>
      <c r="G687">
        <v>255.64854</v>
      </c>
    </row>
    <row r="688" spans="5:7" x14ac:dyDescent="0.75">
      <c r="E688" t="s">
        <v>34</v>
      </c>
      <c r="F688">
        <v>2002</v>
      </c>
      <c r="G688">
        <v>245.11913999999999</v>
      </c>
    </row>
    <row r="689" spans="5:7" x14ac:dyDescent="0.75">
      <c r="E689" t="s">
        <v>34</v>
      </c>
      <c r="F689">
        <v>2003</v>
      </c>
      <c r="G689">
        <v>251.63614000000001</v>
      </c>
    </row>
    <row r="690" spans="5:7" x14ac:dyDescent="0.75">
      <c r="E690" t="s">
        <v>34</v>
      </c>
      <c r="F690">
        <v>2004</v>
      </c>
      <c r="G690">
        <v>235.33835999999999</v>
      </c>
    </row>
    <row r="691" spans="5:7" x14ac:dyDescent="0.75">
      <c r="E691" t="s">
        <v>34</v>
      </c>
      <c r="F691">
        <v>2005</v>
      </c>
      <c r="G691">
        <v>225.01208</v>
      </c>
    </row>
    <row r="692" spans="5:7" x14ac:dyDescent="0.75">
      <c r="E692" t="s">
        <v>34</v>
      </c>
      <c r="F692">
        <v>2006</v>
      </c>
      <c r="G692">
        <v>216.50806</v>
      </c>
    </row>
    <row r="693" spans="5:7" x14ac:dyDescent="0.75">
      <c r="E693" t="s">
        <v>34</v>
      </c>
      <c r="F693">
        <v>2007</v>
      </c>
      <c r="G693">
        <v>227.7551</v>
      </c>
    </row>
    <row r="694" spans="5:7" x14ac:dyDescent="0.75">
      <c r="E694" t="s">
        <v>34</v>
      </c>
      <c r="F694">
        <v>2008</v>
      </c>
      <c r="G694">
        <v>213.47484</v>
      </c>
    </row>
    <row r="695" spans="5:7" x14ac:dyDescent="0.75">
      <c r="E695" t="s">
        <v>34</v>
      </c>
      <c r="F695">
        <v>2009</v>
      </c>
      <c r="G695">
        <v>204.32664</v>
      </c>
    </row>
    <row r="696" spans="5:7" x14ac:dyDescent="0.75">
      <c r="E696" t="s">
        <v>34</v>
      </c>
      <c r="F696">
        <v>2010</v>
      </c>
      <c r="G696">
        <v>214.78344999999999</v>
      </c>
    </row>
    <row r="697" spans="5:7" x14ac:dyDescent="0.75">
      <c r="E697" t="s">
        <v>34</v>
      </c>
      <c r="F697">
        <v>2011</v>
      </c>
      <c r="G697">
        <v>206.18234000000001</v>
      </c>
    </row>
    <row r="698" spans="5:7" x14ac:dyDescent="0.75">
      <c r="E698" t="s">
        <v>34</v>
      </c>
      <c r="F698">
        <v>2012</v>
      </c>
      <c r="G698">
        <v>193.38927000000001</v>
      </c>
    </row>
    <row r="699" spans="5:7" x14ac:dyDescent="0.75">
      <c r="E699" t="s">
        <v>34</v>
      </c>
      <c r="F699">
        <v>2013</v>
      </c>
      <c r="G699">
        <v>186.96334999999999</v>
      </c>
    </row>
    <row r="700" spans="5:7" x14ac:dyDescent="0.75">
      <c r="E700" t="s">
        <v>34</v>
      </c>
      <c r="F700">
        <v>2014</v>
      </c>
      <c r="G700">
        <v>188.86014</v>
      </c>
    </row>
    <row r="701" spans="5:7" x14ac:dyDescent="0.75">
      <c r="E701" t="s">
        <v>34</v>
      </c>
      <c r="F701">
        <v>2015</v>
      </c>
      <c r="G701">
        <v>184.36497</v>
      </c>
    </row>
    <row r="702" spans="5:7" x14ac:dyDescent="0.75">
      <c r="E702" t="s">
        <v>34</v>
      </c>
      <c r="F702">
        <v>2016</v>
      </c>
      <c r="G702">
        <v>180.678</v>
      </c>
    </row>
    <row r="703" spans="5:7" x14ac:dyDescent="0.75">
      <c r="E703" t="s">
        <v>34</v>
      </c>
      <c r="F703">
        <v>2017</v>
      </c>
      <c r="G703">
        <v>172.01057</v>
      </c>
    </row>
    <row r="704" spans="5:7" x14ac:dyDescent="0.75">
      <c r="E704" t="s">
        <v>34</v>
      </c>
      <c r="F704">
        <v>2018</v>
      </c>
      <c r="G704">
        <v>170.79107999999999</v>
      </c>
    </row>
    <row r="705" spans="5:7" x14ac:dyDescent="0.75">
      <c r="E705" t="s">
        <v>34</v>
      </c>
      <c r="F705">
        <v>2019</v>
      </c>
      <c r="G705">
        <v>169.916</v>
      </c>
    </row>
    <row r="706" spans="5:7" x14ac:dyDescent="0.75">
      <c r="E706" t="s">
        <v>34</v>
      </c>
      <c r="F706">
        <v>2020</v>
      </c>
      <c r="G706">
        <v>160.49853999999999</v>
      </c>
    </row>
    <row r="707" spans="5:7" x14ac:dyDescent="0.75">
      <c r="E707" t="s">
        <v>34</v>
      </c>
      <c r="F707">
        <v>2021</v>
      </c>
      <c r="G707">
        <v>163.00218000000001</v>
      </c>
    </row>
    <row r="708" spans="5:7" x14ac:dyDescent="0.75">
      <c r="E708" t="s">
        <v>34</v>
      </c>
      <c r="F708">
        <v>2022</v>
      </c>
      <c r="G708">
        <v>156.79489000000001</v>
      </c>
    </row>
    <row r="709" spans="5:7" x14ac:dyDescent="0.75">
      <c r="E709" t="s">
        <v>34</v>
      </c>
      <c r="F709">
        <v>2023</v>
      </c>
      <c r="G709">
        <v>165.14789999999999</v>
      </c>
    </row>
    <row r="710" spans="5:7" x14ac:dyDescent="0.75">
      <c r="E710" t="s">
        <v>34</v>
      </c>
      <c r="F710">
        <v>2024</v>
      </c>
      <c r="G710">
        <v>174.81424999999999</v>
      </c>
    </row>
    <row r="711" spans="5:7" x14ac:dyDescent="0.75">
      <c r="E711" t="s">
        <v>31</v>
      </c>
      <c r="F711">
        <v>2000</v>
      </c>
      <c r="G711">
        <v>600</v>
      </c>
    </row>
    <row r="712" spans="5:7" x14ac:dyDescent="0.75">
      <c r="E712" t="s">
        <v>31</v>
      </c>
      <c r="F712">
        <v>2001</v>
      </c>
      <c r="G712">
        <v>647.05884000000003</v>
      </c>
    </row>
    <row r="713" spans="5:7" x14ac:dyDescent="0.75">
      <c r="E713" t="s">
        <v>31</v>
      </c>
      <c r="F713">
        <v>2002</v>
      </c>
      <c r="G713">
        <v>631.57889999999998</v>
      </c>
    </row>
    <row r="714" spans="5:7" x14ac:dyDescent="0.75">
      <c r="E714" t="s">
        <v>31</v>
      </c>
      <c r="F714">
        <v>2003</v>
      </c>
      <c r="G714">
        <v>684.21050000000002</v>
      </c>
    </row>
    <row r="715" spans="5:7" x14ac:dyDescent="0.75">
      <c r="E715" t="s">
        <v>31</v>
      </c>
      <c r="F715">
        <v>2004</v>
      </c>
      <c r="G715">
        <v>636.36365000000001</v>
      </c>
    </row>
    <row r="716" spans="5:7" x14ac:dyDescent="0.75">
      <c r="E716" t="s">
        <v>31</v>
      </c>
      <c r="F716">
        <v>2005</v>
      </c>
      <c r="G716">
        <v>625.00005999999996</v>
      </c>
    </row>
    <row r="717" spans="5:7" x14ac:dyDescent="0.75">
      <c r="E717" t="s">
        <v>31</v>
      </c>
      <c r="F717">
        <v>2006</v>
      </c>
      <c r="G717">
        <v>640</v>
      </c>
    </row>
    <row r="718" spans="5:7" x14ac:dyDescent="0.75">
      <c r="E718" t="s">
        <v>31</v>
      </c>
      <c r="F718">
        <v>2007</v>
      </c>
      <c r="G718">
        <v>629.62963999999999</v>
      </c>
    </row>
    <row r="719" spans="5:7" x14ac:dyDescent="0.75">
      <c r="E719" t="s">
        <v>31</v>
      </c>
      <c r="F719">
        <v>2008</v>
      </c>
      <c r="G719">
        <v>620.68970000000002</v>
      </c>
    </row>
    <row r="720" spans="5:7" x14ac:dyDescent="0.75">
      <c r="E720" t="s">
        <v>31</v>
      </c>
      <c r="F720">
        <v>2009</v>
      </c>
      <c r="G720">
        <v>645.16129999999998</v>
      </c>
    </row>
    <row r="721" spans="5:7" x14ac:dyDescent="0.75">
      <c r="E721" t="s">
        <v>31</v>
      </c>
      <c r="F721">
        <v>2010</v>
      </c>
      <c r="G721">
        <v>647.05884000000003</v>
      </c>
    </row>
    <row r="722" spans="5:7" x14ac:dyDescent="0.75">
      <c r="E722" t="s">
        <v>31</v>
      </c>
      <c r="F722">
        <v>2011</v>
      </c>
      <c r="G722">
        <v>594.59460000000001</v>
      </c>
    </row>
    <row r="723" spans="5:7" x14ac:dyDescent="0.75">
      <c r="E723" t="s">
        <v>31</v>
      </c>
      <c r="F723">
        <v>2012</v>
      </c>
      <c r="G723">
        <v>526.31579999999997</v>
      </c>
    </row>
    <row r="724" spans="5:7" x14ac:dyDescent="0.75">
      <c r="E724" t="s">
        <v>31</v>
      </c>
      <c r="F724">
        <v>2013</v>
      </c>
      <c r="G724">
        <v>512.19510000000002</v>
      </c>
    </row>
    <row r="725" spans="5:7" x14ac:dyDescent="0.75">
      <c r="E725" t="s">
        <v>31</v>
      </c>
      <c r="F725">
        <v>2014</v>
      </c>
      <c r="G725">
        <v>511.62790000000001</v>
      </c>
    </row>
    <row r="726" spans="5:7" x14ac:dyDescent="0.75">
      <c r="E726" t="s">
        <v>31</v>
      </c>
      <c r="F726">
        <v>2015</v>
      </c>
      <c r="G726">
        <v>511.62790000000001</v>
      </c>
    </row>
    <row r="727" spans="5:7" x14ac:dyDescent="0.75">
      <c r="E727" t="s">
        <v>31</v>
      </c>
      <c r="F727">
        <v>2016</v>
      </c>
      <c r="G727">
        <v>533.33330000000001</v>
      </c>
    </row>
    <row r="728" spans="5:7" x14ac:dyDescent="0.75">
      <c r="E728" t="s">
        <v>31</v>
      </c>
      <c r="F728">
        <v>2017</v>
      </c>
      <c r="G728">
        <v>534.88369999999998</v>
      </c>
    </row>
    <row r="729" spans="5:7" x14ac:dyDescent="0.75">
      <c r="E729" t="s">
        <v>31</v>
      </c>
      <c r="F729">
        <v>2018</v>
      </c>
      <c r="G729">
        <v>511.62790000000001</v>
      </c>
    </row>
    <row r="730" spans="5:7" x14ac:dyDescent="0.75">
      <c r="E730" t="s">
        <v>31</v>
      </c>
      <c r="F730">
        <v>2019</v>
      </c>
      <c r="G730">
        <v>545.45450000000005</v>
      </c>
    </row>
    <row r="731" spans="5:7" x14ac:dyDescent="0.75">
      <c r="E731" t="s">
        <v>31</v>
      </c>
      <c r="F731">
        <v>2020</v>
      </c>
      <c r="G731">
        <v>547.6191</v>
      </c>
    </row>
    <row r="732" spans="5:7" x14ac:dyDescent="0.75">
      <c r="E732" t="s">
        <v>31</v>
      </c>
      <c r="F732">
        <v>2021</v>
      </c>
      <c r="G732">
        <v>534.88369999999998</v>
      </c>
    </row>
    <row r="733" spans="5:7" x14ac:dyDescent="0.75">
      <c r="E733" t="s">
        <v>31</v>
      </c>
      <c r="F733">
        <v>2022</v>
      </c>
      <c r="G733">
        <v>480</v>
      </c>
    </row>
    <row r="734" spans="5:7" x14ac:dyDescent="0.75">
      <c r="E734" t="s">
        <v>35</v>
      </c>
      <c r="F734">
        <v>2000</v>
      </c>
      <c r="G734">
        <v>100</v>
      </c>
    </row>
    <row r="735" spans="5:7" x14ac:dyDescent="0.75">
      <c r="E735" t="s">
        <v>35</v>
      </c>
      <c r="F735">
        <v>2001</v>
      </c>
      <c r="G735">
        <v>181.81818000000001</v>
      </c>
    </row>
    <row r="736" spans="5:7" x14ac:dyDescent="0.75">
      <c r="E736" t="s">
        <v>35</v>
      </c>
      <c r="F736">
        <v>2002</v>
      </c>
      <c r="G736">
        <v>181.81818000000001</v>
      </c>
    </row>
    <row r="737" spans="5:7" x14ac:dyDescent="0.75">
      <c r="E737" t="s">
        <v>35</v>
      </c>
      <c r="F737">
        <v>2003</v>
      </c>
      <c r="G737">
        <v>181.81818000000001</v>
      </c>
    </row>
    <row r="738" spans="5:7" x14ac:dyDescent="0.75">
      <c r="E738" t="s">
        <v>35</v>
      </c>
      <c r="F738">
        <v>2004</v>
      </c>
      <c r="G738">
        <v>133.33332999999999</v>
      </c>
    </row>
    <row r="739" spans="5:7" x14ac:dyDescent="0.75">
      <c r="E739" t="s">
        <v>35</v>
      </c>
      <c r="F739">
        <v>2005</v>
      </c>
      <c r="G739">
        <v>125</v>
      </c>
    </row>
    <row r="740" spans="5:7" x14ac:dyDescent="0.75">
      <c r="E740" t="s">
        <v>35</v>
      </c>
      <c r="F740">
        <v>2006</v>
      </c>
      <c r="G740">
        <v>117.64706</v>
      </c>
    </row>
    <row r="741" spans="5:7" x14ac:dyDescent="0.75">
      <c r="E741" t="s">
        <v>35</v>
      </c>
      <c r="F741">
        <v>2007</v>
      </c>
      <c r="G741">
        <v>62.5</v>
      </c>
    </row>
    <row r="742" spans="5:7" x14ac:dyDescent="0.75">
      <c r="E742" t="s">
        <v>35</v>
      </c>
      <c r="F742">
        <v>2008</v>
      </c>
      <c r="G742">
        <v>62.5</v>
      </c>
    </row>
    <row r="743" spans="5:7" x14ac:dyDescent="0.75">
      <c r="E743" t="s">
        <v>35</v>
      </c>
      <c r="F743">
        <v>2009</v>
      </c>
      <c r="G743">
        <v>62.5</v>
      </c>
    </row>
    <row r="744" spans="5:7" x14ac:dyDescent="0.75">
      <c r="E744" t="s">
        <v>35</v>
      </c>
      <c r="F744">
        <v>2010</v>
      </c>
      <c r="G744">
        <v>125</v>
      </c>
    </row>
    <row r="745" spans="5:7" x14ac:dyDescent="0.75">
      <c r="E745" t="s">
        <v>35</v>
      </c>
      <c r="F745">
        <v>2011</v>
      </c>
      <c r="G745">
        <v>111.11111</v>
      </c>
    </row>
    <row r="746" spans="5:7" x14ac:dyDescent="0.75">
      <c r="E746" t="s">
        <v>35</v>
      </c>
      <c r="F746">
        <v>2012</v>
      </c>
      <c r="G746">
        <v>111.11111</v>
      </c>
    </row>
    <row r="747" spans="5:7" x14ac:dyDescent="0.75">
      <c r="E747" t="s">
        <v>35</v>
      </c>
      <c r="F747">
        <v>2013</v>
      </c>
      <c r="G747">
        <v>0</v>
      </c>
    </row>
    <row r="748" spans="5:7" x14ac:dyDescent="0.75">
      <c r="E748" t="s">
        <v>35</v>
      </c>
      <c r="F748">
        <v>2014</v>
      </c>
      <c r="G748">
        <v>0</v>
      </c>
    </row>
    <row r="749" spans="5:7" x14ac:dyDescent="0.75">
      <c r="E749" t="s">
        <v>35</v>
      </c>
      <c r="F749">
        <v>2015</v>
      </c>
      <c r="G749">
        <v>0</v>
      </c>
    </row>
    <row r="750" spans="5:7" x14ac:dyDescent="0.75">
      <c r="E750" t="s">
        <v>35</v>
      </c>
      <c r="F750">
        <v>2016</v>
      </c>
      <c r="G750">
        <v>0</v>
      </c>
    </row>
    <row r="751" spans="5:7" x14ac:dyDescent="0.75">
      <c r="E751" t="s">
        <v>35</v>
      </c>
      <c r="F751">
        <v>2017</v>
      </c>
      <c r="G751">
        <v>0</v>
      </c>
    </row>
    <row r="752" spans="5:7" x14ac:dyDescent="0.75">
      <c r="E752" t="s">
        <v>35</v>
      </c>
      <c r="F752">
        <v>2018</v>
      </c>
      <c r="G752">
        <v>0</v>
      </c>
    </row>
    <row r="753" spans="5:7" x14ac:dyDescent="0.75">
      <c r="E753" t="s">
        <v>35</v>
      </c>
      <c r="F753">
        <v>2019</v>
      </c>
      <c r="G753">
        <v>0</v>
      </c>
    </row>
    <row r="754" spans="5:7" x14ac:dyDescent="0.75">
      <c r="E754" t="s">
        <v>35</v>
      </c>
      <c r="F754">
        <v>2020</v>
      </c>
      <c r="G754">
        <v>0</v>
      </c>
    </row>
    <row r="755" spans="5:7" x14ac:dyDescent="0.75">
      <c r="E755" t="s">
        <v>35</v>
      </c>
      <c r="F755">
        <v>2021</v>
      </c>
      <c r="G755">
        <v>0</v>
      </c>
    </row>
    <row r="756" spans="5:7" x14ac:dyDescent="0.75">
      <c r="E756" t="s">
        <v>35</v>
      </c>
      <c r="F756">
        <v>2022</v>
      </c>
      <c r="G756">
        <v>0</v>
      </c>
    </row>
    <row r="757" spans="5:7" x14ac:dyDescent="0.75">
      <c r="E757" t="s">
        <v>36</v>
      </c>
      <c r="F757">
        <v>2000</v>
      </c>
      <c r="G757">
        <v>666.66660000000002</v>
      </c>
    </row>
    <row r="758" spans="5:7" x14ac:dyDescent="0.75">
      <c r="E758" t="s">
        <v>36</v>
      </c>
      <c r="F758">
        <v>2001</v>
      </c>
      <c r="G758">
        <v>700</v>
      </c>
    </row>
    <row r="759" spans="5:7" x14ac:dyDescent="0.75">
      <c r="E759" t="s">
        <v>36</v>
      </c>
      <c r="F759">
        <v>2002</v>
      </c>
      <c r="G759">
        <v>700</v>
      </c>
    </row>
    <row r="760" spans="5:7" x14ac:dyDescent="0.75">
      <c r="E760" t="s">
        <v>36</v>
      </c>
      <c r="F760">
        <v>2003</v>
      </c>
      <c r="G760">
        <v>636.36365000000001</v>
      </c>
    </row>
    <row r="761" spans="5:7" x14ac:dyDescent="0.75">
      <c r="E761" t="s">
        <v>36</v>
      </c>
      <c r="F761">
        <v>2004</v>
      </c>
      <c r="G761">
        <v>666.66669999999999</v>
      </c>
    </row>
    <row r="762" spans="5:7" x14ac:dyDescent="0.75">
      <c r="E762" t="s">
        <v>36</v>
      </c>
      <c r="F762">
        <v>2005</v>
      </c>
      <c r="G762">
        <v>666.66669999999999</v>
      </c>
    </row>
    <row r="763" spans="5:7" x14ac:dyDescent="0.75">
      <c r="E763" t="s">
        <v>36</v>
      </c>
      <c r="F763">
        <v>2006</v>
      </c>
      <c r="G763">
        <v>666.66669999999999</v>
      </c>
    </row>
    <row r="764" spans="5:7" x14ac:dyDescent="0.75">
      <c r="E764" t="s">
        <v>36</v>
      </c>
      <c r="F764">
        <v>2007</v>
      </c>
      <c r="G764">
        <v>666.66669999999999</v>
      </c>
    </row>
    <row r="765" spans="5:7" x14ac:dyDescent="0.75">
      <c r="E765" t="s">
        <v>36</v>
      </c>
      <c r="F765">
        <v>2008</v>
      </c>
      <c r="G765">
        <v>642.85720000000003</v>
      </c>
    </row>
    <row r="766" spans="5:7" x14ac:dyDescent="0.75">
      <c r="E766" t="s">
        <v>36</v>
      </c>
      <c r="F766">
        <v>2009</v>
      </c>
      <c r="G766">
        <v>647.05884000000003</v>
      </c>
    </row>
    <row r="767" spans="5:7" x14ac:dyDescent="0.75">
      <c r="E767" t="s">
        <v>36</v>
      </c>
      <c r="F767">
        <v>2010</v>
      </c>
      <c r="G767">
        <v>684.21050000000002</v>
      </c>
    </row>
    <row r="768" spans="5:7" x14ac:dyDescent="0.75">
      <c r="E768" t="s">
        <v>36</v>
      </c>
      <c r="F768">
        <v>2011</v>
      </c>
      <c r="G768">
        <v>649.99994000000004</v>
      </c>
    </row>
    <row r="769" spans="5:7" x14ac:dyDescent="0.75">
      <c r="E769" t="s">
        <v>36</v>
      </c>
      <c r="F769">
        <v>2012</v>
      </c>
      <c r="G769">
        <v>625.00005999999996</v>
      </c>
    </row>
    <row r="770" spans="5:7" x14ac:dyDescent="0.75">
      <c r="E770" t="s">
        <v>36</v>
      </c>
      <c r="F770">
        <v>2013</v>
      </c>
      <c r="G770">
        <v>642.85720000000003</v>
      </c>
    </row>
    <row r="771" spans="5:7" x14ac:dyDescent="0.75">
      <c r="E771" t="s">
        <v>36</v>
      </c>
      <c r="F771">
        <v>2014</v>
      </c>
      <c r="G771">
        <v>633.33330000000001</v>
      </c>
    </row>
    <row r="772" spans="5:7" x14ac:dyDescent="0.75">
      <c r="E772" t="s">
        <v>36</v>
      </c>
      <c r="F772">
        <v>2015</v>
      </c>
      <c r="G772">
        <v>633.33330000000001</v>
      </c>
    </row>
    <row r="773" spans="5:7" x14ac:dyDescent="0.75">
      <c r="E773" t="s">
        <v>36</v>
      </c>
      <c r="F773">
        <v>2016</v>
      </c>
      <c r="G773">
        <v>612.90319999999997</v>
      </c>
    </row>
    <row r="774" spans="5:7" x14ac:dyDescent="0.75">
      <c r="E774" t="s">
        <v>36</v>
      </c>
      <c r="F774">
        <v>2017</v>
      </c>
      <c r="G774">
        <v>625</v>
      </c>
    </row>
    <row r="775" spans="5:7" x14ac:dyDescent="0.75">
      <c r="E775" t="s">
        <v>36</v>
      </c>
      <c r="F775">
        <v>2018</v>
      </c>
      <c r="G775">
        <v>617.64702999999997</v>
      </c>
    </row>
    <row r="776" spans="5:7" x14ac:dyDescent="0.75">
      <c r="E776" t="s">
        <v>36</v>
      </c>
      <c r="F776">
        <v>2019</v>
      </c>
      <c r="G776">
        <v>628.57140000000004</v>
      </c>
    </row>
    <row r="777" spans="5:7" x14ac:dyDescent="0.75">
      <c r="E777" t="s">
        <v>36</v>
      </c>
      <c r="F777">
        <v>2020</v>
      </c>
      <c r="G777">
        <v>628.57140000000004</v>
      </c>
    </row>
    <row r="778" spans="5:7" x14ac:dyDescent="0.75">
      <c r="E778" t="s">
        <v>36</v>
      </c>
      <c r="F778">
        <v>2021</v>
      </c>
      <c r="G778">
        <v>627.90700000000004</v>
      </c>
    </row>
    <row r="779" spans="5:7" x14ac:dyDescent="0.75">
      <c r="E779" t="s">
        <v>36</v>
      </c>
      <c r="F779">
        <v>2022</v>
      </c>
      <c r="G779">
        <v>615.38463999999999</v>
      </c>
    </row>
    <row r="780" spans="5:7" x14ac:dyDescent="0.75">
      <c r="E780" t="s">
        <v>37</v>
      </c>
      <c r="F780">
        <v>2000</v>
      </c>
      <c r="G780">
        <v>388.13229999999999</v>
      </c>
    </row>
    <row r="781" spans="5:7" x14ac:dyDescent="0.75">
      <c r="E781" t="s">
        <v>37</v>
      </c>
      <c r="F781">
        <v>2001</v>
      </c>
      <c r="G781">
        <v>336.48392000000001</v>
      </c>
    </row>
    <row r="782" spans="5:7" x14ac:dyDescent="0.75">
      <c r="E782" t="s">
        <v>37</v>
      </c>
      <c r="F782">
        <v>2002</v>
      </c>
      <c r="G782">
        <v>330.1105</v>
      </c>
    </row>
    <row r="783" spans="5:7" x14ac:dyDescent="0.75">
      <c r="E783" t="s">
        <v>37</v>
      </c>
      <c r="F783">
        <v>2003</v>
      </c>
      <c r="G783">
        <v>355.35061999999999</v>
      </c>
    </row>
    <row r="784" spans="5:7" x14ac:dyDescent="0.75">
      <c r="E784" t="s">
        <v>37</v>
      </c>
      <c r="F784">
        <v>2004</v>
      </c>
      <c r="G784">
        <v>391.7647</v>
      </c>
    </row>
    <row r="785" spans="5:7" x14ac:dyDescent="0.75">
      <c r="E785" t="s">
        <v>37</v>
      </c>
      <c r="F785">
        <v>2005</v>
      </c>
      <c r="G785">
        <v>347.56796000000003</v>
      </c>
    </row>
    <row r="786" spans="5:7" x14ac:dyDescent="0.75">
      <c r="E786" t="s">
        <v>37</v>
      </c>
      <c r="F786">
        <v>2006</v>
      </c>
      <c r="G786">
        <v>355.37790000000001</v>
      </c>
    </row>
    <row r="787" spans="5:7" x14ac:dyDescent="0.75">
      <c r="E787" t="s">
        <v>37</v>
      </c>
      <c r="F787">
        <v>2007</v>
      </c>
      <c r="G787">
        <v>456.93203999999997</v>
      </c>
    </row>
    <row r="788" spans="5:7" x14ac:dyDescent="0.75">
      <c r="E788" t="s">
        <v>37</v>
      </c>
      <c r="F788">
        <v>2008</v>
      </c>
      <c r="G788">
        <v>454.42316</v>
      </c>
    </row>
    <row r="789" spans="5:7" x14ac:dyDescent="0.75">
      <c r="E789" t="s">
        <v>37</v>
      </c>
      <c r="F789">
        <v>2009</v>
      </c>
      <c r="G789">
        <v>435.97815000000003</v>
      </c>
    </row>
    <row r="790" spans="5:7" x14ac:dyDescent="0.75">
      <c r="E790" t="s">
        <v>37</v>
      </c>
      <c r="F790">
        <v>2010</v>
      </c>
      <c r="G790">
        <v>481.65976000000001</v>
      </c>
    </row>
    <row r="791" spans="5:7" x14ac:dyDescent="0.75">
      <c r="E791" t="s">
        <v>37</v>
      </c>
      <c r="F791">
        <v>2011</v>
      </c>
      <c r="G791">
        <v>493.06927000000002</v>
      </c>
    </row>
    <row r="792" spans="5:7" x14ac:dyDescent="0.75">
      <c r="E792" t="s">
        <v>37</v>
      </c>
      <c r="F792">
        <v>2012</v>
      </c>
      <c r="G792">
        <v>531.40719999999999</v>
      </c>
    </row>
    <row r="793" spans="5:7" x14ac:dyDescent="0.75">
      <c r="E793" t="s">
        <v>37</v>
      </c>
      <c r="F793">
        <v>2013</v>
      </c>
      <c r="G793">
        <v>551.75725999999997</v>
      </c>
    </row>
    <row r="794" spans="5:7" x14ac:dyDescent="0.75">
      <c r="E794" t="s">
        <v>37</v>
      </c>
      <c r="F794">
        <v>2014</v>
      </c>
      <c r="G794">
        <v>493.65825999999998</v>
      </c>
    </row>
    <row r="795" spans="5:7" x14ac:dyDescent="0.75">
      <c r="E795" t="s">
        <v>37</v>
      </c>
      <c r="F795">
        <v>2015</v>
      </c>
      <c r="G795">
        <v>491.38965000000002</v>
      </c>
    </row>
    <row r="796" spans="5:7" x14ac:dyDescent="0.75">
      <c r="E796" t="s">
        <v>37</v>
      </c>
      <c r="F796">
        <v>2016</v>
      </c>
      <c r="G796">
        <v>496.38459999999998</v>
      </c>
    </row>
    <row r="797" spans="5:7" x14ac:dyDescent="0.75">
      <c r="E797" t="s">
        <v>37</v>
      </c>
      <c r="F797">
        <v>2017</v>
      </c>
      <c r="G797">
        <v>487.26718</v>
      </c>
    </row>
    <row r="798" spans="5:7" x14ac:dyDescent="0.75">
      <c r="E798" t="s">
        <v>37</v>
      </c>
      <c r="F798">
        <v>2018</v>
      </c>
      <c r="G798">
        <v>470.27886999999998</v>
      </c>
    </row>
    <row r="799" spans="5:7" x14ac:dyDescent="0.75">
      <c r="E799" t="s">
        <v>37</v>
      </c>
      <c r="F799">
        <v>2019</v>
      </c>
      <c r="G799">
        <v>456.53726</v>
      </c>
    </row>
    <row r="800" spans="5:7" x14ac:dyDescent="0.75">
      <c r="E800" t="s">
        <v>37</v>
      </c>
      <c r="F800">
        <v>2020</v>
      </c>
      <c r="G800">
        <v>436.82697000000002</v>
      </c>
    </row>
    <row r="801" spans="5:7" x14ac:dyDescent="0.75">
      <c r="E801" t="s">
        <v>37</v>
      </c>
      <c r="F801">
        <v>2021</v>
      </c>
      <c r="G801">
        <v>425.45623999999998</v>
      </c>
    </row>
    <row r="802" spans="5:7" x14ac:dyDescent="0.75">
      <c r="E802" t="s">
        <v>37</v>
      </c>
      <c r="F802">
        <v>2022</v>
      </c>
      <c r="G802">
        <v>372.80313000000001</v>
      </c>
    </row>
    <row r="803" spans="5:7" x14ac:dyDescent="0.75">
      <c r="E803" t="s">
        <v>37</v>
      </c>
      <c r="F803">
        <v>2023</v>
      </c>
      <c r="G803">
        <v>301.92766999999998</v>
      </c>
    </row>
    <row r="804" spans="5:7" x14ac:dyDescent="0.75">
      <c r="E804" t="s">
        <v>37</v>
      </c>
      <c r="F804">
        <v>2024</v>
      </c>
      <c r="G804">
        <v>265.51648</v>
      </c>
    </row>
    <row r="805" spans="5:7" x14ac:dyDescent="0.75">
      <c r="E805" t="s">
        <v>38</v>
      </c>
      <c r="F805">
        <v>2000</v>
      </c>
      <c r="G805">
        <v>783.31366000000003</v>
      </c>
    </row>
    <row r="806" spans="5:7" x14ac:dyDescent="0.75">
      <c r="E806" t="s">
        <v>38</v>
      </c>
      <c r="F806">
        <v>2001</v>
      </c>
      <c r="G806">
        <v>762.73469999999998</v>
      </c>
    </row>
    <row r="807" spans="5:7" x14ac:dyDescent="0.75">
      <c r="E807" t="s">
        <v>38</v>
      </c>
      <c r="F807">
        <v>2002</v>
      </c>
      <c r="G807">
        <v>773.16340000000002</v>
      </c>
    </row>
    <row r="808" spans="5:7" x14ac:dyDescent="0.75">
      <c r="E808" t="s">
        <v>38</v>
      </c>
      <c r="F808">
        <v>2003</v>
      </c>
      <c r="G808">
        <v>790.78610000000003</v>
      </c>
    </row>
    <row r="809" spans="5:7" x14ac:dyDescent="0.75">
      <c r="E809" t="s">
        <v>38</v>
      </c>
      <c r="F809">
        <v>2004</v>
      </c>
      <c r="G809">
        <v>778.35613999999998</v>
      </c>
    </row>
    <row r="810" spans="5:7" x14ac:dyDescent="0.75">
      <c r="E810" t="s">
        <v>38</v>
      </c>
      <c r="F810">
        <v>2005</v>
      </c>
      <c r="G810">
        <v>781.93065999999999</v>
      </c>
    </row>
    <row r="811" spans="5:7" x14ac:dyDescent="0.75">
      <c r="E811" t="s">
        <v>38</v>
      </c>
      <c r="F811">
        <v>2006</v>
      </c>
      <c r="G811">
        <v>786.51085999999998</v>
      </c>
    </row>
    <row r="812" spans="5:7" x14ac:dyDescent="0.75">
      <c r="E812" t="s">
        <v>38</v>
      </c>
      <c r="F812">
        <v>2007</v>
      </c>
      <c r="G812">
        <v>785.12523999999996</v>
      </c>
    </row>
    <row r="813" spans="5:7" x14ac:dyDescent="0.75">
      <c r="E813" t="s">
        <v>38</v>
      </c>
      <c r="F813">
        <v>2008</v>
      </c>
      <c r="G813">
        <v>746.94770000000005</v>
      </c>
    </row>
    <row r="814" spans="5:7" x14ac:dyDescent="0.75">
      <c r="E814" t="s">
        <v>38</v>
      </c>
      <c r="F814">
        <v>2009</v>
      </c>
      <c r="G814">
        <v>753.02855999999997</v>
      </c>
    </row>
    <row r="815" spans="5:7" x14ac:dyDescent="0.75">
      <c r="E815" t="s">
        <v>38</v>
      </c>
      <c r="F815">
        <v>2010</v>
      </c>
      <c r="G815">
        <v>740.63969999999995</v>
      </c>
    </row>
    <row r="816" spans="5:7" x14ac:dyDescent="0.75">
      <c r="E816" t="s">
        <v>38</v>
      </c>
      <c r="F816">
        <v>2011</v>
      </c>
      <c r="G816">
        <v>752.23109999999997</v>
      </c>
    </row>
    <row r="817" spans="5:7" x14ac:dyDescent="0.75">
      <c r="E817" t="s">
        <v>38</v>
      </c>
      <c r="F817">
        <v>2012</v>
      </c>
      <c r="G817">
        <v>720.15062999999998</v>
      </c>
    </row>
    <row r="818" spans="5:7" x14ac:dyDescent="0.75">
      <c r="E818" t="s">
        <v>38</v>
      </c>
      <c r="F818">
        <v>2013</v>
      </c>
      <c r="G818">
        <v>717.38873000000001</v>
      </c>
    </row>
    <row r="819" spans="5:7" x14ac:dyDescent="0.75">
      <c r="E819" t="s">
        <v>38</v>
      </c>
      <c r="F819">
        <v>2014</v>
      </c>
      <c r="G819">
        <v>693.72760000000005</v>
      </c>
    </row>
    <row r="820" spans="5:7" x14ac:dyDescent="0.75">
      <c r="E820" t="s">
        <v>38</v>
      </c>
      <c r="F820">
        <v>2015</v>
      </c>
      <c r="G820">
        <v>667.71460000000002</v>
      </c>
    </row>
    <row r="821" spans="5:7" x14ac:dyDescent="0.75">
      <c r="E821" t="s">
        <v>38</v>
      </c>
      <c r="F821">
        <v>2016</v>
      </c>
      <c r="G821">
        <v>651.66570000000002</v>
      </c>
    </row>
    <row r="822" spans="5:7" x14ac:dyDescent="0.75">
      <c r="E822" t="s">
        <v>38</v>
      </c>
      <c r="F822">
        <v>2017</v>
      </c>
      <c r="G822">
        <v>644.16660000000002</v>
      </c>
    </row>
    <row r="823" spans="5:7" x14ac:dyDescent="0.75">
      <c r="E823" t="s">
        <v>38</v>
      </c>
      <c r="F823">
        <v>2018</v>
      </c>
      <c r="G823">
        <v>636.87559999999996</v>
      </c>
    </row>
    <row r="824" spans="5:7" x14ac:dyDescent="0.75">
      <c r="E824" t="s">
        <v>38</v>
      </c>
      <c r="F824">
        <v>2019</v>
      </c>
      <c r="G824">
        <v>619.61663999999996</v>
      </c>
    </row>
    <row r="825" spans="5:7" x14ac:dyDescent="0.75">
      <c r="E825" t="s">
        <v>38</v>
      </c>
      <c r="F825">
        <v>2020</v>
      </c>
      <c r="G825">
        <v>606.25756999999999</v>
      </c>
    </row>
    <row r="826" spans="5:7" x14ac:dyDescent="0.75">
      <c r="E826" t="s">
        <v>38</v>
      </c>
      <c r="F826">
        <v>2021</v>
      </c>
      <c r="G826">
        <v>599.00450000000001</v>
      </c>
    </row>
    <row r="827" spans="5:7" x14ac:dyDescent="0.75">
      <c r="E827" t="s">
        <v>38</v>
      </c>
      <c r="F827">
        <v>2022</v>
      </c>
      <c r="G827">
        <v>586.7002</v>
      </c>
    </row>
    <row r="828" spans="5:7" x14ac:dyDescent="0.75">
      <c r="E828" t="s">
        <v>38</v>
      </c>
      <c r="F828">
        <v>2023</v>
      </c>
      <c r="G828">
        <v>583.60799999999995</v>
      </c>
    </row>
    <row r="829" spans="5:7" x14ac:dyDescent="0.75">
      <c r="E829" t="s">
        <v>38</v>
      </c>
      <c r="F829">
        <v>2024</v>
      </c>
      <c r="G829">
        <v>559.55169999999998</v>
      </c>
    </row>
    <row r="830" spans="5:7" x14ac:dyDescent="0.75">
      <c r="E830" t="s">
        <v>39</v>
      </c>
      <c r="F830">
        <v>2000</v>
      </c>
      <c r="G830">
        <v>189.20813000000001</v>
      </c>
    </row>
    <row r="831" spans="5:7" x14ac:dyDescent="0.75">
      <c r="E831" t="s">
        <v>39</v>
      </c>
      <c r="F831">
        <v>2001</v>
      </c>
      <c r="G831">
        <v>197.72832</v>
      </c>
    </row>
    <row r="832" spans="5:7" x14ac:dyDescent="0.75">
      <c r="E832" t="s">
        <v>39</v>
      </c>
      <c r="F832">
        <v>2002</v>
      </c>
      <c r="G832">
        <v>183.40415999999999</v>
      </c>
    </row>
    <row r="833" spans="5:7" x14ac:dyDescent="0.75">
      <c r="E833" t="s">
        <v>39</v>
      </c>
      <c r="F833">
        <v>2003</v>
      </c>
      <c r="G833">
        <v>172.07791</v>
      </c>
    </row>
    <row r="834" spans="5:7" x14ac:dyDescent="0.75">
      <c r="E834" t="s">
        <v>39</v>
      </c>
      <c r="F834">
        <v>2004</v>
      </c>
      <c r="G834">
        <v>148.38839999999999</v>
      </c>
    </row>
    <row r="835" spans="5:7" x14ac:dyDescent="0.75">
      <c r="E835" t="s">
        <v>39</v>
      </c>
      <c r="F835">
        <v>2005</v>
      </c>
      <c r="G835">
        <v>159.99198999999999</v>
      </c>
    </row>
    <row r="836" spans="5:7" x14ac:dyDescent="0.75">
      <c r="E836" t="s">
        <v>39</v>
      </c>
      <c r="F836">
        <v>2006</v>
      </c>
      <c r="G836">
        <v>158.98012</v>
      </c>
    </row>
    <row r="837" spans="5:7" x14ac:dyDescent="0.75">
      <c r="E837" t="s">
        <v>39</v>
      </c>
      <c r="F837">
        <v>2007</v>
      </c>
      <c r="G837">
        <v>155.1378</v>
      </c>
    </row>
    <row r="838" spans="5:7" x14ac:dyDescent="0.75">
      <c r="E838" t="s">
        <v>39</v>
      </c>
      <c r="F838">
        <v>2008</v>
      </c>
      <c r="G838">
        <v>137.52704</v>
      </c>
    </row>
    <row r="839" spans="5:7" x14ac:dyDescent="0.75">
      <c r="E839" t="s">
        <v>39</v>
      </c>
      <c r="F839">
        <v>2009</v>
      </c>
      <c r="G839">
        <v>211.62996000000001</v>
      </c>
    </row>
    <row r="840" spans="5:7" x14ac:dyDescent="0.75">
      <c r="E840" t="s">
        <v>39</v>
      </c>
      <c r="F840">
        <v>2010</v>
      </c>
      <c r="G840">
        <v>229.45375000000001</v>
      </c>
    </row>
    <row r="841" spans="5:7" x14ac:dyDescent="0.75">
      <c r="E841" t="s">
        <v>39</v>
      </c>
      <c r="F841">
        <v>2011</v>
      </c>
      <c r="G841">
        <v>151.37764000000001</v>
      </c>
    </row>
    <row r="842" spans="5:7" x14ac:dyDescent="0.75">
      <c r="E842" t="s">
        <v>39</v>
      </c>
      <c r="F842">
        <v>2012</v>
      </c>
      <c r="G842">
        <v>179.03583</v>
      </c>
    </row>
    <row r="843" spans="5:7" x14ac:dyDescent="0.75">
      <c r="E843" t="s">
        <v>39</v>
      </c>
      <c r="F843">
        <v>2013</v>
      </c>
      <c r="G843">
        <v>236.02231</v>
      </c>
    </row>
    <row r="844" spans="5:7" x14ac:dyDescent="0.75">
      <c r="E844" t="s">
        <v>39</v>
      </c>
      <c r="F844">
        <v>2014</v>
      </c>
      <c r="G844">
        <v>236.73007000000001</v>
      </c>
    </row>
    <row r="845" spans="5:7" x14ac:dyDescent="0.75">
      <c r="E845" t="s">
        <v>39</v>
      </c>
      <c r="F845">
        <v>2015</v>
      </c>
      <c r="G845">
        <v>275.3623</v>
      </c>
    </row>
    <row r="846" spans="5:7" x14ac:dyDescent="0.75">
      <c r="E846" t="s">
        <v>39</v>
      </c>
      <c r="F846">
        <v>2016</v>
      </c>
      <c r="G846">
        <v>259.55103000000003</v>
      </c>
    </row>
    <row r="847" spans="5:7" x14ac:dyDescent="0.75">
      <c r="E847" t="s">
        <v>39</v>
      </c>
      <c r="F847">
        <v>2017</v>
      </c>
      <c r="G847">
        <v>166.17815999999999</v>
      </c>
    </row>
    <row r="848" spans="5:7" x14ac:dyDescent="0.75">
      <c r="E848" t="s">
        <v>39</v>
      </c>
      <c r="F848">
        <v>2018</v>
      </c>
      <c r="G848">
        <v>187.44406000000001</v>
      </c>
    </row>
    <row r="849" spans="5:7" x14ac:dyDescent="0.75">
      <c r="E849" t="s">
        <v>39</v>
      </c>
      <c r="F849">
        <v>2019</v>
      </c>
      <c r="G849">
        <v>240.92409000000001</v>
      </c>
    </row>
    <row r="850" spans="5:7" x14ac:dyDescent="0.75">
      <c r="E850" t="s">
        <v>39</v>
      </c>
      <c r="F850">
        <v>2020</v>
      </c>
      <c r="G850">
        <v>271.25403</v>
      </c>
    </row>
    <row r="851" spans="5:7" x14ac:dyDescent="0.75">
      <c r="E851" t="s">
        <v>39</v>
      </c>
      <c r="F851">
        <v>2021</v>
      </c>
      <c r="G851">
        <v>195.82740999999999</v>
      </c>
    </row>
    <row r="852" spans="5:7" x14ac:dyDescent="0.75">
      <c r="E852" t="s">
        <v>39</v>
      </c>
      <c r="F852">
        <v>2022</v>
      </c>
      <c r="G852">
        <v>202.1482</v>
      </c>
    </row>
    <row r="853" spans="5:7" x14ac:dyDescent="0.75">
      <c r="E853" t="s">
        <v>39</v>
      </c>
      <c r="F853">
        <v>2023</v>
      </c>
      <c r="G853">
        <v>268.96704</v>
      </c>
    </row>
    <row r="854" spans="5:7" x14ac:dyDescent="0.75">
      <c r="E854" t="s">
        <v>39</v>
      </c>
      <c r="F854">
        <v>2024</v>
      </c>
      <c r="G854">
        <v>285.79590000000002</v>
      </c>
    </row>
    <row r="855" spans="5:7" x14ac:dyDescent="0.75">
      <c r="E855" t="s">
        <v>40</v>
      </c>
      <c r="F855">
        <v>2000</v>
      </c>
      <c r="G855">
        <v>666.66669999999999</v>
      </c>
    </row>
    <row r="856" spans="5:7" x14ac:dyDescent="0.75">
      <c r="E856" t="s">
        <v>40</v>
      </c>
      <c r="F856">
        <v>2001</v>
      </c>
      <c r="G856">
        <v>666.66669999999999</v>
      </c>
    </row>
    <row r="857" spans="5:7" x14ac:dyDescent="0.75">
      <c r="E857" t="s">
        <v>40</v>
      </c>
      <c r="F857">
        <v>2002</v>
      </c>
      <c r="G857">
        <v>666.66669999999999</v>
      </c>
    </row>
    <row r="858" spans="5:7" x14ac:dyDescent="0.75">
      <c r="E858" t="s">
        <v>40</v>
      </c>
      <c r="F858">
        <v>2003</v>
      </c>
      <c r="G858">
        <v>750</v>
      </c>
    </row>
    <row r="859" spans="5:7" x14ac:dyDescent="0.75">
      <c r="E859" t="s">
        <v>40</v>
      </c>
      <c r="F859">
        <v>2004</v>
      </c>
      <c r="G859">
        <v>750</v>
      </c>
    </row>
    <row r="860" spans="5:7" x14ac:dyDescent="0.75">
      <c r="E860" t="s">
        <v>40</v>
      </c>
      <c r="F860">
        <v>2005</v>
      </c>
      <c r="G860">
        <v>600</v>
      </c>
    </row>
    <row r="861" spans="5:7" x14ac:dyDescent="0.75">
      <c r="E861" t="s">
        <v>40</v>
      </c>
      <c r="F861">
        <v>2006</v>
      </c>
      <c r="G861">
        <v>600</v>
      </c>
    </row>
    <row r="862" spans="5:7" x14ac:dyDescent="0.75">
      <c r="E862" t="s">
        <v>40</v>
      </c>
      <c r="F862">
        <v>2007</v>
      </c>
      <c r="G862">
        <v>600</v>
      </c>
    </row>
    <row r="863" spans="5:7" x14ac:dyDescent="0.75">
      <c r="E863" t="s">
        <v>40</v>
      </c>
      <c r="F863">
        <v>2008</v>
      </c>
      <c r="G863">
        <v>750</v>
      </c>
    </row>
    <row r="864" spans="5:7" x14ac:dyDescent="0.75">
      <c r="E864" t="s">
        <v>40</v>
      </c>
      <c r="F864">
        <v>2009</v>
      </c>
      <c r="G864">
        <v>600</v>
      </c>
    </row>
    <row r="865" spans="5:7" x14ac:dyDescent="0.75">
      <c r="E865" t="s">
        <v>40</v>
      </c>
      <c r="F865">
        <v>2010</v>
      </c>
      <c r="G865">
        <v>666.66669999999999</v>
      </c>
    </row>
    <row r="866" spans="5:7" x14ac:dyDescent="0.75">
      <c r="E866" t="s">
        <v>40</v>
      </c>
      <c r="F866">
        <v>2011</v>
      </c>
      <c r="G866">
        <v>666.66669999999999</v>
      </c>
    </row>
    <row r="867" spans="5:7" x14ac:dyDescent="0.75">
      <c r="E867" t="s">
        <v>40</v>
      </c>
      <c r="F867">
        <v>2012</v>
      </c>
      <c r="G867">
        <v>666.66669999999999</v>
      </c>
    </row>
    <row r="868" spans="5:7" x14ac:dyDescent="0.75">
      <c r="E868" t="s">
        <v>40</v>
      </c>
      <c r="F868">
        <v>2013</v>
      </c>
      <c r="G868">
        <v>666.66669999999999</v>
      </c>
    </row>
    <row r="869" spans="5:7" x14ac:dyDescent="0.75">
      <c r="E869" t="s">
        <v>40</v>
      </c>
      <c r="F869">
        <v>2014</v>
      </c>
      <c r="G869">
        <v>600</v>
      </c>
    </row>
    <row r="870" spans="5:7" x14ac:dyDescent="0.75">
      <c r="E870" t="s">
        <v>40</v>
      </c>
      <c r="F870">
        <v>2015</v>
      </c>
      <c r="G870">
        <v>600</v>
      </c>
    </row>
    <row r="871" spans="5:7" x14ac:dyDescent="0.75">
      <c r="E871" t="s">
        <v>40</v>
      </c>
      <c r="F871">
        <v>2016</v>
      </c>
      <c r="G871">
        <v>666.66669999999999</v>
      </c>
    </row>
    <row r="872" spans="5:7" x14ac:dyDescent="0.75">
      <c r="E872" t="s">
        <v>40</v>
      </c>
      <c r="F872">
        <v>2017</v>
      </c>
      <c r="G872">
        <v>666.66660000000002</v>
      </c>
    </row>
    <row r="873" spans="5:7" x14ac:dyDescent="0.75">
      <c r="E873" t="s">
        <v>40</v>
      </c>
      <c r="F873">
        <v>2018</v>
      </c>
      <c r="G873">
        <v>700</v>
      </c>
    </row>
    <row r="874" spans="5:7" x14ac:dyDescent="0.75">
      <c r="E874" t="s">
        <v>40</v>
      </c>
      <c r="F874">
        <v>2019</v>
      </c>
      <c r="G874">
        <v>636.36365000000001</v>
      </c>
    </row>
    <row r="875" spans="5:7" x14ac:dyDescent="0.75">
      <c r="E875" t="s">
        <v>40</v>
      </c>
      <c r="F875">
        <v>2020</v>
      </c>
      <c r="G875">
        <v>692.30773999999997</v>
      </c>
    </row>
    <row r="876" spans="5:7" x14ac:dyDescent="0.75">
      <c r="E876" t="s">
        <v>40</v>
      </c>
      <c r="F876">
        <v>2021</v>
      </c>
      <c r="G876">
        <v>692.30773999999997</v>
      </c>
    </row>
    <row r="877" spans="5:7" x14ac:dyDescent="0.75">
      <c r="E877" t="s">
        <v>40</v>
      </c>
      <c r="F877">
        <v>2022</v>
      </c>
      <c r="G877">
        <v>642.85720000000003</v>
      </c>
    </row>
    <row r="878" spans="5:7" x14ac:dyDescent="0.75">
      <c r="E878" t="s">
        <v>40</v>
      </c>
      <c r="F878">
        <v>2023</v>
      </c>
      <c r="G878">
        <v>642.85720000000003</v>
      </c>
    </row>
    <row r="879" spans="5:7" x14ac:dyDescent="0.75">
      <c r="E879" t="s">
        <v>41</v>
      </c>
      <c r="F879">
        <v>2000</v>
      </c>
      <c r="G879">
        <v>34.482757999999997</v>
      </c>
    </row>
    <row r="880" spans="5:7" x14ac:dyDescent="0.75">
      <c r="E880" t="s">
        <v>41</v>
      </c>
      <c r="F880">
        <v>2001</v>
      </c>
      <c r="G880">
        <v>30.303028000000001</v>
      </c>
    </row>
    <row r="881" spans="5:7" x14ac:dyDescent="0.75">
      <c r="E881" t="s">
        <v>41</v>
      </c>
      <c r="F881">
        <v>2002</v>
      </c>
      <c r="G881">
        <v>25.641026</v>
      </c>
    </row>
    <row r="882" spans="5:7" x14ac:dyDescent="0.75">
      <c r="E882" t="s">
        <v>41</v>
      </c>
      <c r="F882">
        <v>2003</v>
      </c>
      <c r="G882">
        <v>150</v>
      </c>
    </row>
    <row r="883" spans="5:7" x14ac:dyDescent="0.75">
      <c r="E883" t="s">
        <v>41</v>
      </c>
      <c r="F883">
        <v>2004</v>
      </c>
      <c r="G883">
        <v>175</v>
      </c>
    </row>
    <row r="884" spans="5:7" x14ac:dyDescent="0.75">
      <c r="E884" t="s">
        <v>41</v>
      </c>
      <c r="F884">
        <v>2005</v>
      </c>
      <c r="G884">
        <v>186.04651000000001</v>
      </c>
    </row>
    <row r="885" spans="5:7" x14ac:dyDescent="0.75">
      <c r="E885" t="s">
        <v>41</v>
      </c>
      <c r="F885">
        <v>2006</v>
      </c>
      <c r="G885">
        <v>177.77777</v>
      </c>
    </row>
    <row r="886" spans="5:7" x14ac:dyDescent="0.75">
      <c r="E886" t="s">
        <v>41</v>
      </c>
      <c r="F886">
        <v>2007</v>
      </c>
      <c r="G886">
        <v>175</v>
      </c>
    </row>
    <row r="887" spans="5:7" x14ac:dyDescent="0.75">
      <c r="E887" t="s">
        <v>41</v>
      </c>
      <c r="F887">
        <v>2008</v>
      </c>
      <c r="G887">
        <v>195.65217999999999</v>
      </c>
    </row>
    <row r="888" spans="5:7" x14ac:dyDescent="0.75">
      <c r="E888" t="s">
        <v>41</v>
      </c>
      <c r="F888">
        <v>2009</v>
      </c>
      <c r="G888">
        <v>351.85183999999998</v>
      </c>
    </row>
    <row r="889" spans="5:7" x14ac:dyDescent="0.75">
      <c r="E889" t="s">
        <v>41</v>
      </c>
      <c r="F889">
        <v>2010</v>
      </c>
      <c r="G889">
        <v>423.07697000000002</v>
      </c>
    </row>
    <row r="890" spans="5:7" x14ac:dyDescent="0.75">
      <c r="E890" t="s">
        <v>41</v>
      </c>
      <c r="F890">
        <v>2011</v>
      </c>
      <c r="G890">
        <v>375</v>
      </c>
    </row>
    <row r="891" spans="5:7" x14ac:dyDescent="0.75">
      <c r="E891" t="s">
        <v>41</v>
      </c>
      <c r="F891">
        <v>2012</v>
      </c>
      <c r="G891">
        <v>396.44970000000001</v>
      </c>
    </row>
    <row r="892" spans="5:7" x14ac:dyDescent="0.75">
      <c r="E892" t="s">
        <v>41</v>
      </c>
      <c r="F892">
        <v>2013</v>
      </c>
      <c r="G892">
        <v>411.76468</v>
      </c>
    </row>
    <row r="893" spans="5:7" x14ac:dyDescent="0.75">
      <c r="E893" t="s">
        <v>41</v>
      </c>
      <c r="F893">
        <v>2014</v>
      </c>
      <c r="G893">
        <v>427.74567000000002</v>
      </c>
    </row>
    <row r="894" spans="5:7" x14ac:dyDescent="0.75">
      <c r="E894" t="s">
        <v>41</v>
      </c>
      <c r="F894">
        <v>2015</v>
      </c>
      <c r="G894">
        <v>543.47829999999999</v>
      </c>
    </row>
    <row r="895" spans="5:7" x14ac:dyDescent="0.75">
      <c r="E895" t="s">
        <v>41</v>
      </c>
      <c r="F895">
        <v>2016</v>
      </c>
      <c r="G895">
        <v>561.22450000000003</v>
      </c>
    </row>
    <row r="896" spans="5:7" x14ac:dyDescent="0.75">
      <c r="E896" t="s">
        <v>41</v>
      </c>
      <c r="F896">
        <v>2017</v>
      </c>
      <c r="G896">
        <v>545.7627</v>
      </c>
    </row>
    <row r="897" spans="5:7" x14ac:dyDescent="0.75">
      <c r="E897" t="s">
        <v>41</v>
      </c>
      <c r="F897">
        <v>2018</v>
      </c>
      <c r="G897">
        <v>596.72130000000004</v>
      </c>
    </row>
    <row r="898" spans="5:7" x14ac:dyDescent="0.75">
      <c r="E898" t="s">
        <v>41</v>
      </c>
      <c r="F898">
        <v>2019</v>
      </c>
      <c r="G898">
        <v>658.03107</v>
      </c>
    </row>
    <row r="899" spans="5:7" x14ac:dyDescent="0.75">
      <c r="E899" t="s">
        <v>41</v>
      </c>
      <c r="F899">
        <v>2020</v>
      </c>
      <c r="G899">
        <v>665.82916</v>
      </c>
    </row>
    <row r="900" spans="5:7" x14ac:dyDescent="0.75">
      <c r="E900" t="s">
        <v>41</v>
      </c>
      <c r="F900">
        <v>2021</v>
      </c>
      <c r="G900">
        <v>671.56866000000002</v>
      </c>
    </row>
    <row r="901" spans="5:7" x14ac:dyDescent="0.75">
      <c r="E901" t="s">
        <v>41</v>
      </c>
      <c r="F901">
        <v>2022</v>
      </c>
      <c r="G901">
        <v>709.34960000000001</v>
      </c>
    </row>
    <row r="902" spans="5:7" x14ac:dyDescent="0.75">
      <c r="E902" t="s">
        <v>41</v>
      </c>
      <c r="F902">
        <v>2023</v>
      </c>
      <c r="G902">
        <v>713.73310000000004</v>
      </c>
    </row>
    <row r="903" spans="5:7" x14ac:dyDescent="0.75">
      <c r="E903" t="s">
        <v>42</v>
      </c>
      <c r="F903">
        <v>2000</v>
      </c>
      <c r="G903">
        <v>30.612244</v>
      </c>
    </row>
    <row r="904" spans="5:7" x14ac:dyDescent="0.75">
      <c r="E904" t="s">
        <v>42</v>
      </c>
      <c r="F904">
        <v>2001</v>
      </c>
      <c r="G904">
        <v>34.782608000000003</v>
      </c>
    </row>
    <row r="905" spans="5:7" x14ac:dyDescent="0.75">
      <c r="E905" t="s">
        <v>42</v>
      </c>
      <c r="F905">
        <v>2002</v>
      </c>
      <c r="G905">
        <v>36.38814</v>
      </c>
    </row>
    <row r="906" spans="5:7" x14ac:dyDescent="0.75">
      <c r="E906" t="s">
        <v>42</v>
      </c>
      <c r="F906">
        <v>2003</v>
      </c>
      <c r="G906">
        <v>39.726025</v>
      </c>
    </row>
    <row r="907" spans="5:7" x14ac:dyDescent="0.75">
      <c r="E907" t="s">
        <v>42</v>
      </c>
      <c r="F907">
        <v>2004</v>
      </c>
      <c r="G907">
        <v>31.328320999999999</v>
      </c>
    </row>
    <row r="908" spans="5:7" x14ac:dyDescent="0.75">
      <c r="E908" t="s">
        <v>42</v>
      </c>
      <c r="F908">
        <v>2005</v>
      </c>
      <c r="G908">
        <v>47.619050000000001</v>
      </c>
    </row>
    <row r="909" spans="5:7" x14ac:dyDescent="0.75">
      <c r="E909" t="s">
        <v>42</v>
      </c>
      <c r="F909">
        <v>2006</v>
      </c>
      <c r="G909">
        <v>67.285385000000005</v>
      </c>
    </row>
    <row r="910" spans="5:7" x14ac:dyDescent="0.75">
      <c r="E910" t="s">
        <v>42</v>
      </c>
      <c r="F910">
        <v>2007</v>
      </c>
      <c r="G910">
        <v>77.951003999999998</v>
      </c>
    </row>
    <row r="911" spans="5:7" x14ac:dyDescent="0.75">
      <c r="E911" t="s">
        <v>42</v>
      </c>
      <c r="F911">
        <v>2008</v>
      </c>
      <c r="G911">
        <v>72.340429999999998</v>
      </c>
    </row>
    <row r="912" spans="5:7" x14ac:dyDescent="0.75">
      <c r="E912" t="s">
        <v>42</v>
      </c>
      <c r="F912">
        <v>2009</v>
      </c>
      <c r="G912">
        <v>58.441563000000002</v>
      </c>
    </row>
    <row r="913" spans="5:7" x14ac:dyDescent="0.75">
      <c r="E913" t="s">
        <v>42</v>
      </c>
      <c r="F913">
        <v>2010</v>
      </c>
      <c r="G913">
        <v>69.400634999999994</v>
      </c>
    </row>
    <row r="914" spans="5:7" x14ac:dyDescent="0.75">
      <c r="E914" t="s">
        <v>42</v>
      </c>
      <c r="F914">
        <v>2011</v>
      </c>
      <c r="G914">
        <v>84.102559999999997</v>
      </c>
    </row>
    <row r="915" spans="5:7" x14ac:dyDescent="0.75">
      <c r="E915" t="s">
        <v>42</v>
      </c>
      <c r="F915">
        <v>2012</v>
      </c>
      <c r="G915">
        <v>80.118700000000004</v>
      </c>
    </row>
    <row r="916" spans="5:7" x14ac:dyDescent="0.75">
      <c r="E916" t="s">
        <v>42</v>
      </c>
      <c r="F916">
        <v>2013</v>
      </c>
      <c r="G916">
        <v>103.04219999999999</v>
      </c>
    </row>
    <row r="917" spans="5:7" x14ac:dyDescent="0.75">
      <c r="E917" t="s">
        <v>42</v>
      </c>
      <c r="F917">
        <v>2014</v>
      </c>
      <c r="G917">
        <v>93.411995000000005</v>
      </c>
    </row>
    <row r="918" spans="5:7" x14ac:dyDescent="0.75">
      <c r="E918" t="s">
        <v>42</v>
      </c>
      <c r="F918">
        <v>2015</v>
      </c>
      <c r="G918">
        <v>33.426186000000001</v>
      </c>
    </row>
    <row r="919" spans="5:7" x14ac:dyDescent="0.75">
      <c r="E919" t="s">
        <v>42</v>
      </c>
      <c r="F919">
        <v>2016</v>
      </c>
      <c r="G919">
        <v>38.674033999999999</v>
      </c>
    </row>
    <row r="920" spans="5:7" x14ac:dyDescent="0.75">
      <c r="E920" t="s">
        <v>42</v>
      </c>
      <c r="F920">
        <v>2017</v>
      </c>
      <c r="G920">
        <v>28.368793</v>
      </c>
    </row>
    <row r="921" spans="5:7" x14ac:dyDescent="0.75">
      <c r="E921" t="s">
        <v>42</v>
      </c>
      <c r="F921">
        <v>2018</v>
      </c>
      <c r="G921">
        <v>34.965040000000002</v>
      </c>
    </row>
    <row r="922" spans="5:7" x14ac:dyDescent="0.75">
      <c r="E922" t="s">
        <v>42</v>
      </c>
      <c r="F922">
        <v>2019</v>
      </c>
      <c r="G922">
        <v>31.523643</v>
      </c>
    </row>
    <row r="923" spans="5:7" x14ac:dyDescent="0.75">
      <c r="E923" t="s">
        <v>42</v>
      </c>
      <c r="F923">
        <v>2020</v>
      </c>
      <c r="G923">
        <v>27.303753</v>
      </c>
    </row>
    <row r="924" spans="5:7" x14ac:dyDescent="0.75">
      <c r="E924" t="s">
        <v>42</v>
      </c>
      <c r="F924">
        <v>2021</v>
      </c>
      <c r="G924">
        <v>25.923020000000001</v>
      </c>
    </row>
    <row r="925" spans="5:7" x14ac:dyDescent="0.75">
      <c r="E925" t="s">
        <v>42</v>
      </c>
      <c r="F925">
        <v>2022</v>
      </c>
      <c r="G925">
        <v>24.115756999999999</v>
      </c>
    </row>
    <row r="926" spans="5:7" x14ac:dyDescent="0.75">
      <c r="E926" t="s">
        <v>42</v>
      </c>
      <c r="F926">
        <v>2023</v>
      </c>
      <c r="G926">
        <v>24.765158</v>
      </c>
    </row>
    <row r="927" spans="5:7" x14ac:dyDescent="0.75">
      <c r="E927" t="s">
        <v>42</v>
      </c>
      <c r="F927">
        <v>2024</v>
      </c>
      <c r="G927">
        <v>63.004845000000003</v>
      </c>
    </row>
    <row r="928" spans="5:7" x14ac:dyDescent="0.75">
      <c r="E928" t="s">
        <v>43</v>
      </c>
      <c r="F928">
        <v>2000</v>
      </c>
      <c r="G928">
        <v>364.58330000000001</v>
      </c>
    </row>
    <row r="929" spans="5:7" x14ac:dyDescent="0.75">
      <c r="E929" t="s">
        <v>43</v>
      </c>
      <c r="F929">
        <v>2001</v>
      </c>
      <c r="G929">
        <v>362.70490000000001</v>
      </c>
    </row>
    <row r="930" spans="5:7" x14ac:dyDescent="0.75">
      <c r="E930" t="s">
        <v>43</v>
      </c>
      <c r="F930">
        <v>2002</v>
      </c>
      <c r="G930">
        <v>385.63326999999998</v>
      </c>
    </row>
    <row r="931" spans="5:7" x14ac:dyDescent="0.75">
      <c r="E931" t="s">
        <v>43</v>
      </c>
      <c r="F931">
        <v>2003</v>
      </c>
      <c r="G931">
        <v>368.11023</v>
      </c>
    </row>
    <row r="932" spans="5:7" x14ac:dyDescent="0.75">
      <c r="E932" t="s">
        <v>43</v>
      </c>
      <c r="F932">
        <v>2004</v>
      </c>
      <c r="G932">
        <v>383.63634999999999</v>
      </c>
    </row>
    <row r="933" spans="5:7" x14ac:dyDescent="0.75">
      <c r="E933" t="s">
        <v>43</v>
      </c>
      <c r="F933">
        <v>2005</v>
      </c>
      <c r="G933">
        <v>416.22573999999997</v>
      </c>
    </row>
    <row r="934" spans="5:7" x14ac:dyDescent="0.75">
      <c r="E934" t="s">
        <v>43</v>
      </c>
      <c r="F934">
        <v>2006</v>
      </c>
      <c r="G934">
        <v>409.57445999999999</v>
      </c>
    </row>
    <row r="935" spans="5:7" x14ac:dyDescent="0.75">
      <c r="E935" t="s">
        <v>43</v>
      </c>
      <c r="F935">
        <v>2007</v>
      </c>
      <c r="G935">
        <v>380.78296</v>
      </c>
    </row>
    <row r="936" spans="5:7" x14ac:dyDescent="0.75">
      <c r="E936" t="s">
        <v>43</v>
      </c>
      <c r="F936">
        <v>2008</v>
      </c>
      <c r="G936">
        <v>378.23833999999999</v>
      </c>
    </row>
    <row r="937" spans="5:7" x14ac:dyDescent="0.75">
      <c r="E937" t="s">
        <v>43</v>
      </c>
      <c r="F937">
        <v>2009</v>
      </c>
      <c r="G937">
        <v>362.39316000000002</v>
      </c>
    </row>
    <row r="938" spans="5:7" x14ac:dyDescent="0.75">
      <c r="E938" t="s">
        <v>43</v>
      </c>
      <c r="F938">
        <v>2010</v>
      </c>
      <c r="G938">
        <v>413.44540000000001</v>
      </c>
    </row>
    <row r="939" spans="5:7" x14ac:dyDescent="0.75">
      <c r="E939" t="s">
        <v>43</v>
      </c>
      <c r="F939">
        <v>2011</v>
      </c>
      <c r="G939">
        <v>399.67108000000002</v>
      </c>
    </row>
    <row r="940" spans="5:7" x14ac:dyDescent="0.75">
      <c r="E940" t="s">
        <v>43</v>
      </c>
      <c r="F940">
        <v>2012</v>
      </c>
      <c r="G940">
        <v>425.71429999999998</v>
      </c>
    </row>
    <row r="941" spans="5:7" x14ac:dyDescent="0.75">
      <c r="E941" t="s">
        <v>43</v>
      </c>
      <c r="F941">
        <v>2013</v>
      </c>
      <c r="G941">
        <v>446.92003999999997</v>
      </c>
    </row>
    <row r="942" spans="5:7" x14ac:dyDescent="0.75">
      <c r="E942" t="s">
        <v>43</v>
      </c>
      <c r="F942">
        <v>2014</v>
      </c>
      <c r="G942">
        <v>440.14508000000001</v>
      </c>
    </row>
    <row r="943" spans="5:7" x14ac:dyDescent="0.75">
      <c r="E943" t="s">
        <v>43</v>
      </c>
      <c r="F943">
        <v>2015</v>
      </c>
      <c r="G943">
        <v>475.86205999999999</v>
      </c>
    </row>
    <row r="944" spans="5:7" x14ac:dyDescent="0.75">
      <c r="E944" t="s">
        <v>43</v>
      </c>
      <c r="F944">
        <v>2016</v>
      </c>
      <c r="G944">
        <v>475.07333</v>
      </c>
    </row>
    <row r="945" spans="5:7" x14ac:dyDescent="0.75">
      <c r="E945" t="s">
        <v>43</v>
      </c>
      <c r="F945">
        <v>2017</v>
      </c>
      <c r="G945">
        <v>446.64031999999997</v>
      </c>
    </row>
    <row r="946" spans="5:7" x14ac:dyDescent="0.75">
      <c r="E946" t="s">
        <v>43</v>
      </c>
      <c r="F946">
        <v>2018</v>
      </c>
      <c r="G946">
        <v>399.4024</v>
      </c>
    </row>
    <row r="947" spans="5:7" x14ac:dyDescent="0.75">
      <c r="E947" t="s">
        <v>43</v>
      </c>
      <c r="F947">
        <v>2019</v>
      </c>
      <c r="G947">
        <v>382.73919999999998</v>
      </c>
    </row>
    <row r="948" spans="5:7" x14ac:dyDescent="0.75">
      <c r="E948" t="s">
        <v>43</v>
      </c>
      <c r="F948">
        <v>2020</v>
      </c>
      <c r="G948">
        <v>396.09235000000001</v>
      </c>
    </row>
    <row r="949" spans="5:7" x14ac:dyDescent="0.75">
      <c r="E949" t="s">
        <v>43</v>
      </c>
      <c r="F949">
        <v>2021</v>
      </c>
      <c r="G949">
        <v>431.71805000000001</v>
      </c>
    </row>
    <row r="950" spans="5:7" x14ac:dyDescent="0.75">
      <c r="E950" t="s">
        <v>43</v>
      </c>
      <c r="F950">
        <v>2022</v>
      </c>
      <c r="G950">
        <v>413.16417999999999</v>
      </c>
    </row>
    <row r="951" spans="5:7" x14ac:dyDescent="0.75">
      <c r="E951" t="s">
        <v>43</v>
      </c>
      <c r="F951">
        <v>2023</v>
      </c>
      <c r="G951">
        <v>393.53100000000001</v>
      </c>
    </row>
    <row r="952" spans="5:7" x14ac:dyDescent="0.75">
      <c r="E952" t="s">
        <v>44</v>
      </c>
      <c r="F952">
        <v>2000</v>
      </c>
      <c r="G952">
        <v>302.40857</v>
      </c>
    </row>
    <row r="953" spans="5:7" x14ac:dyDescent="0.75">
      <c r="E953" t="s">
        <v>44</v>
      </c>
      <c r="F953">
        <v>2001</v>
      </c>
      <c r="G953">
        <v>306.66669999999999</v>
      </c>
    </row>
    <row r="954" spans="5:7" x14ac:dyDescent="0.75">
      <c r="E954" t="s">
        <v>44</v>
      </c>
      <c r="F954">
        <v>2002</v>
      </c>
      <c r="G954">
        <v>370.37036000000001</v>
      </c>
    </row>
    <row r="955" spans="5:7" x14ac:dyDescent="0.75">
      <c r="E955" t="s">
        <v>44</v>
      </c>
      <c r="F955">
        <v>2003</v>
      </c>
      <c r="G955">
        <v>414.13373000000001</v>
      </c>
    </row>
    <row r="956" spans="5:7" x14ac:dyDescent="0.75">
      <c r="E956" t="s">
        <v>44</v>
      </c>
      <c r="F956">
        <v>2004</v>
      </c>
      <c r="G956">
        <v>315.06848000000002</v>
      </c>
    </row>
    <row r="957" spans="5:7" x14ac:dyDescent="0.75">
      <c r="E957" t="s">
        <v>44</v>
      </c>
      <c r="F957">
        <v>2005</v>
      </c>
      <c r="G957">
        <v>336.39843999999999</v>
      </c>
    </row>
    <row r="958" spans="5:7" x14ac:dyDescent="0.75">
      <c r="E958" t="s">
        <v>44</v>
      </c>
      <c r="F958">
        <v>2006</v>
      </c>
      <c r="G958">
        <v>347.01781999999997</v>
      </c>
    </row>
    <row r="959" spans="5:7" x14ac:dyDescent="0.75">
      <c r="E959" t="s">
        <v>44</v>
      </c>
      <c r="F959">
        <v>2007</v>
      </c>
      <c r="G959">
        <v>420.2552</v>
      </c>
    </row>
    <row r="960" spans="5:7" x14ac:dyDescent="0.75">
      <c r="E960" t="s">
        <v>44</v>
      </c>
      <c r="F960">
        <v>2008</v>
      </c>
      <c r="G960">
        <v>382.62912</v>
      </c>
    </row>
    <row r="961" spans="5:7" x14ac:dyDescent="0.75">
      <c r="E961" t="s">
        <v>44</v>
      </c>
      <c r="F961">
        <v>2009</v>
      </c>
      <c r="G961">
        <v>301.87268</v>
      </c>
    </row>
    <row r="962" spans="5:7" x14ac:dyDescent="0.75">
      <c r="E962" t="s">
        <v>44</v>
      </c>
      <c r="F962">
        <v>2010</v>
      </c>
      <c r="G962">
        <v>268.42462</v>
      </c>
    </row>
    <row r="963" spans="5:7" x14ac:dyDescent="0.75">
      <c r="E963" t="s">
        <v>44</v>
      </c>
      <c r="F963">
        <v>2011</v>
      </c>
      <c r="G963">
        <v>374.88869999999997</v>
      </c>
    </row>
    <row r="964" spans="5:7" x14ac:dyDescent="0.75">
      <c r="E964" t="s">
        <v>44</v>
      </c>
      <c r="F964">
        <v>2012</v>
      </c>
      <c r="G964">
        <v>351.93945000000002</v>
      </c>
    </row>
    <row r="965" spans="5:7" x14ac:dyDescent="0.75">
      <c r="E965" t="s">
        <v>44</v>
      </c>
      <c r="F965">
        <v>2013</v>
      </c>
      <c r="G965">
        <v>256.09755999999999</v>
      </c>
    </row>
    <row r="966" spans="5:7" x14ac:dyDescent="0.75">
      <c r="E966" t="s">
        <v>44</v>
      </c>
      <c r="F966">
        <v>2014</v>
      </c>
      <c r="G966">
        <v>226.35889</v>
      </c>
    </row>
    <row r="967" spans="5:7" x14ac:dyDescent="0.75">
      <c r="E967" t="s">
        <v>44</v>
      </c>
      <c r="F967">
        <v>2015</v>
      </c>
      <c r="G967">
        <v>274.91104000000001</v>
      </c>
    </row>
    <row r="968" spans="5:7" x14ac:dyDescent="0.75">
      <c r="E968" t="s">
        <v>44</v>
      </c>
      <c r="F968">
        <v>2016</v>
      </c>
      <c r="G968">
        <v>275.39681999999999</v>
      </c>
    </row>
    <row r="969" spans="5:7" x14ac:dyDescent="0.75">
      <c r="E969" t="s">
        <v>44</v>
      </c>
      <c r="F969">
        <v>2017</v>
      </c>
      <c r="G969">
        <v>255.73491000000001</v>
      </c>
    </row>
    <row r="970" spans="5:7" x14ac:dyDescent="0.75">
      <c r="E970" t="s">
        <v>44</v>
      </c>
      <c r="F970">
        <v>2018</v>
      </c>
      <c r="G970">
        <v>201.18342999999999</v>
      </c>
    </row>
    <row r="971" spans="5:7" x14ac:dyDescent="0.75">
      <c r="E971" t="s">
        <v>44</v>
      </c>
      <c r="F971">
        <v>2019</v>
      </c>
      <c r="G971">
        <v>242.68773999999999</v>
      </c>
    </row>
    <row r="972" spans="5:7" x14ac:dyDescent="0.75">
      <c r="E972" t="s">
        <v>44</v>
      </c>
      <c r="F972">
        <v>2020</v>
      </c>
      <c r="G972">
        <v>226.75737000000001</v>
      </c>
    </row>
    <row r="973" spans="5:7" x14ac:dyDescent="0.75">
      <c r="E973" t="s">
        <v>44</v>
      </c>
      <c r="F973">
        <v>2021</v>
      </c>
      <c r="G973">
        <v>210.45667</v>
      </c>
    </row>
    <row r="974" spans="5:7" x14ac:dyDescent="0.75">
      <c r="E974" t="s">
        <v>44</v>
      </c>
      <c r="F974">
        <v>2022</v>
      </c>
      <c r="G974">
        <v>244.68084999999999</v>
      </c>
    </row>
    <row r="975" spans="5:7" x14ac:dyDescent="0.75">
      <c r="E975" t="s">
        <v>44</v>
      </c>
      <c r="F975">
        <v>2023</v>
      </c>
      <c r="G975">
        <v>197.33025000000001</v>
      </c>
    </row>
    <row r="976" spans="5:7" x14ac:dyDescent="0.75">
      <c r="E976" t="s">
        <v>44</v>
      </c>
      <c r="F976">
        <v>2024</v>
      </c>
      <c r="G976">
        <v>174.47917000000001</v>
      </c>
    </row>
    <row r="977" spans="5:7" x14ac:dyDescent="0.75">
      <c r="E977" t="s">
        <v>45</v>
      </c>
      <c r="F977">
        <v>2000</v>
      </c>
      <c r="G977">
        <v>630.73850000000004</v>
      </c>
    </row>
    <row r="978" spans="5:7" x14ac:dyDescent="0.75">
      <c r="E978" t="s">
        <v>45</v>
      </c>
      <c r="F978">
        <v>2001</v>
      </c>
      <c r="G978">
        <v>632.02610000000004</v>
      </c>
    </row>
    <row r="979" spans="5:7" x14ac:dyDescent="0.75">
      <c r="E979" t="s">
        <v>45</v>
      </c>
      <c r="F979">
        <v>2002</v>
      </c>
      <c r="G979">
        <v>630.97515999999996</v>
      </c>
    </row>
    <row r="980" spans="5:7" x14ac:dyDescent="0.75">
      <c r="E980" t="s">
        <v>45</v>
      </c>
      <c r="F980">
        <v>2003</v>
      </c>
      <c r="G980">
        <v>637.5711</v>
      </c>
    </row>
    <row r="981" spans="5:7" x14ac:dyDescent="0.75">
      <c r="E981" t="s">
        <v>45</v>
      </c>
      <c r="F981">
        <v>2004</v>
      </c>
      <c r="G981">
        <v>637.46799999999996</v>
      </c>
    </row>
    <row r="982" spans="5:7" x14ac:dyDescent="0.75">
      <c r="E982" t="s">
        <v>45</v>
      </c>
      <c r="F982">
        <v>2005</v>
      </c>
      <c r="G982">
        <v>648.85990000000004</v>
      </c>
    </row>
    <row r="983" spans="5:7" x14ac:dyDescent="0.75">
      <c r="E983" t="s">
        <v>45</v>
      </c>
      <c r="F983">
        <v>2006</v>
      </c>
      <c r="G983">
        <v>650.27324999999996</v>
      </c>
    </row>
    <row r="984" spans="5:7" x14ac:dyDescent="0.75">
      <c r="E984" t="s">
        <v>45</v>
      </c>
      <c r="F984">
        <v>2007</v>
      </c>
      <c r="G984">
        <v>650.19870000000003</v>
      </c>
    </row>
    <row r="985" spans="5:7" x14ac:dyDescent="0.75">
      <c r="E985" t="s">
        <v>45</v>
      </c>
      <c r="F985">
        <v>2008</v>
      </c>
      <c r="G985">
        <v>645.92759999999998</v>
      </c>
    </row>
    <row r="986" spans="5:7" x14ac:dyDescent="0.75">
      <c r="E986" t="s">
        <v>45</v>
      </c>
      <c r="F986">
        <v>2009</v>
      </c>
      <c r="G986">
        <v>645.79809999999998</v>
      </c>
    </row>
    <row r="987" spans="5:7" x14ac:dyDescent="0.75">
      <c r="E987" t="s">
        <v>45</v>
      </c>
      <c r="F987">
        <v>2010</v>
      </c>
      <c r="G987">
        <v>648.85059999999999</v>
      </c>
    </row>
    <row r="988" spans="5:7" x14ac:dyDescent="0.75">
      <c r="E988" t="s">
        <v>45</v>
      </c>
      <c r="F988">
        <v>2011</v>
      </c>
      <c r="G988">
        <v>648.45074</v>
      </c>
    </row>
    <row r="989" spans="5:7" x14ac:dyDescent="0.75">
      <c r="E989" t="s">
        <v>45</v>
      </c>
      <c r="F989">
        <v>2012</v>
      </c>
      <c r="G989">
        <v>645.68633999999997</v>
      </c>
    </row>
    <row r="990" spans="5:7" x14ac:dyDescent="0.75">
      <c r="E990" t="s">
        <v>45</v>
      </c>
      <c r="F990">
        <v>2013</v>
      </c>
      <c r="G990">
        <v>639.48050000000001</v>
      </c>
    </row>
    <row r="991" spans="5:7" x14ac:dyDescent="0.75">
      <c r="E991" t="s">
        <v>45</v>
      </c>
      <c r="F991">
        <v>2014</v>
      </c>
      <c r="G991">
        <v>643.33500000000004</v>
      </c>
    </row>
    <row r="992" spans="5:7" x14ac:dyDescent="0.75">
      <c r="E992" t="s">
        <v>45</v>
      </c>
      <c r="F992">
        <v>2015</v>
      </c>
      <c r="G992">
        <v>643.94309999999996</v>
      </c>
    </row>
    <row r="993" spans="5:7" x14ac:dyDescent="0.75">
      <c r="E993" t="s">
        <v>45</v>
      </c>
      <c r="F993">
        <v>2016</v>
      </c>
      <c r="G993">
        <v>643.30899999999997</v>
      </c>
    </row>
    <row r="994" spans="5:7" x14ac:dyDescent="0.75">
      <c r="E994" t="s">
        <v>45</v>
      </c>
      <c r="F994">
        <v>2017</v>
      </c>
      <c r="G994">
        <v>645.60040000000004</v>
      </c>
    </row>
    <row r="995" spans="5:7" x14ac:dyDescent="0.75">
      <c r="E995" t="s">
        <v>45</v>
      </c>
      <c r="F995">
        <v>2018</v>
      </c>
      <c r="G995">
        <v>647.11540000000002</v>
      </c>
    </row>
    <row r="996" spans="5:7" x14ac:dyDescent="0.75">
      <c r="E996" t="s">
        <v>45</v>
      </c>
      <c r="F996">
        <v>2019</v>
      </c>
      <c r="G996">
        <v>641.06280000000004</v>
      </c>
    </row>
    <row r="997" spans="5:7" x14ac:dyDescent="0.75">
      <c r="E997" t="s">
        <v>45</v>
      </c>
      <c r="F997">
        <v>2020</v>
      </c>
      <c r="G997">
        <v>638.99099999999999</v>
      </c>
    </row>
    <row r="998" spans="5:7" x14ac:dyDescent="0.75">
      <c r="E998" t="s">
        <v>45</v>
      </c>
      <c r="F998">
        <v>2021</v>
      </c>
      <c r="G998">
        <v>638.81104000000005</v>
      </c>
    </row>
    <row r="999" spans="5:7" x14ac:dyDescent="0.75">
      <c r="E999" t="s">
        <v>45</v>
      </c>
      <c r="F999">
        <v>2022</v>
      </c>
      <c r="G999">
        <v>640.25559999999996</v>
      </c>
    </row>
    <row r="1000" spans="5:7" x14ac:dyDescent="0.75">
      <c r="E1000" t="s">
        <v>45</v>
      </c>
      <c r="F1000">
        <v>2023</v>
      </c>
      <c r="G1000">
        <v>638.97973999999999</v>
      </c>
    </row>
    <row r="1001" spans="5:7" x14ac:dyDescent="0.75">
      <c r="E1001" t="s">
        <v>46</v>
      </c>
      <c r="F1001">
        <v>2000</v>
      </c>
      <c r="G1001">
        <v>658.75369999999998</v>
      </c>
    </row>
    <row r="1002" spans="5:7" x14ac:dyDescent="0.75">
      <c r="E1002" t="s">
        <v>46</v>
      </c>
      <c r="F1002">
        <v>2001</v>
      </c>
      <c r="G1002">
        <v>659.1549</v>
      </c>
    </row>
    <row r="1003" spans="5:7" x14ac:dyDescent="0.75">
      <c r="E1003" t="s">
        <v>46</v>
      </c>
      <c r="F1003">
        <v>2002</v>
      </c>
      <c r="G1003">
        <v>656.99207000000001</v>
      </c>
    </row>
    <row r="1004" spans="5:7" x14ac:dyDescent="0.75">
      <c r="E1004" t="s">
        <v>46</v>
      </c>
      <c r="F1004">
        <v>2003</v>
      </c>
      <c r="G1004">
        <v>656.79010000000005</v>
      </c>
    </row>
    <row r="1005" spans="5:7" x14ac:dyDescent="0.75">
      <c r="E1005" t="s">
        <v>46</v>
      </c>
      <c r="F1005">
        <v>2004</v>
      </c>
      <c r="G1005">
        <v>657.14290000000005</v>
      </c>
    </row>
    <row r="1006" spans="5:7" x14ac:dyDescent="0.75">
      <c r="E1006" t="s">
        <v>46</v>
      </c>
      <c r="F1006">
        <v>2005</v>
      </c>
      <c r="G1006">
        <v>657.53423999999995</v>
      </c>
    </row>
    <row r="1007" spans="5:7" x14ac:dyDescent="0.75">
      <c r="E1007" t="s">
        <v>46</v>
      </c>
      <c r="F1007">
        <v>2006</v>
      </c>
      <c r="G1007">
        <v>658.06449999999995</v>
      </c>
    </row>
    <row r="1008" spans="5:7" x14ac:dyDescent="0.75">
      <c r="E1008" t="s">
        <v>46</v>
      </c>
      <c r="F1008">
        <v>2007</v>
      </c>
      <c r="G1008">
        <v>657.08420000000001</v>
      </c>
    </row>
    <row r="1009" spans="5:7" x14ac:dyDescent="0.75">
      <c r="E1009" t="s">
        <v>46</v>
      </c>
      <c r="F1009">
        <v>2008</v>
      </c>
      <c r="G1009">
        <v>656.80470000000003</v>
      </c>
    </row>
    <row r="1010" spans="5:7" x14ac:dyDescent="0.75">
      <c r="E1010" t="s">
        <v>46</v>
      </c>
      <c r="F1010">
        <v>2009</v>
      </c>
      <c r="G1010">
        <v>656.42993000000001</v>
      </c>
    </row>
    <row r="1011" spans="5:7" x14ac:dyDescent="0.75">
      <c r="E1011" t="s">
        <v>46</v>
      </c>
      <c r="F1011">
        <v>2010</v>
      </c>
      <c r="G1011">
        <v>649.15575999999999</v>
      </c>
    </row>
    <row r="1012" spans="5:7" x14ac:dyDescent="0.75">
      <c r="E1012" t="s">
        <v>46</v>
      </c>
      <c r="F1012">
        <v>2011</v>
      </c>
      <c r="G1012">
        <v>638.21136000000001</v>
      </c>
    </row>
    <row r="1013" spans="5:7" x14ac:dyDescent="0.75">
      <c r="E1013" t="s">
        <v>46</v>
      </c>
      <c r="F1013">
        <v>2012</v>
      </c>
      <c r="G1013">
        <v>622.88139999999999</v>
      </c>
    </row>
    <row r="1014" spans="5:7" x14ac:dyDescent="0.75">
      <c r="E1014" t="s">
        <v>46</v>
      </c>
      <c r="F1014">
        <v>2013</v>
      </c>
      <c r="G1014">
        <v>610.72260000000006</v>
      </c>
    </row>
    <row r="1015" spans="5:7" x14ac:dyDescent="0.75">
      <c r="E1015" t="s">
        <v>46</v>
      </c>
      <c r="F1015">
        <v>2014</v>
      </c>
      <c r="G1015">
        <v>612.90319999999997</v>
      </c>
    </row>
    <row r="1016" spans="5:7" x14ac:dyDescent="0.75">
      <c r="E1016" t="s">
        <v>46</v>
      </c>
      <c r="F1016">
        <v>2015</v>
      </c>
      <c r="G1016">
        <v>603.52422999999999</v>
      </c>
    </row>
    <row r="1017" spans="5:7" x14ac:dyDescent="0.75">
      <c r="E1017" t="s">
        <v>46</v>
      </c>
      <c r="F1017">
        <v>2016</v>
      </c>
      <c r="G1017">
        <v>603.27202999999997</v>
      </c>
    </row>
    <row r="1018" spans="5:7" x14ac:dyDescent="0.75">
      <c r="E1018" t="s">
        <v>46</v>
      </c>
      <c r="F1018">
        <v>2017</v>
      </c>
      <c r="G1018">
        <v>606</v>
      </c>
    </row>
    <row r="1019" spans="5:7" x14ac:dyDescent="0.75">
      <c r="E1019" t="s">
        <v>46</v>
      </c>
      <c r="F1019">
        <v>2018</v>
      </c>
      <c r="G1019">
        <v>598.81420000000003</v>
      </c>
    </row>
    <row r="1020" spans="5:7" x14ac:dyDescent="0.75">
      <c r="E1020" t="s">
        <v>46</v>
      </c>
      <c r="F1020">
        <v>2019</v>
      </c>
      <c r="G1020">
        <v>596.11645999999996</v>
      </c>
    </row>
    <row r="1021" spans="5:7" x14ac:dyDescent="0.75">
      <c r="E1021" t="s">
        <v>46</v>
      </c>
      <c r="F1021">
        <v>2020</v>
      </c>
      <c r="G1021">
        <v>581.44330000000002</v>
      </c>
    </row>
    <row r="1022" spans="5:7" x14ac:dyDescent="0.75">
      <c r="E1022" t="s">
        <v>46</v>
      </c>
      <c r="F1022">
        <v>2021</v>
      </c>
      <c r="G1022">
        <v>564.45320000000004</v>
      </c>
    </row>
    <row r="1023" spans="5:7" x14ac:dyDescent="0.75">
      <c r="E1023" t="s">
        <v>46</v>
      </c>
      <c r="F1023">
        <v>2022</v>
      </c>
      <c r="G1023">
        <v>555.13306</v>
      </c>
    </row>
    <row r="1024" spans="5:7" x14ac:dyDescent="0.75">
      <c r="E1024" t="s">
        <v>46</v>
      </c>
      <c r="F1024">
        <v>2023</v>
      </c>
      <c r="G1024">
        <v>534.83989999999994</v>
      </c>
    </row>
    <row r="1025" spans="5:7" x14ac:dyDescent="0.75">
      <c r="E1025" t="s">
        <v>46</v>
      </c>
      <c r="F1025">
        <v>2024</v>
      </c>
      <c r="G1025">
        <v>512.23779999999999</v>
      </c>
    </row>
    <row r="1026" spans="5:7" x14ac:dyDescent="0.75">
      <c r="E1026" t="s">
        <v>610</v>
      </c>
      <c r="F1026">
        <v>2000</v>
      </c>
      <c r="G1026">
        <v>767.07809999999995</v>
      </c>
    </row>
    <row r="1027" spans="5:7" x14ac:dyDescent="0.75">
      <c r="E1027" t="s">
        <v>610</v>
      </c>
      <c r="F1027">
        <v>2001</v>
      </c>
      <c r="G1027">
        <v>751.81889999999999</v>
      </c>
    </row>
    <row r="1028" spans="5:7" x14ac:dyDescent="0.75">
      <c r="E1028" t="s">
        <v>610</v>
      </c>
      <c r="F1028">
        <v>2002</v>
      </c>
      <c r="G1028">
        <v>699.34209999999996</v>
      </c>
    </row>
    <row r="1029" spans="5:7" x14ac:dyDescent="0.75">
      <c r="E1029" t="s">
        <v>610</v>
      </c>
      <c r="F1029">
        <v>2003</v>
      </c>
      <c r="G1029">
        <v>651.89030000000002</v>
      </c>
    </row>
    <row r="1030" spans="5:7" x14ac:dyDescent="0.75">
      <c r="E1030" t="s">
        <v>610</v>
      </c>
      <c r="F1030">
        <v>2004</v>
      </c>
      <c r="G1030">
        <v>640.17179999999996</v>
      </c>
    </row>
    <row r="1031" spans="5:7" x14ac:dyDescent="0.75">
      <c r="E1031" t="s">
        <v>610</v>
      </c>
      <c r="F1031">
        <v>2005</v>
      </c>
      <c r="G1031">
        <v>646.64959999999996</v>
      </c>
    </row>
    <row r="1032" spans="5:7" x14ac:dyDescent="0.75">
      <c r="E1032" t="s">
        <v>610</v>
      </c>
      <c r="F1032">
        <v>2006</v>
      </c>
      <c r="G1032">
        <v>634.11425999999994</v>
      </c>
    </row>
    <row r="1033" spans="5:7" x14ac:dyDescent="0.75">
      <c r="E1033" t="s">
        <v>610</v>
      </c>
      <c r="F1033">
        <v>2007</v>
      </c>
      <c r="G1033">
        <v>652.27300000000002</v>
      </c>
    </row>
    <row r="1034" spans="5:7" x14ac:dyDescent="0.75">
      <c r="E1034" t="s">
        <v>610</v>
      </c>
      <c r="F1034">
        <v>2008</v>
      </c>
      <c r="G1034">
        <v>627.52160000000003</v>
      </c>
    </row>
    <row r="1035" spans="5:7" x14ac:dyDescent="0.75">
      <c r="E1035" t="s">
        <v>610</v>
      </c>
      <c r="F1035">
        <v>2009</v>
      </c>
      <c r="G1035">
        <v>603.13574000000006</v>
      </c>
    </row>
    <row r="1036" spans="5:7" x14ac:dyDescent="0.75">
      <c r="E1036" t="s">
        <v>610</v>
      </c>
      <c r="F1036">
        <v>2010</v>
      </c>
      <c r="G1036">
        <v>593.63995</v>
      </c>
    </row>
    <row r="1037" spans="5:7" x14ac:dyDescent="0.75">
      <c r="E1037" t="s">
        <v>610</v>
      </c>
      <c r="F1037">
        <v>2011</v>
      </c>
      <c r="G1037">
        <v>583.56420000000003</v>
      </c>
    </row>
    <row r="1038" spans="5:7" x14ac:dyDescent="0.75">
      <c r="E1038" t="s">
        <v>610</v>
      </c>
      <c r="F1038">
        <v>2012</v>
      </c>
      <c r="G1038">
        <v>552.78357000000005</v>
      </c>
    </row>
    <row r="1039" spans="5:7" x14ac:dyDescent="0.75">
      <c r="E1039" t="s">
        <v>610</v>
      </c>
      <c r="F1039">
        <v>2013</v>
      </c>
      <c r="G1039">
        <v>527.52880000000005</v>
      </c>
    </row>
    <row r="1040" spans="5:7" x14ac:dyDescent="0.75">
      <c r="E1040" t="s">
        <v>610</v>
      </c>
      <c r="F1040">
        <v>2014</v>
      </c>
      <c r="G1040">
        <v>530.83074999999997</v>
      </c>
    </row>
    <row r="1041" spans="5:7" x14ac:dyDescent="0.75">
      <c r="E1041" t="s">
        <v>610</v>
      </c>
      <c r="F1041">
        <v>2015</v>
      </c>
      <c r="G1041">
        <v>553.15796</v>
      </c>
    </row>
    <row r="1042" spans="5:7" x14ac:dyDescent="0.75">
      <c r="E1042" t="s">
        <v>610</v>
      </c>
      <c r="F1042">
        <v>2016</v>
      </c>
      <c r="G1042">
        <v>573.90246999999999</v>
      </c>
    </row>
    <row r="1043" spans="5:7" x14ac:dyDescent="0.75">
      <c r="E1043" t="s">
        <v>610</v>
      </c>
      <c r="F1043">
        <v>2017</v>
      </c>
      <c r="G1043">
        <v>542.32740000000001</v>
      </c>
    </row>
    <row r="1044" spans="5:7" x14ac:dyDescent="0.75">
      <c r="E1044" t="s">
        <v>610</v>
      </c>
      <c r="F1044">
        <v>2018</v>
      </c>
      <c r="G1044">
        <v>532.58870000000002</v>
      </c>
    </row>
    <row r="1045" spans="5:7" x14ac:dyDescent="0.75">
      <c r="E1045" t="s">
        <v>610</v>
      </c>
      <c r="F1045">
        <v>2019</v>
      </c>
      <c r="G1045">
        <v>503.49975999999998</v>
      </c>
    </row>
    <row r="1046" spans="5:7" x14ac:dyDescent="0.75">
      <c r="E1046" t="s">
        <v>610</v>
      </c>
      <c r="F1046">
        <v>2020</v>
      </c>
      <c r="G1046">
        <v>460.1748</v>
      </c>
    </row>
    <row r="1047" spans="5:7" x14ac:dyDescent="0.75">
      <c r="E1047" t="s">
        <v>610</v>
      </c>
      <c r="F1047">
        <v>2021</v>
      </c>
      <c r="G1047">
        <v>471.79059999999998</v>
      </c>
    </row>
    <row r="1048" spans="5:7" x14ac:dyDescent="0.75">
      <c r="E1048" t="s">
        <v>610</v>
      </c>
      <c r="F1048">
        <v>2022</v>
      </c>
      <c r="G1048">
        <v>488.35539999999997</v>
      </c>
    </row>
    <row r="1049" spans="5:7" x14ac:dyDescent="0.75">
      <c r="E1049" t="s">
        <v>610</v>
      </c>
      <c r="F1049">
        <v>2023</v>
      </c>
      <c r="G1049">
        <v>442.55376999999999</v>
      </c>
    </row>
    <row r="1050" spans="5:7" x14ac:dyDescent="0.75">
      <c r="E1050" t="s">
        <v>610</v>
      </c>
      <c r="F1050">
        <v>2024</v>
      </c>
      <c r="G1050">
        <v>413.85921999999999</v>
      </c>
    </row>
    <row r="1051" spans="5:7" x14ac:dyDescent="0.75">
      <c r="E1051" t="s">
        <v>51</v>
      </c>
      <c r="F1051">
        <v>2000</v>
      </c>
      <c r="G1051">
        <v>23.569023000000001</v>
      </c>
    </row>
    <row r="1052" spans="5:7" x14ac:dyDescent="0.75">
      <c r="E1052" t="s">
        <v>51</v>
      </c>
      <c r="F1052">
        <v>2001</v>
      </c>
      <c r="G1052">
        <v>25.33784</v>
      </c>
    </row>
    <row r="1053" spans="5:7" x14ac:dyDescent="0.75">
      <c r="E1053" t="s">
        <v>51</v>
      </c>
      <c r="F1053">
        <v>2002</v>
      </c>
      <c r="G1053">
        <v>24.752476000000001</v>
      </c>
    </row>
    <row r="1054" spans="5:7" x14ac:dyDescent="0.75">
      <c r="E1054" t="s">
        <v>51</v>
      </c>
      <c r="F1054">
        <v>2003</v>
      </c>
      <c r="G1054">
        <v>24.54992</v>
      </c>
    </row>
    <row r="1055" spans="5:7" x14ac:dyDescent="0.75">
      <c r="E1055" t="s">
        <v>51</v>
      </c>
      <c r="F1055">
        <v>2004</v>
      </c>
      <c r="G1055">
        <v>25.641027000000001</v>
      </c>
    </row>
    <row r="1056" spans="5:7" x14ac:dyDescent="0.75">
      <c r="E1056" t="s">
        <v>51</v>
      </c>
      <c r="F1056">
        <v>2005</v>
      </c>
      <c r="G1056">
        <v>24.556618</v>
      </c>
    </row>
    <row r="1057" spans="5:7" x14ac:dyDescent="0.75">
      <c r="E1057" t="s">
        <v>51</v>
      </c>
      <c r="F1057">
        <v>2006</v>
      </c>
      <c r="G1057">
        <v>28</v>
      </c>
    </row>
    <row r="1058" spans="5:7" x14ac:dyDescent="0.75">
      <c r="E1058" t="s">
        <v>51</v>
      </c>
      <c r="F1058">
        <v>2007</v>
      </c>
      <c r="G1058">
        <v>30.651340000000001</v>
      </c>
    </row>
    <row r="1059" spans="5:7" x14ac:dyDescent="0.75">
      <c r="E1059" t="s">
        <v>51</v>
      </c>
      <c r="F1059">
        <v>2008</v>
      </c>
      <c r="G1059">
        <v>31.957388000000002</v>
      </c>
    </row>
    <row r="1060" spans="5:7" x14ac:dyDescent="0.75">
      <c r="E1060" t="s">
        <v>51</v>
      </c>
      <c r="F1060">
        <v>2009</v>
      </c>
      <c r="G1060">
        <v>30.729834</v>
      </c>
    </row>
    <row r="1061" spans="5:7" x14ac:dyDescent="0.75">
      <c r="E1061" t="s">
        <v>51</v>
      </c>
      <c r="F1061">
        <v>2010</v>
      </c>
      <c r="G1061">
        <v>30.651340000000001</v>
      </c>
    </row>
    <row r="1062" spans="5:7" x14ac:dyDescent="0.75">
      <c r="E1062" t="s">
        <v>51</v>
      </c>
      <c r="F1062">
        <v>2011</v>
      </c>
      <c r="G1062">
        <v>30.690536000000002</v>
      </c>
    </row>
    <row r="1063" spans="5:7" x14ac:dyDescent="0.75">
      <c r="E1063" t="s">
        <v>51</v>
      </c>
      <c r="F1063">
        <v>2012</v>
      </c>
      <c r="G1063">
        <v>28.68318</v>
      </c>
    </row>
    <row r="1064" spans="5:7" x14ac:dyDescent="0.75">
      <c r="E1064" t="s">
        <v>51</v>
      </c>
      <c r="F1064">
        <v>2013</v>
      </c>
      <c r="G1064">
        <v>27.644231999999999</v>
      </c>
    </row>
    <row r="1065" spans="5:7" x14ac:dyDescent="0.75">
      <c r="E1065" t="s">
        <v>51</v>
      </c>
      <c r="F1065">
        <v>2014</v>
      </c>
      <c r="G1065">
        <v>28.08989</v>
      </c>
    </row>
    <row r="1066" spans="5:7" x14ac:dyDescent="0.75">
      <c r="E1066" t="s">
        <v>51</v>
      </c>
      <c r="F1066">
        <v>2015</v>
      </c>
      <c r="G1066">
        <v>28.856825000000001</v>
      </c>
    </row>
    <row r="1067" spans="5:7" x14ac:dyDescent="0.75">
      <c r="E1067" t="s">
        <v>51</v>
      </c>
      <c r="F1067">
        <v>2016</v>
      </c>
      <c r="G1067">
        <v>28.291622</v>
      </c>
    </row>
    <row r="1068" spans="5:7" x14ac:dyDescent="0.75">
      <c r="E1068" t="s">
        <v>51</v>
      </c>
      <c r="F1068">
        <v>2017</v>
      </c>
      <c r="G1068">
        <v>28.183717999999999</v>
      </c>
    </row>
    <row r="1069" spans="5:7" x14ac:dyDescent="0.75">
      <c r="E1069" t="s">
        <v>51</v>
      </c>
      <c r="F1069">
        <v>2018</v>
      </c>
      <c r="G1069">
        <v>29.878617999999999</v>
      </c>
    </row>
    <row r="1070" spans="5:7" x14ac:dyDescent="0.75">
      <c r="E1070" t="s">
        <v>51</v>
      </c>
      <c r="F1070">
        <v>2019</v>
      </c>
      <c r="G1070">
        <v>28.262678000000001</v>
      </c>
    </row>
    <row r="1071" spans="5:7" x14ac:dyDescent="0.75">
      <c r="E1071" t="s">
        <v>51</v>
      </c>
      <c r="F1071">
        <v>2020</v>
      </c>
      <c r="G1071">
        <v>25.579535</v>
      </c>
    </row>
    <row r="1072" spans="5:7" x14ac:dyDescent="0.75">
      <c r="E1072" t="s">
        <v>51</v>
      </c>
      <c r="F1072">
        <v>2021</v>
      </c>
      <c r="G1072">
        <v>26.038001999999999</v>
      </c>
    </row>
    <row r="1073" spans="5:7" x14ac:dyDescent="0.75">
      <c r="E1073" t="s">
        <v>51</v>
      </c>
      <c r="F1073">
        <v>2022</v>
      </c>
      <c r="G1073">
        <v>27.397258999999998</v>
      </c>
    </row>
    <row r="1074" spans="5:7" x14ac:dyDescent="0.75">
      <c r="E1074" t="s">
        <v>51</v>
      </c>
      <c r="F1074">
        <v>2023</v>
      </c>
      <c r="G1074">
        <v>27.044025000000001</v>
      </c>
    </row>
    <row r="1075" spans="5:7" x14ac:dyDescent="0.75">
      <c r="E1075" t="s">
        <v>47</v>
      </c>
      <c r="F1075">
        <v>2000</v>
      </c>
      <c r="G1075">
        <v>627.89404000000002</v>
      </c>
    </row>
    <row r="1076" spans="5:7" x14ac:dyDescent="0.75">
      <c r="E1076" t="s">
        <v>47</v>
      </c>
      <c r="F1076">
        <v>2001</v>
      </c>
      <c r="G1076">
        <v>630.79380000000003</v>
      </c>
    </row>
    <row r="1077" spans="5:7" x14ac:dyDescent="0.75">
      <c r="E1077" t="s">
        <v>47</v>
      </c>
      <c r="F1077">
        <v>2002</v>
      </c>
      <c r="G1077">
        <v>618.67010000000005</v>
      </c>
    </row>
    <row r="1078" spans="5:7" x14ac:dyDescent="0.75">
      <c r="E1078" t="s">
        <v>47</v>
      </c>
      <c r="F1078">
        <v>2003</v>
      </c>
      <c r="G1078">
        <v>651.51184000000001</v>
      </c>
    </row>
    <row r="1079" spans="5:7" x14ac:dyDescent="0.75">
      <c r="E1079" t="s">
        <v>47</v>
      </c>
      <c r="F1079">
        <v>2004</v>
      </c>
      <c r="G1079">
        <v>581.26239999999996</v>
      </c>
    </row>
    <row r="1080" spans="5:7" x14ac:dyDescent="0.75">
      <c r="E1080" t="s">
        <v>47</v>
      </c>
      <c r="F1080">
        <v>2005</v>
      </c>
      <c r="G1080">
        <v>552.66076999999996</v>
      </c>
    </row>
    <row r="1081" spans="5:7" x14ac:dyDescent="0.75">
      <c r="E1081" t="s">
        <v>47</v>
      </c>
      <c r="F1081">
        <v>2006</v>
      </c>
      <c r="G1081">
        <v>635.3433</v>
      </c>
    </row>
    <row r="1082" spans="5:7" x14ac:dyDescent="0.75">
      <c r="E1082" t="s">
        <v>47</v>
      </c>
      <c r="F1082">
        <v>2007</v>
      </c>
      <c r="G1082">
        <v>597.0874</v>
      </c>
    </row>
    <row r="1083" spans="5:7" x14ac:dyDescent="0.75">
      <c r="E1083" t="s">
        <v>47</v>
      </c>
      <c r="F1083">
        <v>2008</v>
      </c>
      <c r="G1083">
        <v>577.30259999999998</v>
      </c>
    </row>
    <row r="1084" spans="5:7" x14ac:dyDescent="0.75">
      <c r="E1084" t="s">
        <v>47</v>
      </c>
      <c r="F1084">
        <v>2009</v>
      </c>
      <c r="G1084">
        <v>582.89655000000005</v>
      </c>
    </row>
    <row r="1085" spans="5:7" x14ac:dyDescent="0.75">
      <c r="E1085" t="s">
        <v>47</v>
      </c>
      <c r="F1085">
        <v>2010</v>
      </c>
      <c r="G1085">
        <v>540.38710000000003</v>
      </c>
    </row>
    <row r="1086" spans="5:7" x14ac:dyDescent="0.75">
      <c r="E1086" t="s">
        <v>47</v>
      </c>
      <c r="F1086">
        <v>2011</v>
      </c>
      <c r="G1086">
        <v>486.47107</v>
      </c>
    </row>
    <row r="1087" spans="5:7" x14ac:dyDescent="0.75">
      <c r="E1087" t="s">
        <v>47</v>
      </c>
      <c r="F1087">
        <v>2012</v>
      </c>
      <c r="G1087">
        <v>431.14166</v>
      </c>
    </row>
    <row r="1088" spans="5:7" x14ac:dyDescent="0.75">
      <c r="E1088" t="s">
        <v>47</v>
      </c>
      <c r="F1088">
        <v>2013</v>
      </c>
      <c r="G1088">
        <v>472.40683000000001</v>
      </c>
    </row>
    <row r="1089" spans="5:7" x14ac:dyDescent="0.75">
      <c r="E1089" t="s">
        <v>47</v>
      </c>
      <c r="F1089">
        <v>2014</v>
      </c>
      <c r="G1089">
        <v>400.74905000000001</v>
      </c>
    </row>
    <row r="1090" spans="5:7" x14ac:dyDescent="0.75">
      <c r="E1090" t="s">
        <v>47</v>
      </c>
      <c r="F1090">
        <v>2015</v>
      </c>
      <c r="G1090">
        <v>313.75954999999999</v>
      </c>
    </row>
    <row r="1091" spans="5:7" x14ac:dyDescent="0.75">
      <c r="E1091" t="s">
        <v>47</v>
      </c>
      <c r="F1091">
        <v>2016</v>
      </c>
      <c r="G1091">
        <v>360.8553</v>
      </c>
    </row>
    <row r="1092" spans="5:7" x14ac:dyDescent="0.75">
      <c r="E1092" t="s">
        <v>47</v>
      </c>
      <c r="F1092">
        <v>2017</v>
      </c>
      <c r="G1092">
        <v>282.84789999999998</v>
      </c>
    </row>
    <row r="1093" spans="5:7" x14ac:dyDescent="0.75">
      <c r="E1093" t="s">
        <v>47</v>
      </c>
      <c r="F1093">
        <v>2018</v>
      </c>
      <c r="G1093">
        <v>296.92156999999997</v>
      </c>
    </row>
    <row r="1094" spans="5:7" x14ac:dyDescent="0.75">
      <c r="E1094" t="s">
        <v>47</v>
      </c>
      <c r="F1094">
        <v>2019</v>
      </c>
      <c r="G1094">
        <v>204.29007999999999</v>
      </c>
    </row>
    <row r="1095" spans="5:7" x14ac:dyDescent="0.75">
      <c r="E1095" t="s">
        <v>47</v>
      </c>
      <c r="F1095">
        <v>2020</v>
      </c>
      <c r="G1095">
        <v>188.94331</v>
      </c>
    </row>
    <row r="1096" spans="5:7" x14ac:dyDescent="0.75">
      <c r="E1096" t="s">
        <v>47</v>
      </c>
      <c r="F1096">
        <v>2021</v>
      </c>
      <c r="G1096">
        <v>222.96477999999999</v>
      </c>
    </row>
    <row r="1097" spans="5:7" x14ac:dyDescent="0.75">
      <c r="E1097" t="s">
        <v>47</v>
      </c>
      <c r="F1097">
        <v>2022</v>
      </c>
      <c r="G1097">
        <v>201.20033000000001</v>
      </c>
    </row>
    <row r="1098" spans="5:7" x14ac:dyDescent="0.75">
      <c r="E1098" t="s">
        <v>47</v>
      </c>
      <c r="F1098">
        <v>2023</v>
      </c>
      <c r="G1098">
        <v>149.80718999999999</v>
      </c>
    </row>
    <row r="1099" spans="5:7" x14ac:dyDescent="0.75">
      <c r="E1099" t="s">
        <v>47</v>
      </c>
      <c r="F1099">
        <v>2024</v>
      </c>
      <c r="G1099">
        <v>143.30042</v>
      </c>
    </row>
    <row r="1100" spans="5:7" x14ac:dyDescent="0.75">
      <c r="E1100" t="s">
        <v>48</v>
      </c>
      <c r="F1100">
        <v>2000</v>
      </c>
      <c r="G1100">
        <v>666.66660000000002</v>
      </c>
    </row>
    <row r="1101" spans="5:7" x14ac:dyDescent="0.75">
      <c r="E1101" t="s">
        <v>48</v>
      </c>
      <c r="F1101">
        <v>2001</v>
      </c>
      <c r="G1101">
        <v>684.21050000000002</v>
      </c>
    </row>
    <row r="1102" spans="5:7" x14ac:dyDescent="0.75">
      <c r="E1102" t="s">
        <v>48</v>
      </c>
      <c r="F1102">
        <v>2002</v>
      </c>
      <c r="G1102">
        <v>649.99994000000004</v>
      </c>
    </row>
    <row r="1103" spans="5:7" x14ac:dyDescent="0.75">
      <c r="E1103" t="s">
        <v>48</v>
      </c>
      <c r="F1103">
        <v>2003</v>
      </c>
      <c r="G1103">
        <v>649.99994000000004</v>
      </c>
    </row>
    <row r="1104" spans="5:7" x14ac:dyDescent="0.75">
      <c r="E1104" t="s">
        <v>48</v>
      </c>
      <c r="F1104">
        <v>2004</v>
      </c>
      <c r="G1104">
        <v>636.36365000000001</v>
      </c>
    </row>
    <row r="1105" spans="5:7" x14ac:dyDescent="0.75">
      <c r="E1105" t="s">
        <v>48</v>
      </c>
      <c r="F1105">
        <v>2005</v>
      </c>
      <c r="G1105">
        <v>666.66660000000002</v>
      </c>
    </row>
    <row r="1106" spans="5:7" x14ac:dyDescent="0.75">
      <c r="E1106" t="s">
        <v>48</v>
      </c>
      <c r="F1106">
        <v>2006</v>
      </c>
      <c r="G1106">
        <v>645.16129999999998</v>
      </c>
    </row>
    <row r="1107" spans="5:7" x14ac:dyDescent="0.75">
      <c r="E1107" t="s">
        <v>48</v>
      </c>
      <c r="F1107">
        <v>2007</v>
      </c>
      <c r="G1107">
        <v>656.25</v>
      </c>
    </row>
    <row r="1108" spans="5:7" x14ac:dyDescent="0.75">
      <c r="E1108" t="s">
        <v>48</v>
      </c>
      <c r="F1108">
        <v>2008</v>
      </c>
      <c r="G1108">
        <v>647.05884000000003</v>
      </c>
    </row>
    <row r="1109" spans="5:7" x14ac:dyDescent="0.75">
      <c r="E1109" t="s">
        <v>48</v>
      </c>
      <c r="F1109">
        <v>2009</v>
      </c>
      <c r="G1109">
        <v>657.14290000000005</v>
      </c>
    </row>
    <row r="1110" spans="5:7" x14ac:dyDescent="0.75">
      <c r="E1110" t="s">
        <v>48</v>
      </c>
      <c r="F1110">
        <v>2010</v>
      </c>
      <c r="G1110">
        <v>657.89480000000003</v>
      </c>
    </row>
    <row r="1111" spans="5:7" x14ac:dyDescent="0.75">
      <c r="E1111" t="s">
        <v>48</v>
      </c>
      <c r="F1111">
        <v>2011</v>
      </c>
      <c r="G1111">
        <v>666.66669999999999</v>
      </c>
    </row>
    <row r="1112" spans="5:7" x14ac:dyDescent="0.75">
      <c r="E1112" t="s">
        <v>48</v>
      </c>
      <c r="F1112">
        <v>2012</v>
      </c>
      <c r="G1112">
        <v>666.66669999999999</v>
      </c>
    </row>
    <row r="1113" spans="5:7" x14ac:dyDescent="0.75">
      <c r="E1113" t="s">
        <v>48</v>
      </c>
      <c r="F1113">
        <v>2013</v>
      </c>
      <c r="G1113">
        <v>651.16279999999995</v>
      </c>
    </row>
    <row r="1114" spans="5:7" x14ac:dyDescent="0.75">
      <c r="E1114" t="s">
        <v>48</v>
      </c>
      <c r="F1114">
        <v>2014</v>
      </c>
      <c r="G1114">
        <v>700</v>
      </c>
    </row>
    <row r="1115" spans="5:7" x14ac:dyDescent="0.75">
      <c r="E1115" t="s">
        <v>48</v>
      </c>
      <c r="F1115">
        <v>2015</v>
      </c>
      <c r="G1115">
        <v>666.66660000000002</v>
      </c>
    </row>
    <row r="1116" spans="5:7" x14ac:dyDescent="0.75">
      <c r="E1116" t="s">
        <v>48</v>
      </c>
      <c r="F1116">
        <v>2016</v>
      </c>
      <c r="G1116">
        <v>666.66660000000002</v>
      </c>
    </row>
    <row r="1117" spans="5:7" x14ac:dyDescent="0.75">
      <c r="E1117" t="s">
        <v>48</v>
      </c>
      <c r="F1117">
        <v>2017</v>
      </c>
      <c r="G1117">
        <v>666.66669999999999</v>
      </c>
    </row>
    <row r="1118" spans="5:7" x14ac:dyDescent="0.75">
      <c r="E1118" t="s">
        <v>48</v>
      </c>
      <c r="F1118">
        <v>2018</v>
      </c>
      <c r="G1118">
        <v>600</v>
      </c>
    </row>
    <row r="1119" spans="5:7" x14ac:dyDescent="0.75">
      <c r="E1119" t="s">
        <v>48</v>
      </c>
      <c r="F1119">
        <v>2019</v>
      </c>
      <c r="G1119">
        <v>666.66660000000002</v>
      </c>
    </row>
    <row r="1120" spans="5:7" x14ac:dyDescent="0.75">
      <c r="E1120" t="s">
        <v>48</v>
      </c>
      <c r="F1120">
        <v>2020</v>
      </c>
      <c r="G1120">
        <v>692.30773999999997</v>
      </c>
    </row>
    <row r="1121" spans="5:7" x14ac:dyDescent="0.75">
      <c r="E1121" t="s">
        <v>48</v>
      </c>
      <c r="F1121">
        <v>2021</v>
      </c>
      <c r="G1121">
        <v>450</v>
      </c>
    </row>
    <row r="1122" spans="5:7" x14ac:dyDescent="0.75">
      <c r="E1122" t="s">
        <v>48</v>
      </c>
      <c r="F1122">
        <v>2022</v>
      </c>
      <c r="G1122">
        <v>450</v>
      </c>
    </row>
    <row r="1123" spans="5:7" x14ac:dyDescent="0.75">
      <c r="E1123" t="s">
        <v>48</v>
      </c>
      <c r="F1123">
        <v>2023</v>
      </c>
      <c r="G1123">
        <v>450</v>
      </c>
    </row>
    <row r="1124" spans="5:7" x14ac:dyDescent="0.75">
      <c r="E1124" t="s">
        <v>49</v>
      </c>
      <c r="F1124">
        <v>2000</v>
      </c>
      <c r="G1124">
        <v>375</v>
      </c>
    </row>
    <row r="1125" spans="5:7" x14ac:dyDescent="0.75">
      <c r="E1125" t="s">
        <v>49</v>
      </c>
      <c r="F1125">
        <v>2001</v>
      </c>
      <c r="G1125">
        <v>375</v>
      </c>
    </row>
    <row r="1126" spans="5:7" x14ac:dyDescent="0.75">
      <c r="E1126" t="s">
        <v>49</v>
      </c>
      <c r="F1126">
        <v>2002</v>
      </c>
      <c r="G1126">
        <v>428.57139999999998</v>
      </c>
    </row>
    <row r="1127" spans="5:7" x14ac:dyDescent="0.75">
      <c r="E1127" t="s">
        <v>49</v>
      </c>
      <c r="F1127">
        <v>2003</v>
      </c>
      <c r="G1127">
        <v>375</v>
      </c>
    </row>
    <row r="1128" spans="5:7" x14ac:dyDescent="0.75">
      <c r="E1128" t="s">
        <v>49</v>
      </c>
      <c r="F1128">
        <v>2004</v>
      </c>
      <c r="G1128">
        <v>454.54547000000002</v>
      </c>
    </row>
    <row r="1129" spans="5:7" x14ac:dyDescent="0.75">
      <c r="E1129" t="s">
        <v>49</v>
      </c>
      <c r="F1129">
        <v>2005</v>
      </c>
      <c r="G1129">
        <v>500</v>
      </c>
    </row>
    <row r="1130" spans="5:7" x14ac:dyDescent="0.75">
      <c r="E1130" t="s">
        <v>49</v>
      </c>
      <c r="F1130">
        <v>2006</v>
      </c>
      <c r="G1130">
        <v>500</v>
      </c>
    </row>
    <row r="1131" spans="5:7" x14ac:dyDescent="0.75">
      <c r="E1131" t="s">
        <v>49</v>
      </c>
      <c r="F1131">
        <v>2007</v>
      </c>
      <c r="G1131">
        <v>583.33339999999998</v>
      </c>
    </row>
    <row r="1132" spans="5:7" x14ac:dyDescent="0.75">
      <c r="E1132" t="s">
        <v>49</v>
      </c>
      <c r="F1132">
        <v>2008</v>
      </c>
      <c r="G1132">
        <v>538.46154999999999</v>
      </c>
    </row>
    <row r="1133" spans="5:7" x14ac:dyDescent="0.75">
      <c r="E1133" t="s">
        <v>49</v>
      </c>
      <c r="F1133">
        <v>2009</v>
      </c>
      <c r="G1133">
        <v>538.46154999999999</v>
      </c>
    </row>
    <row r="1134" spans="5:7" x14ac:dyDescent="0.75">
      <c r="E1134" t="s">
        <v>49</v>
      </c>
      <c r="F1134">
        <v>2010</v>
      </c>
      <c r="G1134">
        <v>571.42849999999999</v>
      </c>
    </row>
    <row r="1135" spans="5:7" x14ac:dyDescent="0.75">
      <c r="E1135" t="s">
        <v>49</v>
      </c>
      <c r="F1135">
        <v>2011</v>
      </c>
      <c r="G1135">
        <v>466.66665999999998</v>
      </c>
    </row>
    <row r="1136" spans="5:7" x14ac:dyDescent="0.75">
      <c r="E1136" t="s">
        <v>49</v>
      </c>
      <c r="F1136">
        <v>2012</v>
      </c>
      <c r="G1136">
        <v>533.33330000000001</v>
      </c>
    </row>
    <row r="1137" spans="5:7" x14ac:dyDescent="0.75">
      <c r="E1137" t="s">
        <v>49</v>
      </c>
      <c r="F1137">
        <v>2013</v>
      </c>
      <c r="G1137">
        <v>466.66665999999998</v>
      </c>
    </row>
    <row r="1138" spans="5:7" x14ac:dyDescent="0.75">
      <c r="E1138" t="s">
        <v>49</v>
      </c>
      <c r="F1138">
        <v>2014</v>
      </c>
      <c r="G1138">
        <v>533.33330000000001</v>
      </c>
    </row>
    <row r="1139" spans="5:7" x14ac:dyDescent="0.75">
      <c r="E1139" t="s">
        <v>49</v>
      </c>
      <c r="F1139">
        <v>2015</v>
      </c>
      <c r="G1139">
        <v>600</v>
      </c>
    </row>
    <row r="1140" spans="5:7" x14ac:dyDescent="0.75">
      <c r="E1140" t="s">
        <v>49</v>
      </c>
      <c r="F1140">
        <v>2016</v>
      </c>
      <c r="G1140">
        <v>500</v>
      </c>
    </row>
    <row r="1141" spans="5:7" x14ac:dyDescent="0.75">
      <c r="E1141" t="s">
        <v>49</v>
      </c>
      <c r="F1141">
        <v>2017</v>
      </c>
      <c r="G1141">
        <v>538.46154999999999</v>
      </c>
    </row>
    <row r="1142" spans="5:7" x14ac:dyDescent="0.75">
      <c r="E1142" t="s">
        <v>49</v>
      </c>
      <c r="F1142">
        <v>2018</v>
      </c>
      <c r="G1142">
        <v>545.45450000000005</v>
      </c>
    </row>
    <row r="1143" spans="5:7" x14ac:dyDescent="0.75">
      <c r="E1143" t="s">
        <v>49</v>
      </c>
      <c r="F1143">
        <v>2019</v>
      </c>
      <c r="G1143">
        <v>571.42849999999999</v>
      </c>
    </row>
    <row r="1144" spans="5:7" x14ac:dyDescent="0.75">
      <c r="E1144" t="s">
        <v>49</v>
      </c>
      <c r="F1144">
        <v>2020</v>
      </c>
      <c r="G1144">
        <v>571.42849999999999</v>
      </c>
    </row>
    <row r="1145" spans="5:7" x14ac:dyDescent="0.75">
      <c r="E1145" t="s">
        <v>49</v>
      </c>
      <c r="F1145">
        <v>2021</v>
      </c>
      <c r="G1145">
        <v>571.42849999999999</v>
      </c>
    </row>
    <row r="1146" spans="5:7" x14ac:dyDescent="0.75">
      <c r="E1146" t="s">
        <v>49</v>
      </c>
      <c r="F1146">
        <v>2022</v>
      </c>
      <c r="G1146">
        <v>600</v>
      </c>
    </row>
    <row r="1147" spans="5:7" x14ac:dyDescent="0.75">
      <c r="E1147" t="s">
        <v>49</v>
      </c>
      <c r="F1147">
        <v>2023</v>
      </c>
      <c r="G1147">
        <v>600</v>
      </c>
    </row>
    <row r="1148" spans="5:7" x14ac:dyDescent="0.75">
      <c r="E1148" t="s">
        <v>50</v>
      </c>
      <c r="F1148">
        <v>2000</v>
      </c>
      <c r="G1148">
        <v>615.68024000000003</v>
      </c>
    </row>
    <row r="1149" spans="5:7" x14ac:dyDescent="0.75">
      <c r="E1149" t="s">
        <v>50</v>
      </c>
      <c r="F1149">
        <v>2001</v>
      </c>
      <c r="G1149">
        <v>619.93769999999995</v>
      </c>
    </row>
    <row r="1150" spans="5:7" x14ac:dyDescent="0.75">
      <c r="E1150" t="s">
        <v>50</v>
      </c>
      <c r="F1150">
        <v>2002</v>
      </c>
      <c r="G1150">
        <v>621.58276000000001</v>
      </c>
    </row>
    <row r="1151" spans="5:7" x14ac:dyDescent="0.75">
      <c r="E1151" t="s">
        <v>50</v>
      </c>
      <c r="F1151">
        <v>2003</v>
      </c>
      <c r="G1151">
        <v>612.12976000000003</v>
      </c>
    </row>
    <row r="1152" spans="5:7" x14ac:dyDescent="0.75">
      <c r="E1152" t="s">
        <v>50</v>
      </c>
      <c r="F1152">
        <v>2004</v>
      </c>
      <c r="G1152">
        <v>584.02660000000003</v>
      </c>
    </row>
    <row r="1153" spans="5:7" x14ac:dyDescent="0.75">
      <c r="E1153" t="s">
        <v>50</v>
      </c>
      <c r="F1153">
        <v>2005</v>
      </c>
      <c r="G1153">
        <v>574.96249999999998</v>
      </c>
    </row>
    <row r="1154" spans="5:7" x14ac:dyDescent="0.75">
      <c r="E1154" t="s">
        <v>50</v>
      </c>
      <c r="F1154">
        <v>2006</v>
      </c>
      <c r="G1154">
        <v>588.23535000000004</v>
      </c>
    </row>
    <row r="1155" spans="5:7" x14ac:dyDescent="0.75">
      <c r="E1155" t="s">
        <v>50</v>
      </c>
      <c r="F1155">
        <v>2007</v>
      </c>
      <c r="G1155">
        <v>588.19489999999996</v>
      </c>
    </row>
    <row r="1156" spans="5:7" x14ac:dyDescent="0.75">
      <c r="E1156" t="s">
        <v>50</v>
      </c>
      <c r="F1156">
        <v>2008</v>
      </c>
      <c r="G1156">
        <v>601.64269999999999</v>
      </c>
    </row>
    <row r="1157" spans="5:7" x14ac:dyDescent="0.75">
      <c r="E1157" t="s">
        <v>50</v>
      </c>
      <c r="F1157">
        <v>2009</v>
      </c>
      <c r="G1157">
        <v>593.45450000000005</v>
      </c>
    </row>
    <row r="1158" spans="5:7" x14ac:dyDescent="0.75">
      <c r="E1158" t="s">
        <v>50</v>
      </c>
      <c r="F1158">
        <v>2010</v>
      </c>
      <c r="G1158">
        <v>587.95667000000003</v>
      </c>
    </row>
    <row r="1159" spans="5:7" x14ac:dyDescent="0.75">
      <c r="E1159" t="s">
        <v>50</v>
      </c>
      <c r="F1159">
        <v>2011</v>
      </c>
      <c r="G1159">
        <v>590.10149999999999</v>
      </c>
    </row>
    <row r="1160" spans="5:7" x14ac:dyDescent="0.75">
      <c r="E1160" t="s">
        <v>50</v>
      </c>
      <c r="F1160">
        <v>2012</v>
      </c>
      <c r="G1160">
        <v>582.24854000000005</v>
      </c>
    </row>
    <row r="1161" spans="5:7" x14ac:dyDescent="0.75">
      <c r="E1161" t="s">
        <v>50</v>
      </c>
      <c r="F1161">
        <v>2013</v>
      </c>
      <c r="G1161">
        <v>571.67049999999995</v>
      </c>
    </row>
    <row r="1162" spans="5:7" x14ac:dyDescent="0.75">
      <c r="E1162" t="s">
        <v>50</v>
      </c>
      <c r="F1162">
        <v>2014</v>
      </c>
      <c r="G1162">
        <v>593.75</v>
      </c>
    </row>
    <row r="1163" spans="5:7" x14ac:dyDescent="0.75">
      <c r="E1163" t="s">
        <v>50</v>
      </c>
      <c r="F1163">
        <v>2015</v>
      </c>
      <c r="G1163">
        <v>606.11109999999996</v>
      </c>
    </row>
    <row r="1164" spans="5:7" x14ac:dyDescent="0.75">
      <c r="E1164" t="s">
        <v>50</v>
      </c>
      <c r="F1164">
        <v>2016</v>
      </c>
      <c r="G1164">
        <v>589.98929999999996</v>
      </c>
    </row>
    <row r="1165" spans="5:7" x14ac:dyDescent="0.75">
      <c r="E1165" t="s">
        <v>50</v>
      </c>
      <c r="F1165">
        <v>2017</v>
      </c>
      <c r="G1165">
        <v>550.52080000000001</v>
      </c>
    </row>
    <row r="1166" spans="5:7" x14ac:dyDescent="0.75">
      <c r="E1166" t="s">
        <v>50</v>
      </c>
      <c r="F1166">
        <v>2018</v>
      </c>
      <c r="G1166">
        <v>566.32654000000002</v>
      </c>
    </row>
    <row r="1167" spans="5:7" x14ac:dyDescent="0.75">
      <c r="E1167" t="s">
        <v>50</v>
      </c>
      <c r="F1167">
        <v>2019</v>
      </c>
      <c r="G1167">
        <v>582.70669999999996</v>
      </c>
    </row>
    <row r="1168" spans="5:7" x14ac:dyDescent="0.75">
      <c r="E1168" t="s">
        <v>50</v>
      </c>
      <c r="F1168">
        <v>2020</v>
      </c>
      <c r="G1168">
        <v>581.32370000000003</v>
      </c>
    </row>
    <row r="1169" spans="5:7" x14ac:dyDescent="0.75">
      <c r="E1169" t="s">
        <v>50</v>
      </c>
      <c r="F1169">
        <v>2021</v>
      </c>
      <c r="G1169">
        <v>558.56273999999996</v>
      </c>
    </row>
    <row r="1170" spans="5:7" x14ac:dyDescent="0.75">
      <c r="E1170" t="s">
        <v>50</v>
      </c>
      <c r="F1170">
        <v>2022</v>
      </c>
      <c r="G1170">
        <v>580.06309999999996</v>
      </c>
    </row>
    <row r="1171" spans="5:7" x14ac:dyDescent="0.75">
      <c r="E1171" t="s">
        <v>50</v>
      </c>
      <c r="F1171">
        <v>2023</v>
      </c>
      <c r="G1171">
        <v>579.39739999999995</v>
      </c>
    </row>
    <row r="1172" spans="5:7" x14ac:dyDescent="0.75">
      <c r="E1172" t="s">
        <v>50</v>
      </c>
      <c r="F1172">
        <v>2024</v>
      </c>
      <c r="G1172">
        <v>566.69179999999994</v>
      </c>
    </row>
    <row r="1173" spans="5:7" x14ac:dyDescent="0.75">
      <c r="E1173" t="s">
        <v>166</v>
      </c>
      <c r="F1173">
        <v>2003</v>
      </c>
      <c r="G1173">
        <v>666.66669999999999</v>
      </c>
    </row>
    <row r="1174" spans="5:7" x14ac:dyDescent="0.75">
      <c r="E1174" t="s">
        <v>166</v>
      </c>
      <c r="F1174">
        <v>2004</v>
      </c>
      <c r="G1174">
        <v>714.28570000000002</v>
      </c>
    </row>
    <row r="1175" spans="5:7" x14ac:dyDescent="0.75">
      <c r="E1175" t="s">
        <v>166</v>
      </c>
      <c r="F1175">
        <v>2005</v>
      </c>
      <c r="G1175">
        <v>714.28570000000002</v>
      </c>
    </row>
    <row r="1176" spans="5:7" x14ac:dyDescent="0.75">
      <c r="E1176" t="s">
        <v>166</v>
      </c>
      <c r="F1176">
        <v>2006</v>
      </c>
      <c r="G1176">
        <v>714.28570000000002</v>
      </c>
    </row>
    <row r="1177" spans="5:7" x14ac:dyDescent="0.75">
      <c r="E1177" t="s">
        <v>166</v>
      </c>
      <c r="F1177">
        <v>2007</v>
      </c>
      <c r="G1177">
        <v>666.66660000000002</v>
      </c>
    </row>
    <row r="1178" spans="5:7" x14ac:dyDescent="0.75">
      <c r="E1178" t="s">
        <v>166</v>
      </c>
      <c r="F1178">
        <v>2008</v>
      </c>
      <c r="G1178">
        <v>636.36365000000001</v>
      </c>
    </row>
    <row r="1179" spans="5:7" x14ac:dyDescent="0.75">
      <c r="E1179" t="s">
        <v>166</v>
      </c>
      <c r="F1179">
        <v>2009</v>
      </c>
      <c r="G1179">
        <v>692.30773999999997</v>
      </c>
    </row>
    <row r="1180" spans="5:7" x14ac:dyDescent="0.75">
      <c r="E1180" t="s">
        <v>166</v>
      </c>
      <c r="F1180">
        <v>2010</v>
      </c>
      <c r="G1180">
        <v>642.85720000000003</v>
      </c>
    </row>
    <row r="1181" spans="5:7" x14ac:dyDescent="0.75">
      <c r="E1181" t="s">
        <v>166</v>
      </c>
      <c r="F1181">
        <v>2011</v>
      </c>
      <c r="G1181">
        <v>642.85720000000003</v>
      </c>
    </row>
    <row r="1182" spans="5:7" x14ac:dyDescent="0.75">
      <c r="E1182" t="s">
        <v>166</v>
      </c>
      <c r="F1182">
        <v>2012</v>
      </c>
      <c r="G1182">
        <v>692.30773999999997</v>
      </c>
    </row>
    <row r="1183" spans="5:7" x14ac:dyDescent="0.75">
      <c r="E1183" t="s">
        <v>166</v>
      </c>
      <c r="F1183">
        <v>2013</v>
      </c>
      <c r="G1183">
        <v>655.17240000000004</v>
      </c>
    </row>
    <row r="1184" spans="5:7" x14ac:dyDescent="0.75">
      <c r="E1184" t="s">
        <v>166</v>
      </c>
      <c r="F1184">
        <v>2014</v>
      </c>
      <c r="G1184">
        <v>657.14290000000005</v>
      </c>
    </row>
    <row r="1185" spans="5:7" x14ac:dyDescent="0.75">
      <c r="E1185" t="s">
        <v>166</v>
      </c>
      <c r="F1185">
        <v>2015</v>
      </c>
      <c r="G1185">
        <v>657.14290000000005</v>
      </c>
    </row>
    <row r="1186" spans="5:7" x14ac:dyDescent="0.75">
      <c r="E1186" t="s">
        <v>166</v>
      </c>
      <c r="F1186">
        <v>2016</v>
      </c>
      <c r="G1186">
        <v>658.53660000000002</v>
      </c>
    </row>
    <row r="1187" spans="5:7" x14ac:dyDescent="0.75">
      <c r="E1187" t="s">
        <v>166</v>
      </c>
      <c r="F1187">
        <v>2017</v>
      </c>
      <c r="G1187">
        <v>651.16279999999995</v>
      </c>
    </row>
    <row r="1188" spans="5:7" x14ac:dyDescent="0.75">
      <c r="E1188" t="s">
        <v>166</v>
      </c>
      <c r="F1188">
        <v>2018</v>
      </c>
      <c r="G1188">
        <v>666.66669999999999</v>
      </c>
    </row>
    <row r="1189" spans="5:7" x14ac:dyDescent="0.75">
      <c r="E1189" t="s">
        <v>166</v>
      </c>
      <c r="F1189">
        <v>2019</v>
      </c>
      <c r="G1189">
        <v>653.84619999999995</v>
      </c>
    </row>
    <row r="1190" spans="5:7" x14ac:dyDescent="0.75">
      <c r="E1190" t="s">
        <v>166</v>
      </c>
      <c r="F1190">
        <v>2020</v>
      </c>
      <c r="G1190">
        <v>660</v>
      </c>
    </row>
    <row r="1191" spans="5:7" x14ac:dyDescent="0.75">
      <c r="E1191" t="s">
        <v>166</v>
      </c>
      <c r="F1191">
        <v>2021</v>
      </c>
      <c r="G1191">
        <v>666.66669999999999</v>
      </c>
    </row>
    <row r="1192" spans="5:7" x14ac:dyDescent="0.75">
      <c r="E1192" t="s">
        <v>166</v>
      </c>
      <c r="F1192">
        <v>2022</v>
      </c>
      <c r="G1192">
        <v>666.66669999999999</v>
      </c>
    </row>
    <row r="1193" spans="5:7" x14ac:dyDescent="0.75">
      <c r="E1193" t="s">
        <v>166</v>
      </c>
      <c r="F1193">
        <v>2023</v>
      </c>
      <c r="G1193">
        <v>666.66669999999999</v>
      </c>
    </row>
    <row r="1194" spans="5:7" x14ac:dyDescent="0.75">
      <c r="E1194" t="s">
        <v>52</v>
      </c>
      <c r="F1194">
        <v>2000</v>
      </c>
      <c r="G1194">
        <v>204.17856</v>
      </c>
    </row>
    <row r="1195" spans="5:7" x14ac:dyDescent="0.75">
      <c r="E1195" t="s">
        <v>52</v>
      </c>
      <c r="F1195">
        <v>2001</v>
      </c>
      <c r="G1195">
        <v>254.09836999999999</v>
      </c>
    </row>
    <row r="1196" spans="5:7" x14ac:dyDescent="0.75">
      <c r="E1196" t="s">
        <v>52</v>
      </c>
      <c r="F1196">
        <v>2002</v>
      </c>
      <c r="G1196">
        <v>262.48939999999999</v>
      </c>
    </row>
    <row r="1197" spans="5:7" x14ac:dyDescent="0.75">
      <c r="E1197" t="s">
        <v>52</v>
      </c>
      <c r="F1197">
        <v>2003</v>
      </c>
      <c r="G1197">
        <v>274.39026000000001</v>
      </c>
    </row>
    <row r="1198" spans="5:7" x14ac:dyDescent="0.75">
      <c r="E1198" t="s">
        <v>52</v>
      </c>
      <c r="F1198">
        <v>2004</v>
      </c>
      <c r="G1198">
        <v>303.90625</v>
      </c>
    </row>
    <row r="1199" spans="5:7" x14ac:dyDescent="0.75">
      <c r="E1199" t="s">
        <v>52</v>
      </c>
      <c r="F1199">
        <v>2005</v>
      </c>
      <c r="G1199">
        <v>327.53161999999998</v>
      </c>
    </row>
    <row r="1200" spans="5:7" x14ac:dyDescent="0.75">
      <c r="E1200" t="s">
        <v>52</v>
      </c>
      <c r="F1200">
        <v>2006</v>
      </c>
      <c r="G1200">
        <v>352.27274</v>
      </c>
    </row>
    <row r="1201" spans="5:7" x14ac:dyDescent="0.75">
      <c r="E1201" t="s">
        <v>52</v>
      </c>
      <c r="F1201">
        <v>2007</v>
      </c>
      <c r="G1201">
        <v>340.28985999999998</v>
      </c>
    </row>
    <row r="1202" spans="5:7" x14ac:dyDescent="0.75">
      <c r="E1202" t="s">
        <v>52</v>
      </c>
      <c r="F1202">
        <v>2008</v>
      </c>
      <c r="G1202">
        <v>283.93725999999998</v>
      </c>
    </row>
    <row r="1203" spans="5:7" x14ac:dyDescent="0.75">
      <c r="E1203" t="s">
        <v>52</v>
      </c>
      <c r="F1203">
        <v>2009</v>
      </c>
      <c r="G1203">
        <v>349.6696</v>
      </c>
    </row>
    <row r="1204" spans="5:7" x14ac:dyDescent="0.75">
      <c r="E1204" t="s">
        <v>52</v>
      </c>
      <c r="F1204">
        <v>2010</v>
      </c>
      <c r="G1204">
        <v>389.80432000000002</v>
      </c>
    </row>
    <row r="1205" spans="5:7" x14ac:dyDescent="0.75">
      <c r="E1205" t="s">
        <v>52</v>
      </c>
      <c r="F1205">
        <v>2011</v>
      </c>
      <c r="G1205">
        <v>325.50170000000003</v>
      </c>
    </row>
    <row r="1206" spans="5:7" x14ac:dyDescent="0.75">
      <c r="E1206" t="s">
        <v>52</v>
      </c>
      <c r="F1206">
        <v>2012</v>
      </c>
      <c r="G1206">
        <v>329.96042</v>
      </c>
    </row>
    <row r="1207" spans="5:7" x14ac:dyDescent="0.75">
      <c r="E1207" t="s">
        <v>52</v>
      </c>
      <c r="F1207">
        <v>2013</v>
      </c>
      <c r="G1207">
        <v>368.73919999999998</v>
      </c>
    </row>
    <row r="1208" spans="5:7" x14ac:dyDescent="0.75">
      <c r="E1208" t="s">
        <v>52</v>
      </c>
      <c r="F1208">
        <v>2014</v>
      </c>
      <c r="G1208">
        <v>369.16082999999998</v>
      </c>
    </row>
    <row r="1209" spans="5:7" x14ac:dyDescent="0.75">
      <c r="E1209" t="s">
        <v>52</v>
      </c>
      <c r="F1209">
        <v>2015</v>
      </c>
      <c r="G1209">
        <v>345.72205000000002</v>
      </c>
    </row>
    <row r="1210" spans="5:7" x14ac:dyDescent="0.75">
      <c r="E1210" t="s">
        <v>52</v>
      </c>
      <c r="F1210">
        <v>2016</v>
      </c>
      <c r="G1210">
        <v>288.65980000000002</v>
      </c>
    </row>
    <row r="1211" spans="5:7" x14ac:dyDescent="0.75">
      <c r="E1211" t="s">
        <v>52</v>
      </c>
      <c r="F1211">
        <v>2017</v>
      </c>
      <c r="G1211">
        <v>201.2217</v>
      </c>
    </row>
    <row r="1212" spans="5:7" x14ac:dyDescent="0.75">
      <c r="E1212" t="s">
        <v>52</v>
      </c>
      <c r="F1212">
        <v>2018</v>
      </c>
      <c r="G1212">
        <v>210.05815000000001</v>
      </c>
    </row>
    <row r="1213" spans="5:7" x14ac:dyDescent="0.75">
      <c r="E1213" t="s">
        <v>52</v>
      </c>
      <c r="F1213">
        <v>2019</v>
      </c>
      <c r="G1213">
        <v>171.95685</v>
      </c>
    </row>
    <row r="1214" spans="5:7" x14ac:dyDescent="0.75">
      <c r="E1214" t="s">
        <v>52</v>
      </c>
      <c r="F1214">
        <v>2020</v>
      </c>
      <c r="G1214">
        <v>159.47586000000001</v>
      </c>
    </row>
    <row r="1215" spans="5:7" x14ac:dyDescent="0.75">
      <c r="E1215" t="s">
        <v>52</v>
      </c>
      <c r="F1215">
        <v>2021</v>
      </c>
      <c r="G1215">
        <v>149.12826999999999</v>
      </c>
    </row>
    <row r="1216" spans="5:7" x14ac:dyDescent="0.75">
      <c r="E1216" t="s">
        <v>52</v>
      </c>
      <c r="F1216">
        <v>2022</v>
      </c>
      <c r="G1216">
        <v>181.18571</v>
      </c>
    </row>
    <row r="1217" spans="5:7" x14ac:dyDescent="0.75">
      <c r="E1217" t="s">
        <v>52</v>
      </c>
      <c r="F1217">
        <v>2023</v>
      </c>
      <c r="G1217">
        <v>176.28110000000001</v>
      </c>
    </row>
    <row r="1218" spans="5:7" x14ac:dyDescent="0.75">
      <c r="E1218" t="s">
        <v>52</v>
      </c>
      <c r="F1218">
        <v>2024</v>
      </c>
      <c r="G1218">
        <v>209.69698</v>
      </c>
    </row>
    <row r="1219" spans="5:7" x14ac:dyDescent="0.75">
      <c r="E1219" t="s">
        <v>53</v>
      </c>
      <c r="F1219">
        <v>2000</v>
      </c>
      <c r="G1219">
        <v>525.64104999999995</v>
      </c>
    </row>
    <row r="1220" spans="5:7" x14ac:dyDescent="0.75">
      <c r="E1220" t="s">
        <v>53</v>
      </c>
      <c r="F1220">
        <v>2001</v>
      </c>
      <c r="G1220">
        <v>533.76289999999995</v>
      </c>
    </row>
    <row r="1221" spans="5:7" x14ac:dyDescent="0.75">
      <c r="E1221" t="s">
        <v>53</v>
      </c>
      <c r="F1221">
        <v>2002</v>
      </c>
      <c r="G1221">
        <v>542.96642999999995</v>
      </c>
    </row>
    <row r="1222" spans="5:7" x14ac:dyDescent="0.75">
      <c r="E1222" t="s">
        <v>53</v>
      </c>
      <c r="F1222">
        <v>2003</v>
      </c>
      <c r="G1222">
        <v>556.02560000000005</v>
      </c>
    </row>
    <row r="1223" spans="5:7" x14ac:dyDescent="0.75">
      <c r="E1223" t="s">
        <v>53</v>
      </c>
      <c r="F1223">
        <v>2004</v>
      </c>
      <c r="G1223">
        <v>559.89819999999997</v>
      </c>
    </row>
    <row r="1224" spans="5:7" x14ac:dyDescent="0.75">
      <c r="E1224" t="s">
        <v>53</v>
      </c>
      <c r="F1224">
        <v>2005</v>
      </c>
      <c r="G1224">
        <v>566.99066000000005</v>
      </c>
    </row>
    <row r="1225" spans="5:7" x14ac:dyDescent="0.75">
      <c r="E1225" t="s">
        <v>53</v>
      </c>
      <c r="F1225">
        <v>2006</v>
      </c>
      <c r="G1225">
        <v>570.21312999999998</v>
      </c>
    </row>
    <row r="1226" spans="5:7" x14ac:dyDescent="0.75">
      <c r="E1226" t="s">
        <v>53</v>
      </c>
      <c r="F1226">
        <v>2007</v>
      </c>
      <c r="G1226">
        <v>567.57885999999996</v>
      </c>
    </row>
    <row r="1227" spans="5:7" x14ac:dyDescent="0.75">
      <c r="E1227" t="s">
        <v>53</v>
      </c>
      <c r="F1227">
        <v>2008</v>
      </c>
      <c r="G1227">
        <v>567.3913</v>
      </c>
    </row>
    <row r="1228" spans="5:7" x14ac:dyDescent="0.75">
      <c r="E1228" t="s">
        <v>53</v>
      </c>
      <c r="F1228">
        <v>2009</v>
      </c>
      <c r="G1228">
        <v>576.45043999999996</v>
      </c>
    </row>
    <row r="1229" spans="5:7" x14ac:dyDescent="0.75">
      <c r="E1229" t="s">
        <v>53</v>
      </c>
      <c r="F1229">
        <v>2010</v>
      </c>
      <c r="G1229">
        <v>582.70447000000001</v>
      </c>
    </row>
    <row r="1230" spans="5:7" x14ac:dyDescent="0.75">
      <c r="E1230" t="s">
        <v>53</v>
      </c>
      <c r="F1230">
        <v>2011</v>
      </c>
      <c r="G1230">
        <v>583.17737</v>
      </c>
    </row>
    <row r="1231" spans="5:7" x14ac:dyDescent="0.75">
      <c r="E1231" t="s">
        <v>53</v>
      </c>
      <c r="F1231">
        <v>2012</v>
      </c>
      <c r="G1231">
        <v>587.8777</v>
      </c>
    </row>
    <row r="1232" spans="5:7" x14ac:dyDescent="0.75">
      <c r="E1232" t="s">
        <v>53</v>
      </c>
      <c r="F1232">
        <v>2013</v>
      </c>
      <c r="G1232">
        <v>589.16890000000001</v>
      </c>
    </row>
    <row r="1233" spans="5:7" x14ac:dyDescent="0.75">
      <c r="E1233" t="s">
        <v>53</v>
      </c>
      <c r="F1233">
        <v>2014</v>
      </c>
      <c r="G1233">
        <v>591.85940000000005</v>
      </c>
    </row>
    <row r="1234" spans="5:7" x14ac:dyDescent="0.75">
      <c r="E1234" t="s">
        <v>53</v>
      </c>
      <c r="F1234">
        <v>2015</v>
      </c>
      <c r="G1234">
        <v>592.25653</v>
      </c>
    </row>
    <row r="1235" spans="5:7" x14ac:dyDescent="0.75">
      <c r="E1235" t="s">
        <v>53</v>
      </c>
      <c r="F1235">
        <v>2016</v>
      </c>
      <c r="G1235">
        <v>592.96454000000006</v>
      </c>
    </row>
    <row r="1236" spans="5:7" x14ac:dyDescent="0.75">
      <c r="E1236" t="s">
        <v>53</v>
      </c>
      <c r="F1236">
        <v>2017</v>
      </c>
      <c r="G1236">
        <v>594.68970000000002</v>
      </c>
    </row>
    <row r="1237" spans="5:7" x14ac:dyDescent="0.75">
      <c r="E1237" t="s">
        <v>53</v>
      </c>
      <c r="F1237">
        <v>2018</v>
      </c>
      <c r="G1237">
        <v>592.40686000000005</v>
      </c>
    </row>
    <row r="1238" spans="5:7" x14ac:dyDescent="0.75">
      <c r="E1238" t="s">
        <v>53</v>
      </c>
      <c r="F1238">
        <v>2019</v>
      </c>
      <c r="G1238">
        <v>579.44854999999995</v>
      </c>
    </row>
    <row r="1239" spans="5:7" x14ac:dyDescent="0.75">
      <c r="E1239" t="s">
        <v>53</v>
      </c>
      <c r="F1239">
        <v>2020</v>
      </c>
      <c r="G1239">
        <v>566.33605999999997</v>
      </c>
    </row>
    <row r="1240" spans="5:7" x14ac:dyDescent="0.75">
      <c r="E1240" t="s">
        <v>53</v>
      </c>
      <c r="F1240">
        <v>2021</v>
      </c>
      <c r="G1240">
        <v>571.30589999999995</v>
      </c>
    </row>
    <row r="1241" spans="5:7" x14ac:dyDescent="0.75">
      <c r="E1241" t="s">
        <v>53</v>
      </c>
      <c r="F1241">
        <v>2022</v>
      </c>
      <c r="G1241">
        <v>574.73119999999994</v>
      </c>
    </row>
    <row r="1242" spans="5:7" x14ac:dyDescent="0.75">
      <c r="E1242" t="s">
        <v>53</v>
      </c>
      <c r="F1242">
        <v>2023</v>
      </c>
      <c r="G1242">
        <v>574.04380000000003</v>
      </c>
    </row>
    <row r="1243" spans="5:7" x14ac:dyDescent="0.75">
      <c r="E1243" t="s">
        <v>53</v>
      </c>
      <c r="F1243">
        <v>2024</v>
      </c>
      <c r="G1243">
        <v>571.93830000000003</v>
      </c>
    </row>
    <row r="1244" spans="5:7" x14ac:dyDescent="0.75">
      <c r="E1244" t="s">
        <v>54</v>
      </c>
      <c r="F1244">
        <v>2000</v>
      </c>
      <c r="G1244">
        <v>285.71426000000002</v>
      </c>
    </row>
    <row r="1245" spans="5:7" x14ac:dyDescent="0.75">
      <c r="E1245" t="s">
        <v>54</v>
      </c>
      <c r="F1245">
        <v>2001</v>
      </c>
      <c r="G1245">
        <v>297.7099</v>
      </c>
    </row>
    <row r="1246" spans="5:7" x14ac:dyDescent="0.75">
      <c r="E1246" t="s">
        <v>54</v>
      </c>
      <c r="F1246">
        <v>2002</v>
      </c>
      <c r="G1246">
        <v>314.76996000000003</v>
      </c>
    </row>
    <row r="1247" spans="5:7" x14ac:dyDescent="0.75">
      <c r="E1247" t="s">
        <v>54</v>
      </c>
      <c r="F1247">
        <v>2003</v>
      </c>
      <c r="G1247">
        <v>283.44672000000003</v>
      </c>
    </row>
    <row r="1248" spans="5:7" x14ac:dyDescent="0.75">
      <c r="E1248" t="s">
        <v>54</v>
      </c>
      <c r="F1248">
        <v>2004</v>
      </c>
      <c r="G1248">
        <v>303.57144</v>
      </c>
    </row>
    <row r="1249" spans="5:7" x14ac:dyDescent="0.75">
      <c r="E1249" t="s">
        <v>54</v>
      </c>
      <c r="F1249">
        <v>2005</v>
      </c>
      <c r="G1249">
        <v>284.82330000000002</v>
      </c>
    </row>
    <row r="1250" spans="5:7" x14ac:dyDescent="0.75">
      <c r="E1250" t="s">
        <v>54</v>
      </c>
      <c r="F1250">
        <v>2006</v>
      </c>
      <c r="G1250">
        <v>293.80529999999999</v>
      </c>
    </row>
    <row r="1251" spans="5:7" x14ac:dyDescent="0.75">
      <c r="E1251" t="s">
        <v>54</v>
      </c>
      <c r="F1251">
        <v>2007</v>
      </c>
      <c r="G1251">
        <v>308.62067000000002</v>
      </c>
    </row>
    <row r="1252" spans="5:7" x14ac:dyDescent="0.75">
      <c r="E1252" t="s">
        <v>54</v>
      </c>
      <c r="F1252">
        <v>2008</v>
      </c>
      <c r="G1252">
        <v>271.81207000000001</v>
      </c>
    </row>
    <row r="1253" spans="5:7" x14ac:dyDescent="0.75">
      <c r="E1253" t="s">
        <v>54</v>
      </c>
      <c r="F1253">
        <v>2009</v>
      </c>
      <c r="G1253">
        <v>313.14877000000001</v>
      </c>
    </row>
    <row r="1254" spans="5:7" x14ac:dyDescent="0.75">
      <c r="E1254" t="s">
        <v>54</v>
      </c>
      <c r="F1254">
        <v>2010</v>
      </c>
      <c r="G1254">
        <v>259.63150000000002</v>
      </c>
    </row>
    <row r="1255" spans="5:7" x14ac:dyDescent="0.75">
      <c r="E1255" t="s">
        <v>54</v>
      </c>
      <c r="F1255">
        <v>2011</v>
      </c>
      <c r="G1255">
        <v>273.02629999999999</v>
      </c>
    </row>
    <row r="1256" spans="5:7" x14ac:dyDescent="0.75">
      <c r="E1256" t="s">
        <v>54</v>
      </c>
      <c r="F1256">
        <v>2012</v>
      </c>
      <c r="G1256">
        <v>290.52969999999999</v>
      </c>
    </row>
    <row r="1257" spans="5:7" x14ac:dyDescent="0.75">
      <c r="E1257" t="s">
        <v>54</v>
      </c>
      <c r="F1257">
        <v>2013</v>
      </c>
      <c r="G1257">
        <v>291.40127999999999</v>
      </c>
    </row>
    <row r="1258" spans="5:7" x14ac:dyDescent="0.75">
      <c r="E1258" t="s">
        <v>54</v>
      </c>
      <c r="F1258">
        <v>2014</v>
      </c>
      <c r="G1258">
        <v>289.80892999999998</v>
      </c>
    </row>
    <row r="1259" spans="5:7" x14ac:dyDescent="0.75">
      <c r="E1259" t="s">
        <v>54</v>
      </c>
      <c r="F1259">
        <v>2015</v>
      </c>
      <c r="G1259">
        <v>307.56580000000002</v>
      </c>
    </row>
    <row r="1260" spans="5:7" x14ac:dyDescent="0.75">
      <c r="E1260" t="s">
        <v>54</v>
      </c>
      <c r="F1260">
        <v>2016</v>
      </c>
      <c r="G1260">
        <v>308.19672000000003</v>
      </c>
    </row>
    <row r="1261" spans="5:7" x14ac:dyDescent="0.75">
      <c r="E1261" t="s">
        <v>54</v>
      </c>
      <c r="F1261">
        <v>2017</v>
      </c>
      <c r="G1261">
        <v>211.46952999999999</v>
      </c>
    </row>
    <row r="1262" spans="5:7" x14ac:dyDescent="0.75">
      <c r="E1262" t="s">
        <v>54</v>
      </c>
      <c r="F1262">
        <v>2018</v>
      </c>
      <c r="G1262">
        <v>196.66048000000001</v>
      </c>
    </row>
    <row r="1263" spans="5:7" x14ac:dyDescent="0.75">
      <c r="E1263" t="s">
        <v>54</v>
      </c>
      <c r="F1263">
        <v>2019</v>
      </c>
      <c r="G1263">
        <v>240.13158999999999</v>
      </c>
    </row>
    <row r="1264" spans="5:7" x14ac:dyDescent="0.75">
      <c r="E1264" t="s">
        <v>54</v>
      </c>
      <c r="F1264">
        <v>2020</v>
      </c>
      <c r="G1264">
        <v>153.23856000000001</v>
      </c>
    </row>
    <row r="1265" spans="5:7" x14ac:dyDescent="0.75">
      <c r="E1265" t="s">
        <v>54</v>
      </c>
      <c r="F1265">
        <v>2021</v>
      </c>
      <c r="G1265">
        <v>152.77779000000001</v>
      </c>
    </row>
    <row r="1266" spans="5:7" x14ac:dyDescent="0.75">
      <c r="E1266" t="s">
        <v>54</v>
      </c>
      <c r="F1266">
        <v>2022</v>
      </c>
      <c r="G1266">
        <v>112.95180999999999</v>
      </c>
    </row>
    <row r="1267" spans="5:7" x14ac:dyDescent="0.75">
      <c r="E1267" t="s">
        <v>54</v>
      </c>
      <c r="F1267">
        <v>2023</v>
      </c>
      <c r="G1267">
        <v>118.46153</v>
      </c>
    </row>
    <row r="1268" spans="5:7" x14ac:dyDescent="0.75">
      <c r="E1268" t="s">
        <v>54</v>
      </c>
      <c r="F1268">
        <v>2024</v>
      </c>
      <c r="G1268">
        <v>101.56249</v>
      </c>
    </row>
    <row r="1269" spans="5:7" x14ac:dyDescent="0.75">
      <c r="E1269" t="s">
        <v>55</v>
      </c>
      <c r="F1269">
        <v>2000</v>
      </c>
      <c r="G1269">
        <v>800</v>
      </c>
    </row>
    <row r="1270" spans="5:7" x14ac:dyDescent="0.75">
      <c r="E1270" t="s">
        <v>55</v>
      </c>
      <c r="F1270">
        <v>2001</v>
      </c>
      <c r="G1270">
        <v>666.66669999999999</v>
      </c>
    </row>
    <row r="1271" spans="5:7" x14ac:dyDescent="0.75">
      <c r="E1271" t="s">
        <v>55</v>
      </c>
      <c r="F1271">
        <v>2002</v>
      </c>
      <c r="G1271">
        <v>714.28570000000002</v>
      </c>
    </row>
    <row r="1272" spans="5:7" x14ac:dyDescent="0.75">
      <c r="E1272" t="s">
        <v>55</v>
      </c>
      <c r="F1272">
        <v>2003</v>
      </c>
      <c r="G1272">
        <v>714.28570000000002</v>
      </c>
    </row>
    <row r="1273" spans="5:7" x14ac:dyDescent="0.75">
      <c r="E1273" t="s">
        <v>55</v>
      </c>
      <c r="F1273">
        <v>2004</v>
      </c>
      <c r="G1273">
        <v>777.77779999999996</v>
      </c>
    </row>
    <row r="1274" spans="5:7" x14ac:dyDescent="0.75">
      <c r="E1274" t="s">
        <v>55</v>
      </c>
      <c r="F1274">
        <v>2005</v>
      </c>
      <c r="G1274">
        <v>800</v>
      </c>
    </row>
    <row r="1275" spans="5:7" x14ac:dyDescent="0.75">
      <c r="E1275" t="s">
        <v>55</v>
      </c>
      <c r="F1275">
        <v>2006</v>
      </c>
      <c r="G1275">
        <v>818.18190000000004</v>
      </c>
    </row>
    <row r="1276" spans="5:7" x14ac:dyDescent="0.75">
      <c r="E1276" t="s">
        <v>55</v>
      </c>
      <c r="F1276">
        <v>2007</v>
      </c>
      <c r="G1276">
        <v>846.15390000000002</v>
      </c>
    </row>
    <row r="1277" spans="5:7" x14ac:dyDescent="0.75">
      <c r="E1277" t="s">
        <v>55</v>
      </c>
      <c r="F1277">
        <v>2008</v>
      </c>
      <c r="G1277">
        <v>649.99994000000004</v>
      </c>
    </row>
    <row r="1278" spans="5:7" x14ac:dyDescent="0.75">
      <c r="E1278" t="s">
        <v>55</v>
      </c>
      <c r="F1278">
        <v>2009</v>
      </c>
      <c r="G1278">
        <v>681.81823999999995</v>
      </c>
    </row>
    <row r="1279" spans="5:7" x14ac:dyDescent="0.75">
      <c r="E1279" t="s">
        <v>55</v>
      </c>
      <c r="F1279">
        <v>2010</v>
      </c>
      <c r="G1279">
        <v>772.72730000000001</v>
      </c>
    </row>
    <row r="1280" spans="5:7" x14ac:dyDescent="0.75">
      <c r="E1280" t="s">
        <v>55</v>
      </c>
      <c r="F1280">
        <v>2011</v>
      </c>
      <c r="G1280">
        <v>799.99994000000004</v>
      </c>
    </row>
    <row r="1281" spans="5:7" x14ac:dyDescent="0.75">
      <c r="E1281" t="s">
        <v>55</v>
      </c>
      <c r="F1281">
        <v>2012</v>
      </c>
      <c r="G1281">
        <v>740.74069999999995</v>
      </c>
    </row>
    <row r="1282" spans="5:7" x14ac:dyDescent="0.75">
      <c r="E1282" t="s">
        <v>55</v>
      </c>
      <c r="F1282">
        <v>2013</v>
      </c>
      <c r="G1282">
        <v>623.52936</v>
      </c>
    </row>
    <row r="1283" spans="5:7" x14ac:dyDescent="0.75">
      <c r="E1283" t="s">
        <v>55</v>
      </c>
      <c r="F1283">
        <v>2014</v>
      </c>
      <c r="G1283">
        <v>577.98159999999996</v>
      </c>
    </row>
    <row r="1284" spans="5:7" x14ac:dyDescent="0.75">
      <c r="E1284" t="s">
        <v>55</v>
      </c>
      <c r="F1284">
        <v>2015</v>
      </c>
      <c r="G1284">
        <v>569.23080000000004</v>
      </c>
    </row>
    <row r="1285" spans="5:7" x14ac:dyDescent="0.75">
      <c r="E1285" t="s">
        <v>55</v>
      </c>
      <c r="F1285">
        <v>2016</v>
      </c>
      <c r="G1285">
        <v>585.71429999999998</v>
      </c>
    </row>
    <row r="1286" spans="5:7" x14ac:dyDescent="0.75">
      <c r="E1286" t="s">
        <v>55</v>
      </c>
      <c r="F1286">
        <v>2017</v>
      </c>
      <c r="G1286">
        <v>597.01490000000001</v>
      </c>
    </row>
    <row r="1287" spans="5:7" x14ac:dyDescent="0.75">
      <c r="E1287" t="s">
        <v>55</v>
      </c>
      <c r="F1287">
        <v>2018</v>
      </c>
      <c r="G1287">
        <v>592.59259999999995</v>
      </c>
    </row>
    <row r="1288" spans="5:7" x14ac:dyDescent="0.75">
      <c r="E1288" t="s">
        <v>55</v>
      </c>
      <c r="F1288">
        <v>2019</v>
      </c>
      <c r="G1288">
        <v>600</v>
      </c>
    </row>
    <row r="1289" spans="5:7" x14ac:dyDescent="0.75">
      <c r="E1289" t="s">
        <v>55</v>
      </c>
      <c r="F1289">
        <v>2020</v>
      </c>
      <c r="G1289">
        <v>574.46810000000005</v>
      </c>
    </row>
    <row r="1290" spans="5:7" x14ac:dyDescent="0.75">
      <c r="E1290" t="s">
        <v>55</v>
      </c>
      <c r="F1290">
        <v>2021</v>
      </c>
      <c r="G1290">
        <v>594.40563999999995</v>
      </c>
    </row>
    <row r="1291" spans="5:7" x14ac:dyDescent="0.75">
      <c r="E1291" t="s">
        <v>55</v>
      </c>
      <c r="F1291">
        <v>2022</v>
      </c>
      <c r="G1291">
        <v>602.64904999999999</v>
      </c>
    </row>
    <row r="1292" spans="5:7" x14ac:dyDescent="0.75">
      <c r="E1292" t="s">
        <v>55</v>
      </c>
      <c r="F1292">
        <v>2023</v>
      </c>
      <c r="G1292">
        <v>605.09550000000002</v>
      </c>
    </row>
    <row r="1293" spans="5:7" x14ac:dyDescent="0.75">
      <c r="E1293" t="s">
        <v>56</v>
      </c>
      <c r="F1293">
        <v>2000</v>
      </c>
      <c r="G1293">
        <v>666.66669999999999</v>
      </c>
    </row>
    <row r="1294" spans="5:7" x14ac:dyDescent="0.75">
      <c r="E1294" t="s">
        <v>56</v>
      </c>
      <c r="F1294">
        <v>2001</v>
      </c>
      <c r="G1294">
        <v>652.17394999999999</v>
      </c>
    </row>
    <row r="1295" spans="5:7" x14ac:dyDescent="0.75">
      <c r="E1295" t="s">
        <v>56</v>
      </c>
      <c r="F1295">
        <v>2002</v>
      </c>
      <c r="G1295">
        <v>653.84619999999995</v>
      </c>
    </row>
    <row r="1296" spans="5:7" x14ac:dyDescent="0.75">
      <c r="E1296" t="s">
        <v>56</v>
      </c>
      <c r="F1296">
        <v>2003</v>
      </c>
      <c r="G1296">
        <v>642.85720000000003</v>
      </c>
    </row>
    <row r="1297" spans="5:7" x14ac:dyDescent="0.75">
      <c r="E1297" t="s">
        <v>56</v>
      </c>
      <c r="F1297">
        <v>2004</v>
      </c>
      <c r="G1297">
        <v>642.85720000000003</v>
      </c>
    </row>
    <row r="1298" spans="5:7" x14ac:dyDescent="0.75">
      <c r="E1298" t="s">
        <v>56</v>
      </c>
      <c r="F1298">
        <v>2005</v>
      </c>
      <c r="G1298">
        <v>655.17240000000004</v>
      </c>
    </row>
    <row r="1299" spans="5:7" x14ac:dyDescent="0.75">
      <c r="E1299" t="s">
        <v>56</v>
      </c>
      <c r="F1299">
        <v>2006</v>
      </c>
      <c r="G1299">
        <v>666.66669999999999</v>
      </c>
    </row>
    <row r="1300" spans="5:7" x14ac:dyDescent="0.75">
      <c r="E1300" t="s">
        <v>56</v>
      </c>
      <c r="F1300">
        <v>2007</v>
      </c>
      <c r="G1300">
        <v>655.17240000000004</v>
      </c>
    </row>
    <row r="1301" spans="5:7" x14ac:dyDescent="0.75">
      <c r="E1301" t="s">
        <v>56</v>
      </c>
      <c r="F1301">
        <v>2008</v>
      </c>
      <c r="G1301">
        <v>642.85720000000003</v>
      </c>
    </row>
    <row r="1302" spans="5:7" x14ac:dyDescent="0.75">
      <c r="E1302" t="s">
        <v>56</v>
      </c>
      <c r="F1302">
        <v>2009</v>
      </c>
      <c r="G1302">
        <v>655.17240000000004</v>
      </c>
    </row>
    <row r="1303" spans="5:7" x14ac:dyDescent="0.75">
      <c r="E1303" t="s">
        <v>56</v>
      </c>
      <c r="F1303">
        <v>2010</v>
      </c>
      <c r="G1303">
        <v>645.16129999999998</v>
      </c>
    </row>
    <row r="1304" spans="5:7" x14ac:dyDescent="0.75">
      <c r="E1304" t="s">
        <v>56</v>
      </c>
      <c r="F1304">
        <v>2011</v>
      </c>
      <c r="G1304">
        <v>656.25</v>
      </c>
    </row>
    <row r="1305" spans="5:7" x14ac:dyDescent="0.75">
      <c r="E1305" t="s">
        <v>56</v>
      </c>
      <c r="F1305">
        <v>2012</v>
      </c>
      <c r="G1305">
        <v>656.25</v>
      </c>
    </row>
    <row r="1306" spans="5:7" x14ac:dyDescent="0.75">
      <c r="E1306" t="s">
        <v>56</v>
      </c>
      <c r="F1306">
        <v>2013</v>
      </c>
      <c r="G1306">
        <v>666.66669999999999</v>
      </c>
    </row>
    <row r="1307" spans="5:7" x14ac:dyDescent="0.75">
      <c r="E1307" t="s">
        <v>56</v>
      </c>
      <c r="F1307">
        <v>2014</v>
      </c>
      <c r="G1307">
        <v>666.66669999999999</v>
      </c>
    </row>
    <row r="1308" spans="5:7" x14ac:dyDescent="0.75">
      <c r="E1308" t="s">
        <v>56</v>
      </c>
      <c r="F1308">
        <v>2015</v>
      </c>
      <c r="G1308">
        <v>653.84619999999995</v>
      </c>
    </row>
    <row r="1309" spans="5:7" x14ac:dyDescent="0.75">
      <c r="E1309" t="s">
        <v>56</v>
      </c>
      <c r="F1309">
        <v>2016</v>
      </c>
      <c r="G1309">
        <v>666.66669999999999</v>
      </c>
    </row>
    <row r="1310" spans="5:7" x14ac:dyDescent="0.75">
      <c r="E1310" t="s">
        <v>56</v>
      </c>
      <c r="F1310">
        <v>2017</v>
      </c>
      <c r="G1310">
        <v>647.05884000000003</v>
      </c>
    </row>
    <row r="1311" spans="5:7" x14ac:dyDescent="0.75">
      <c r="E1311" t="s">
        <v>56</v>
      </c>
      <c r="F1311">
        <v>2018</v>
      </c>
      <c r="G1311">
        <v>564.10260000000005</v>
      </c>
    </row>
    <row r="1312" spans="5:7" x14ac:dyDescent="0.75">
      <c r="E1312" t="s">
        <v>56</v>
      </c>
      <c r="F1312">
        <v>2019</v>
      </c>
      <c r="G1312">
        <v>575</v>
      </c>
    </row>
    <row r="1313" spans="5:7" x14ac:dyDescent="0.75">
      <c r="E1313" t="s">
        <v>56</v>
      </c>
      <c r="F1313">
        <v>2020</v>
      </c>
      <c r="G1313">
        <v>585.36584000000005</v>
      </c>
    </row>
    <row r="1314" spans="5:7" x14ac:dyDescent="0.75">
      <c r="E1314" t="s">
        <v>56</v>
      </c>
      <c r="F1314">
        <v>2021</v>
      </c>
      <c r="G1314">
        <v>571.42859999999996</v>
      </c>
    </row>
    <row r="1315" spans="5:7" x14ac:dyDescent="0.75">
      <c r="E1315" t="s">
        <v>56</v>
      </c>
      <c r="F1315">
        <v>2022</v>
      </c>
      <c r="G1315">
        <v>590.90905999999995</v>
      </c>
    </row>
    <row r="1316" spans="5:7" x14ac:dyDescent="0.75">
      <c r="E1316" t="s">
        <v>56</v>
      </c>
      <c r="F1316">
        <v>2023</v>
      </c>
      <c r="G1316">
        <v>590.90905999999995</v>
      </c>
    </row>
    <row r="1317" spans="5:7" x14ac:dyDescent="0.75">
      <c r="E1317" t="s">
        <v>57</v>
      </c>
      <c r="F1317">
        <v>2000</v>
      </c>
      <c r="G1317">
        <v>634.54759999999999</v>
      </c>
    </row>
    <row r="1318" spans="5:7" x14ac:dyDescent="0.75">
      <c r="E1318" t="s">
        <v>57</v>
      </c>
      <c r="F1318">
        <v>2001</v>
      </c>
      <c r="G1318">
        <v>633.68669999999997</v>
      </c>
    </row>
    <row r="1319" spans="5:7" x14ac:dyDescent="0.75">
      <c r="E1319" t="s">
        <v>57</v>
      </c>
      <c r="F1319">
        <v>2002</v>
      </c>
      <c r="G1319">
        <v>634.23209999999995</v>
      </c>
    </row>
    <row r="1320" spans="5:7" x14ac:dyDescent="0.75">
      <c r="E1320" t="s">
        <v>57</v>
      </c>
      <c r="F1320">
        <v>2003</v>
      </c>
      <c r="G1320">
        <v>638.77954</v>
      </c>
    </row>
    <row r="1321" spans="5:7" x14ac:dyDescent="0.75">
      <c r="E1321" t="s">
        <v>57</v>
      </c>
      <c r="F1321">
        <v>2004</v>
      </c>
      <c r="G1321">
        <v>639.18524000000002</v>
      </c>
    </row>
    <row r="1322" spans="5:7" x14ac:dyDescent="0.75">
      <c r="E1322" t="s">
        <v>57</v>
      </c>
      <c r="F1322">
        <v>2005</v>
      </c>
      <c r="G1322">
        <v>634.31370000000004</v>
      </c>
    </row>
    <row r="1323" spans="5:7" x14ac:dyDescent="0.75">
      <c r="E1323" t="s">
        <v>57</v>
      </c>
      <c r="F1323">
        <v>2006</v>
      </c>
      <c r="G1323">
        <v>632.06579999999997</v>
      </c>
    </row>
    <row r="1324" spans="5:7" x14ac:dyDescent="0.75">
      <c r="E1324" t="s">
        <v>57</v>
      </c>
      <c r="F1324">
        <v>2007</v>
      </c>
      <c r="G1324">
        <v>642.03612999999996</v>
      </c>
    </row>
    <row r="1325" spans="5:7" x14ac:dyDescent="0.75">
      <c r="E1325" t="s">
        <v>57</v>
      </c>
      <c r="F1325">
        <v>2008</v>
      </c>
      <c r="G1325">
        <v>633.27030000000002</v>
      </c>
    </row>
    <row r="1326" spans="5:7" x14ac:dyDescent="0.75">
      <c r="E1326" t="s">
        <v>57</v>
      </c>
      <c r="F1326">
        <v>2009</v>
      </c>
      <c r="G1326">
        <v>621.86789999999996</v>
      </c>
    </row>
    <row r="1327" spans="5:7" x14ac:dyDescent="0.75">
      <c r="E1327" t="s">
        <v>57</v>
      </c>
      <c r="F1327">
        <v>2010</v>
      </c>
      <c r="G1327">
        <v>609.86890000000005</v>
      </c>
    </row>
    <row r="1328" spans="5:7" x14ac:dyDescent="0.75">
      <c r="E1328" t="s">
        <v>57</v>
      </c>
      <c r="F1328">
        <v>2011</v>
      </c>
      <c r="G1328">
        <v>604.34439999999995</v>
      </c>
    </row>
    <row r="1329" spans="5:7" x14ac:dyDescent="0.75">
      <c r="E1329" t="s">
        <v>57</v>
      </c>
      <c r="F1329">
        <v>2012</v>
      </c>
      <c r="G1329">
        <v>592.80939999999998</v>
      </c>
    </row>
    <row r="1330" spans="5:7" x14ac:dyDescent="0.75">
      <c r="E1330" t="s">
        <v>57</v>
      </c>
      <c r="F1330">
        <v>2013</v>
      </c>
      <c r="G1330">
        <v>606.17474000000004</v>
      </c>
    </row>
    <row r="1331" spans="5:7" x14ac:dyDescent="0.75">
      <c r="E1331" t="s">
        <v>57</v>
      </c>
      <c r="F1331">
        <v>2014</v>
      </c>
      <c r="G1331">
        <v>595.98395000000005</v>
      </c>
    </row>
    <row r="1332" spans="5:7" x14ac:dyDescent="0.75">
      <c r="E1332" t="s">
        <v>57</v>
      </c>
      <c r="F1332">
        <v>2015</v>
      </c>
      <c r="G1332">
        <v>573.39904999999999</v>
      </c>
    </row>
    <row r="1333" spans="5:7" x14ac:dyDescent="0.75">
      <c r="E1333" t="s">
        <v>57</v>
      </c>
      <c r="F1333">
        <v>2016</v>
      </c>
      <c r="G1333">
        <v>588.33199999999999</v>
      </c>
    </row>
    <row r="1334" spans="5:7" x14ac:dyDescent="0.75">
      <c r="E1334" t="s">
        <v>57</v>
      </c>
      <c r="F1334">
        <v>2017</v>
      </c>
      <c r="G1334">
        <v>582.82680000000005</v>
      </c>
    </row>
    <row r="1335" spans="5:7" x14ac:dyDescent="0.75">
      <c r="E1335" t="s">
        <v>57</v>
      </c>
      <c r="F1335">
        <v>2018</v>
      </c>
      <c r="G1335">
        <v>573.96929999999998</v>
      </c>
    </row>
    <row r="1336" spans="5:7" x14ac:dyDescent="0.75">
      <c r="E1336" t="s">
        <v>57</v>
      </c>
      <c r="F1336">
        <v>2019</v>
      </c>
      <c r="G1336">
        <v>509.85547000000003</v>
      </c>
    </row>
    <row r="1337" spans="5:7" x14ac:dyDescent="0.75">
      <c r="E1337" t="s">
        <v>57</v>
      </c>
      <c r="F1337">
        <v>2020</v>
      </c>
      <c r="G1337">
        <v>404.6053</v>
      </c>
    </row>
    <row r="1338" spans="5:7" x14ac:dyDescent="0.75">
      <c r="E1338" t="s">
        <v>57</v>
      </c>
      <c r="F1338">
        <v>2021</v>
      </c>
      <c r="G1338">
        <v>450.62585000000001</v>
      </c>
    </row>
    <row r="1339" spans="5:7" x14ac:dyDescent="0.75">
      <c r="E1339" t="s">
        <v>57</v>
      </c>
      <c r="F1339">
        <v>2022</v>
      </c>
      <c r="G1339">
        <v>487.69580000000002</v>
      </c>
    </row>
    <row r="1340" spans="5:7" x14ac:dyDescent="0.75">
      <c r="E1340" t="s">
        <v>57</v>
      </c>
      <c r="F1340">
        <v>2023</v>
      </c>
      <c r="G1340">
        <v>388.03417999999999</v>
      </c>
    </row>
    <row r="1341" spans="5:7" x14ac:dyDescent="0.75">
      <c r="E1341" t="s">
        <v>57</v>
      </c>
      <c r="F1341">
        <v>2024</v>
      </c>
      <c r="G1341">
        <v>341.02140000000003</v>
      </c>
    </row>
    <row r="1342" spans="5:7" x14ac:dyDescent="0.75">
      <c r="E1342" t="s">
        <v>58</v>
      </c>
      <c r="F1342">
        <v>2000</v>
      </c>
      <c r="G1342">
        <v>166.66666000000001</v>
      </c>
    </row>
    <row r="1343" spans="5:7" x14ac:dyDescent="0.75">
      <c r="E1343" t="s">
        <v>58</v>
      </c>
      <c r="F1343">
        <v>2001</v>
      </c>
      <c r="G1343">
        <v>171.42857000000001</v>
      </c>
    </row>
    <row r="1344" spans="5:7" x14ac:dyDescent="0.75">
      <c r="E1344" t="s">
        <v>58</v>
      </c>
      <c r="F1344">
        <v>2002</v>
      </c>
      <c r="G1344">
        <v>194.44443999999999</v>
      </c>
    </row>
    <row r="1345" spans="5:7" x14ac:dyDescent="0.75">
      <c r="E1345" t="s">
        <v>58</v>
      </c>
      <c r="F1345">
        <v>2003</v>
      </c>
      <c r="G1345">
        <v>218.75</v>
      </c>
    </row>
    <row r="1346" spans="5:7" x14ac:dyDescent="0.75">
      <c r="E1346" t="s">
        <v>58</v>
      </c>
      <c r="F1346">
        <v>2004</v>
      </c>
      <c r="G1346">
        <v>224.13792000000001</v>
      </c>
    </row>
    <row r="1347" spans="5:7" x14ac:dyDescent="0.75">
      <c r="E1347" t="s">
        <v>58</v>
      </c>
      <c r="F1347">
        <v>2005</v>
      </c>
      <c r="G1347">
        <v>193.54839000000001</v>
      </c>
    </row>
    <row r="1348" spans="5:7" x14ac:dyDescent="0.75">
      <c r="E1348" t="s">
        <v>58</v>
      </c>
      <c r="F1348">
        <v>2006</v>
      </c>
      <c r="G1348">
        <v>188.40579</v>
      </c>
    </row>
    <row r="1349" spans="5:7" x14ac:dyDescent="0.75">
      <c r="E1349" t="s">
        <v>58</v>
      </c>
      <c r="F1349">
        <v>2007</v>
      </c>
      <c r="G1349">
        <v>183.09859</v>
      </c>
    </row>
    <row r="1350" spans="5:7" x14ac:dyDescent="0.75">
      <c r="E1350" t="s">
        <v>58</v>
      </c>
      <c r="F1350">
        <v>2008</v>
      </c>
      <c r="G1350">
        <v>188.40579</v>
      </c>
    </row>
    <row r="1351" spans="5:7" x14ac:dyDescent="0.75">
      <c r="E1351" t="s">
        <v>58</v>
      </c>
      <c r="F1351">
        <v>2009</v>
      </c>
      <c r="G1351">
        <v>181.81818000000001</v>
      </c>
    </row>
    <row r="1352" spans="5:7" x14ac:dyDescent="0.75">
      <c r="E1352" t="s">
        <v>58</v>
      </c>
      <c r="F1352">
        <v>2010</v>
      </c>
      <c r="G1352">
        <v>175.67567</v>
      </c>
    </row>
    <row r="1353" spans="5:7" x14ac:dyDescent="0.75">
      <c r="E1353" t="s">
        <v>58</v>
      </c>
      <c r="F1353">
        <v>2011</v>
      </c>
      <c r="G1353">
        <v>155.17241999999999</v>
      </c>
    </row>
    <row r="1354" spans="5:7" x14ac:dyDescent="0.75">
      <c r="E1354" t="s">
        <v>58</v>
      </c>
      <c r="F1354">
        <v>2012</v>
      </c>
      <c r="G1354">
        <v>173.07693</v>
      </c>
    </row>
    <row r="1355" spans="5:7" x14ac:dyDescent="0.75">
      <c r="E1355" t="s">
        <v>58</v>
      </c>
      <c r="F1355">
        <v>2013</v>
      </c>
      <c r="G1355">
        <v>150</v>
      </c>
    </row>
    <row r="1356" spans="5:7" x14ac:dyDescent="0.75">
      <c r="E1356" t="s">
        <v>58</v>
      </c>
      <c r="F1356">
        <v>2014</v>
      </c>
      <c r="G1356">
        <v>166.66667000000001</v>
      </c>
    </row>
    <row r="1357" spans="5:7" x14ac:dyDescent="0.75">
      <c r="E1357" t="s">
        <v>58</v>
      </c>
      <c r="F1357">
        <v>2015</v>
      </c>
      <c r="G1357">
        <v>184.21053000000001</v>
      </c>
    </row>
    <row r="1358" spans="5:7" x14ac:dyDescent="0.75">
      <c r="E1358" t="s">
        <v>58</v>
      </c>
      <c r="F1358">
        <v>2016</v>
      </c>
      <c r="G1358">
        <v>222.22220999999999</v>
      </c>
    </row>
    <row r="1359" spans="5:7" x14ac:dyDescent="0.75">
      <c r="E1359" t="s">
        <v>58</v>
      </c>
      <c r="F1359">
        <v>2017</v>
      </c>
      <c r="G1359">
        <v>139.53487999999999</v>
      </c>
    </row>
    <row r="1360" spans="5:7" x14ac:dyDescent="0.75">
      <c r="E1360" t="s">
        <v>58</v>
      </c>
      <c r="F1360">
        <v>2018</v>
      </c>
      <c r="G1360">
        <v>142.85714999999999</v>
      </c>
    </row>
    <row r="1361" spans="5:7" x14ac:dyDescent="0.75">
      <c r="E1361" t="s">
        <v>58</v>
      </c>
      <c r="F1361">
        <v>2019</v>
      </c>
      <c r="G1361">
        <v>204.08162999999999</v>
      </c>
    </row>
    <row r="1362" spans="5:7" x14ac:dyDescent="0.75">
      <c r="E1362" t="s">
        <v>58</v>
      </c>
      <c r="F1362">
        <v>2020</v>
      </c>
      <c r="G1362">
        <v>163.2653</v>
      </c>
    </row>
    <row r="1363" spans="5:7" x14ac:dyDescent="0.75">
      <c r="E1363" t="s">
        <v>58</v>
      </c>
      <c r="F1363">
        <v>2021</v>
      </c>
      <c r="G1363">
        <v>137.25489999999999</v>
      </c>
    </row>
    <row r="1364" spans="5:7" x14ac:dyDescent="0.75">
      <c r="E1364" t="s">
        <v>58</v>
      </c>
      <c r="F1364">
        <v>2022</v>
      </c>
      <c r="G1364">
        <v>127.27273</v>
      </c>
    </row>
    <row r="1365" spans="5:7" x14ac:dyDescent="0.75">
      <c r="E1365" t="s">
        <v>58</v>
      </c>
      <c r="F1365">
        <v>2023</v>
      </c>
      <c r="G1365">
        <v>142.85713000000001</v>
      </c>
    </row>
    <row r="1366" spans="5:7" x14ac:dyDescent="0.75">
      <c r="E1366" t="s">
        <v>59</v>
      </c>
      <c r="F1366">
        <v>2000</v>
      </c>
      <c r="G1366">
        <v>35.502955999999998</v>
      </c>
    </row>
    <row r="1367" spans="5:7" x14ac:dyDescent="0.75">
      <c r="E1367" t="s">
        <v>59</v>
      </c>
      <c r="F1367">
        <v>2001</v>
      </c>
      <c r="G1367">
        <v>34.313724999999998</v>
      </c>
    </row>
    <row r="1368" spans="5:7" x14ac:dyDescent="0.75">
      <c r="E1368" t="s">
        <v>59</v>
      </c>
      <c r="F1368">
        <v>2002</v>
      </c>
      <c r="G1368">
        <v>33.980583000000003</v>
      </c>
    </row>
    <row r="1369" spans="5:7" x14ac:dyDescent="0.75">
      <c r="E1369" t="s">
        <v>59</v>
      </c>
      <c r="F1369">
        <v>2003</v>
      </c>
      <c r="G1369">
        <v>30.042919999999999</v>
      </c>
    </row>
    <row r="1370" spans="5:7" x14ac:dyDescent="0.75">
      <c r="E1370" t="s">
        <v>59</v>
      </c>
      <c r="F1370">
        <v>2004</v>
      </c>
      <c r="G1370">
        <v>31.128405000000001</v>
      </c>
    </row>
    <row r="1371" spans="5:7" x14ac:dyDescent="0.75">
      <c r="E1371" t="s">
        <v>59</v>
      </c>
      <c r="F1371">
        <v>2005</v>
      </c>
      <c r="G1371">
        <v>31.25</v>
      </c>
    </row>
    <row r="1372" spans="5:7" x14ac:dyDescent="0.75">
      <c r="E1372" t="s">
        <v>59</v>
      </c>
      <c r="F1372">
        <v>2006</v>
      </c>
      <c r="G1372">
        <v>30.211480999999999</v>
      </c>
    </row>
    <row r="1373" spans="5:7" x14ac:dyDescent="0.75">
      <c r="E1373" t="s">
        <v>59</v>
      </c>
      <c r="F1373">
        <v>2007</v>
      </c>
      <c r="G1373">
        <v>34.985419999999998</v>
      </c>
    </row>
    <row r="1374" spans="5:7" x14ac:dyDescent="0.75">
      <c r="E1374" t="s">
        <v>59</v>
      </c>
      <c r="F1374">
        <v>2008</v>
      </c>
      <c r="G1374">
        <v>30.030031000000001</v>
      </c>
    </row>
    <row r="1375" spans="5:7" x14ac:dyDescent="0.75">
      <c r="E1375" t="s">
        <v>59</v>
      </c>
      <c r="F1375">
        <v>2009</v>
      </c>
      <c r="G1375">
        <v>35.911602000000002</v>
      </c>
    </row>
    <row r="1376" spans="5:7" x14ac:dyDescent="0.75">
      <c r="E1376" t="s">
        <v>59</v>
      </c>
      <c r="F1376">
        <v>2010</v>
      </c>
      <c r="G1376">
        <v>31.936125000000001</v>
      </c>
    </row>
    <row r="1377" spans="5:7" x14ac:dyDescent="0.75">
      <c r="E1377" t="s">
        <v>59</v>
      </c>
      <c r="F1377">
        <v>2011</v>
      </c>
      <c r="G1377">
        <v>29.968451999999999</v>
      </c>
    </row>
    <row r="1378" spans="5:7" x14ac:dyDescent="0.75">
      <c r="E1378" t="s">
        <v>59</v>
      </c>
      <c r="F1378">
        <v>2012</v>
      </c>
      <c r="G1378">
        <v>25.099074999999999</v>
      </c>
    </row>
    <row r="1379" spans="5:7" x14ac:dyDescent="0.75">
      <c r="E1379" t="s">
        <v>59</v>
      </c>
      <c r="F1379">
        <v>2013</v>
      </c>
      <c r="G1379">
        <v>25.374855</v>
      </c>
    </row>
    <row r="1380" spans="5:7" x14ac:dyDescent="0.75">
      <c r="E1380" t="s">
        <v>59</v>
      </c>
      <c r="F1380">
        <v>2014</v>
      </c>
      <c r="G1380">
        <v>23.231255999999998</v>
      </c>
    </row>
    <row r="1381" spans="5:7" x14ac:dyDescent="0.75">
      <c r="E1381" t="s">
        <v>59</v>
      </c>
      <c r="F1381">
        <v>2015</v>
      </c>
      <c r="G1381">
        <v>24.061598</v>
      </c>
    </row>
    <row r="1382" spans="5:7" x14ac:dyDescent="0.75">
      <c r="E1382" t="s">
        <v>59</v>
      </c>
      <c r="F1382">
        <v>2016</v>
      </c>
      <c r="G1382">
        <v>24.057739999999999</v>
      </c>
    </row>
    <row r="1383" spans="5:7" x14ac:dyDescent="0.75">
      <c r="E1383" t="s">
        <v>59</v>
      </c>
      <c r="F1383">
        <v>2017</v>
      </c>
      <c r="G1383">
        <v>23.628050000000002</v>
      </c>
    </row>
    <row r="1384" spans="5:7" x14ac:dyDescent="0.75">
      <c r="E1384" t="s">
        <v>59</v>
      </c>
      <c r="F1384">
        <v>2018</v>
      </c>
      <c r="G1384">
        <v>23.893184999999999</v>
      </c>
    </row>
    <row r="1385" spans="5:7" x14ac:dyDescent="0.75">
      <c r="E1385" t="s">
        <v>59</v>
      </c>
      <c r="F1385">
        <v>2019</v>
      </c>
      <c r="G1385">
        <v>24.167211999999999</v>
      </c>
    </row>
    <row r="1386" spans="5:7" x14ac:dyDescent="0.75">
      <c r="E1386" t="s">
        <v>59</v>
      </c>
      <c r="F1386">
        <v>2020</v>
      </c>
      <c r="G1386">
        <v>24.327784999999999</v>
      </c>
    </row>
    <row r="1387" spans="5:7" x14ac:dyDescent="0.75">
      <c r="E1387" t="s">
        <v>59</v>
      </c>
      <c r="F1387">
        <v>2021</v>
      </c>
      <c r="G1387">
        <v>22.813690000000001</v>
      </c>
    </row>
    <row r="1388" spans="5:7" x14ac:dyDescent="0.75">
      <c r="E1388" t="s">
        <v>59</v>
      </c>
      <c r="F1388">
        <v>2022</v>
      </c>
      <c r="G1388">
        <v>23.549685</v>
      </c>
    </row>
    <row r="1389" spans="5:7" x14ac:dyDescent="0.75">
      <c r="E1389" t="s">
        <v>59</v>
      </c>
      <c r="F1389">
        <v>2023</v>
      </c>
      <c r="G1389">
        <v>23.548739999999999</v>
      </c>
    </row>
    <row r="1390" spans="5:7" x14ac:dyDescent="0.75">
      <c r="E1390" t="s">
        <v>60</v>
      </c>
      <c r="F1390">
        <v>2000</v>
      </c>
      <c r="G1390">
        <v>246.67714000000001</v>
      </c>
    </row>
    <row r="1391" spans="5:7" x14ac:dyDescent="0.75">
      <c r="E1391" t="s">
        <v>60</v>
      </c>
      <c r="F1391">
        <v>2001</v>
      </c>
      <c r="G1391">
        <v>284.75488000000001</v>
      </c>
    </row>
    <row r="1392" spans="5:7" x14ac:dyDescent="0.75">
      <c r="E1392" t="s">
        <v>60</v>
      </c>
      <c r="F1392">
        <v>2002</v>
      </c>
      <c r="G1392">
        <v>316.07049999999998</v>
      </c>
    </row>
    <row r="1393" spans="5:7" x14ac:dyDescent="0.75">
      <c r="E1393" t="s">
        <v>60</v>
      </c>
      <c r="F1393">
        <v>2003</v>
      </c>
      <c r="G1393">
        <v>371.26247999999998</v>
      </c>
    </row>
    <row r="1394" spans="5:7" x14ac:dyDescent="0.75">
      <c r="E1394" t="s">
        <v>60</v>
      </c>
      <c r="F1394">
        <v>2004</v>
      </c>
      <c r="G1394">
        <v>325.25632000000002</v>
      </c>
    </row>
    <row r="1395" spans="5:7" x14ac:dyDescent="0.75">
      <c r="E1395" t="s">
        <v>60</v>
      </c>
      <c r="F1395">
        <v>2005</v>
      </c>
      <c r="G1395">
        <v>230.72565</v>
      </c>
    </row>
    <row r="1396" spans="5:7" x14ac:dyDescent="0.75">
      <c r="E1396" t="s">
        <v>60</v>
      </c>
      <c r="F1396">
        <v>2006</v>
      </c>
      <c r="G1396">
        <v>335.64224000000002</v>
      </c>
    </row>
    <row r="1397" spans="5:7" x14ac:dyDescent="0.75">
      <c r="E1397" t="s">
        <v>60</v>
      </c>
      <c r="F1397">
        <v>2007</v>
      </c>
      <c r="G1397">
        <v>308.98117000000002</v>
      </c>
    </row>
    <row r="1398" spans="5:7" x14ac:dyDescent="0.75">
      <c r="E1398" t="s">
        <v>60</v>
      </c>
      <c r="F1398">
        <v>2008</v>
      </c>
      <c r="G1398">
        <v>246.15387000000001</v>
      </c>
    </row>
    <row r="1399" spans="5:7" x14ac:dyDescent="0.75">
      <c r="E1399" t="s">
        <v>60</v>
      </c>
      <c r="F1399">
        <v>2009</v>
      </c>
      <c r="G1399">
        <v>276.02</v>
      </c>
    </row>
    <row r="1400" spans="5:7" x14ac:dyDescent="0.75">
      <c r="E1400" t="s">
        <v>60</v>
      </c>
      <c r="F1400">
        <v>2010</v>
      </c>
      <c r="G1400">
        <v>314.73214999999999</v>
      </c>
    </row>
    <row r="1401" spans="5:7" x14ac:dyDescent="0.75">
      <c r="E1401" t="s">
        <v>60</v>
      </c>
      <c r="F1401">
        <v>2011</v>
      </c>
      <c r="G1401">
        <v>268.16323999999997</v>
      </c>
    </row>
    <row r="1402" spans="5:7" x14ac:dyDescent="0.75">
      <c r="E1402" t="s">
        <v>60</v>
      </c>
      <c r="F1402">
        <v>2012</v>
      </c>
      <c r="G1402">
        <v>215.16829000000001</v>
      </c>
    </row>
    <row r="1403" spans="5:7" x14ac:dyDescent="0.75">
      <c r="E1403" t="s">
        <v>60</v>
      </c>
      <c r="F1403">
        <v>2013</v>
      </c>
      <c r="G1403">
        <v>257.50772000000001</v>
      </c>
    </row>
    <row r="1404" spans="5:7" x14ac:dyDescent="0.75">
      <c r="E1404" t="s">
        <v>60</v>
      </c>
      <c r="F1404">
        <v>2014</v>
      </c>
      <c r="G1404">
        <v>226.28487999999999</v>
      </c>
    </row>
    <row r="1405" spans="5:7" x14ac:dyDescent="0.75">
      <c r="E1405" t="s">
        <v>60</v>
      </c>
      <c r="F1405">
        <v>2015</v>
      </c>
      <c r="G1405">
        <v>181.89767000000001</v>
      </c>
    </row>
    <row r="1406" spans="5:7" x14ac:dyDescent="0.75">
      <c r="E1406" t="s">
        <v>60</v>
      </c>
      <c r="F1406">
        <v>2016</v>
      </c>
      <c r="G1406">
        <v>199.41818000000001</v>
      </c>
    </row>
    <row r="1407" spans="5:7" x14ac:dyDescent="0.75">
      <c r="E1407" t="s">
        <v>60</v>
      </c>
      <c r="F1407">
        <v>2017</v>
      </c>
      <c r="G1407">
        <v>185.87085999999999</v>
      </c>
    </row>
    <row r="1408" spans="5:7" x14ac:dyDescent="0.75">
      <c r="E1408" t="s">
        <v>60</v>
      </c>
      <c r="F1408">
        <v>2018</v>
      </c>
      <c r="G1408">
        <v>192.93747999999999</v>
      </c>
    </row>
    <row r="1409" spans="5:7" x14ac:dyDescent="0.75">
      <c r="E1409" t="s">
        <v>60</v>
      </c>
      <c r="F1409">
        <v>2019</v>
      </c>
      <c r="G1409">
        <v>171.11207999999999</v>
      </c>
    </row>
    <row r="1410" spans="5:7" x14ac:dyDescent="0.75">
      <c r="E1410" t="s">
        <v>60</v>
      </c>
      <c r="F1410">
        <v>2020</v>
      </c>
      <c r="G1410">
        <v>130.12710000000001</v>
      </c>
    </row>
    <row r="1411" spans="5:7" x14ac:dyDescent="0.75">
      <c r="E1411" t="s">
        <v>60</v>
      </c>
      <c r="F1411">
        <v>2021</v>
      </c>
      <c r="G1411">
        <v>135.48746</v>
      </c>
    </row>
    <row r="1412" spans="5:7" x14ac:dyDescent="0.75">
      <c r="E1412" t="s">
        <v>60</v>
      </c>
      <c r="F1412">
        <v>2022</v>
      </c>
      <c r="G1412">
        <v>129.83233999999999</v>
      </c>
    </row>
    <row r="1413" spans="5:7" x14ac:dyDescent="0.75">
      <c r="E1413" t="s">
        <v>60</v>
      </c>
      <c r="F1413">
        <v>2023</v>
      </c>
      <c r="G1413">
        <v>81.439620000000005</v>
      </c>
    </row>
    <row r="1414" spans="5:7" x14ac:dyDescent="0.75">
      <c r="E1414" t="s">
        <v>60</v>
      </c>
      <c r="F1414">
        <v>2024</v>
      </c>
      <c r="G1414">
        <v>72.248800000000003</v>
      </c>
    </row>
    <row r="1415" spans="5:7" x14ac:dyDescent="0.75">
      <c r="E1415" t="s">
        <v>61</v>
      </c>
      <c r="F1415">
        <v>2000</v>
      </c>
      <c r="G1415">
        <v>79.765659999999997</v>
      </c>
    </row>
    <row r="1416" spans="5:7" x14ac:dyDescent="0.75">
      <c r="E1416" t="s">
        <v>61</v>
      </c>
      <c r="F1416">
        <v>2001</v>
      </c>
      <c r="G1416">
        <v>68.632514999999998</v>
      </c>
    </row>
    <row r="1417" spans="5:7" x14ac:dyDescent="0.75">
      <c r="E1417" t="s">
        <v>61</v>
      </c>
      <c r="F1417">
        <v>2002</v>
      </c>
      <c r="G1417">
        <v>75.212249999999997</v>
      </c>
    </row>
    <row r="1418" spans="5:7" x14ac:dyDescent="0.75">
      <c r="E1418" t="s">
        <v>61</v>
      </c>
      <c r="F1418">
        <v>2003</v>
      </c>
      <c r="G1418">
        <v>80.857759999999999</v>
      </c>
    </row>
    <row r="1419" spans="5:7" x14ac:dyDescent="0.75">
      <c r="E1419" t="s">
        <v>61</v>
      </c>
      <c r="F1419">
        <v>2004</v>
      </c>
      <c r="G1419">
        <v>77.185233999999994</v>
      </c>
    </row>
    <row r="1420" spans="5:7" x14ac:dyDescent="0.75">
      <c r="E1420" t="s">
        <v>61</v>
      </c>
      <c r="F1420">
        <v>2005</v>
      </c>
      <c r="G1420">
        <v>85.532555000000002</v>
      </c>
    </row>
    <row r="1421" spans="5:7" x14ac:dyDescent="0.75">
      <c r="E1421" t="s">
        <v>61</v>
      </c>
      <c r="F1421">
        <v>2006</v>
      </c>
      <c r="G1421">
        <v>76.573239999999998</v>
      </c>
    </row>
    <row r="1422" spans="5:7" x14ac:dyDescent="0.75">
      <c r="E1422" t="s">
        <v>61</v>
      </c>
      <c r="F1422">
        <v>2007</v>
      </c>
      <c r="G1422">
        <v>80.111770000000007</v>
      </c>
    </row>
    <row r="1423" spans="5:7" x14ac:dyDescent="0.75">
      <c r="E1423" t="s">
        <v>61</v>
      </c>
      <c r="F1423">
        <v>2008</v>
      </c>
      <c r="G1423">
        <v>76.03443</v>
      </c>
    </row>
    <row r="1424" spans="5:7" x14ac:dyDescent="0.75">
      <c r="E1424" t="s">
        <v>61</v>
      </c>
      <c r="F1424">
        <v>2009</v>
      </c>
      <c r="G1424">
        <v>75.595140000000001</v>
      </c>
    </row>
    <row r="1425" spans="5:7" x14ac:dyDescent="0.75">
      <c r="E1425" t="s">
        <v>61</v>
      </c>
      <c r="F1425">
        <v>2010</v>
      </c>
      <c r="G1425">
        <v>78.561774999999997</v>
      </c>
    </row>
    <row r="1426" spans="5:7" x14ac:dyDescent="0.75">
      <c r="E1426" t="s">
        <v>61</v>
      </c>
      <c r="F1426">
        <v>2011</v>
      </c>
      <c r="G1426">
        <v>74.623440000000002</v>
      </c>
    </row>
    <row r="1427" spans="5:7" x14ac:dyDescent="0.75">
      <c r="E1427" t="s">
        <v>61</v>
      </c>
      <c r="F1427">
        <v>2012</v>
      </c>
      <c r="G1427">
        <v>77.592579999999998</v>
      </c>
    </row>
    <row r="1428" spans="5:7" x14ac:dyDescent="0.75">
      <c r="E1428" t="s">
        <v>61</v>
      </c>
      <c r="F1428">
        <v>2013</v>
      </c>
      <c r="G1428">
        <v>76.272220000000004</v>
      </c>
    </row>
    <row r="1429" spans="5:7" x14ac:dyDescent="0.75">
      <c r="E1429" t="s">
        <v>61</v>
      </c>
      <c r="F1429">
        <v>2014</v>
      </c>
      <c r="G1429">
        <v>52.197560000000003</v>
      </c>
    </row>
    <row r="1430" spans="5:7" x14ac:dyDescent="0.75">
      <c r="E1430" t="s">
        <v>61</v>
      </c>
      <c r="F1430">
        <v>2015</v>
      </c>
      <c r="G1430">
        <v>59.149334000000003</v>
      </c>
    </row>
    <row r="1431" spans="5:7" x14ac:dyDescent="0.75">
      <c r="E1431" t="s">
        <v>61</v>
      </c>
      <c r="F1431">
        <v>2016</v>
      </c>
      <c r="G1431">
        <v>68.606399999999994</v>
      </c>
    </row>
    <row r="1432" spans="5:7" x14ac:dyDescent="0.75">
      <c r="E1432" t="s">
        <v>61</v>
      </c>
      <c r="F1432">
        <v>2017</v>
      </c>
      <c r="G1432">
        <v>78.26258</v>
      </c>
    </row>
    <row r="1433" spans="5:7" x14ac:dyDescent="0.75">
      <c r="E1433" t="s">
        <v>61</v>
      </c>
      <c r="F1433">
        <v>2018</v>
      </c>
      <c r="G1433">
        <v>59.923589999999997</v>
      </c>
    </row>
    <row r="1434" spans="5:7" x14ac:dyDescent="0.75">
      <c r="E1434" t="s">
        <v>61</v>
      </c>
      <c r="F1434">
        <v>2019</v>
      </c>
      <c r="G1434">
        <v>59.787509999999997</v>
      </c>
    </row>
    <row r="1435" spans="5:7" x14ac:dyDescent="0.75">
      <c r="E1435" t="s">
        <v>61</v>
      </c>
      <c r="F1435">
        <v>2020</v>
      </c>
      <c r="G1435">
        <v>59.08005</v>
      </c>
    </row>
    <row r="1436" spans="5:7" x14ac:dyDescent="0.75">
      <c r="E1436" t="s">
        <v>61</v>
      </c>
      <c r="F1436">
        <v>2021</v>
      </c>
      <c r="G1436">
        <v>59.787444999999998</v>
      </c>
    </row>
    <row r="1437" spans="5:7" x14ac:dyDescent="0.75">
      <c r="E1437" t="s">
        <v>61</v>
      </c>
      <c r="F1437">
        <v>2022</v>
      </c>
      <c r="G1437">
        <v>78.550240000000002</v>
      </c>
    </row>
    <row r="1438" spans="5:7" x14ac:dyDescent="0.75">
      <c r="E1438" t="s">
        <v>61</v>
      </c>
      <c r="F1438">
        <v>2023</v>
      </c>
      <c r="G1438">
        <v>55.275410000000001</v>
      </c>
    </row>
    <row r="1439" spans="5:7" x14ac:dyDescent="0.75">
      <c r="E1439" t="s">
        <v>61</v>
      </c>
      <c r="F1439">
        <v>2024</v>
      </c>
      <c r="G1439">
        <v>44.179085000000001</v>
      </c>
    </row>
    <row r="1440" spans="5:7" x14ac:dyDescent="0.75">
      <c r="E1440" t="s">
        <v>62</v>
      </c>
      <c r="F1440">
        <v>2000</v>
      </c>
      <c r="G1440">
        <v>305.34354000000002</v>
      </c>
    </row>
    <row r="1441" spans="5:7" x14ac:dyDescent="0.75">
      <c r="E1441" t="s">
        <v>62</v>
      </c>
      <c r="F1441">
        <v>2001</v>
      </c>
      <c r="G1441">
        <v>307.14285000000001</v>
      </c>
    </row>
    <row r="1442" spans="5:7" x14ac:dyDescent="0.75">
      <c r="E1442" t="s">
        <v>62</v>
      </c>
      <c r="F1442">
        <v>2002</v>
      </c>
      <c r="G1442">
        <v>306.12243999999998</v>
      </c>
    </row>
    <row r="1443" spans="5:7" x14ac:dyDescent="0.75">
      <c r="E1443" t="s">
        <v>62</v>
      </c>
      <c r="F1443">
        <v>2003</v>
      </c>
      <c r="G1443">
        <v>326.79739999999998</v>
      </c>
    </row>
    <row r="1444" spans="5:7" x14ac:dyDescent="0.75">
      <c r="E1444" t="s">
        <v>62</v>
      </c>
      <c r="F1444">
        <v>2004</v>
      </c>
      <c r="G1444">
        <v>333.33334000000002</v>
      </c>
    </row>
    <row r="1445" spans="5:7" x14ac:dyDescent="0.75">
      <c r="E1445" t="s">
        <v>62</v>
      </c>
      <c r="F1445">
        <v>2005</v>
      </c>
      <c r="G1445">
        <v>375.79613999999998</v>
      </c>
    </row>
    <row r="1446" spans="5:7" x14ac:dyDescent="0.75">
      <c r="E1446" t="s">
        <v>62</v>
      </c>
      <c r="F1446">
        <v>2006</v>
      </c>
      <c r="G1446">
        <v>337.3494</v>
      </c>
    </row>
    <row r="1447" spans="5:7" x14ac:dyDescent="0.75">
      <c r="E1447" t="s">
        <v>62</v>
      </c>
      <c r="F1447">
        <v>2007</v>
      </c>
      <c r="G1447">
        <v>404.62427000000002</v>
      </c>
    </row>
    <row r="1448" spans="5:7" x14ac:dyDescent="0.75">
      <c r="E1448" t="s">
        <v>62</v>
      </c>
      <c r="F1448">
        <v>2008</v>
      </c>
      <c r="G1448">
        <v>403.31493999999998</v>
      </c>
    </row>
    <row r="1449" spans="5:7" x14ac:dyDescent="0.75">
      <c r="E1449" t="s">
        <v>62</v>
      </c>
      <c r="F1449">
        <v>2009</v>
      </c>
      <c r="G1449">
        <v>398.90710000000001</v>
      </c>
    </row>
    <row r="1450" spans="5:7" x14ac:dyDescent="0.75">
      <c r="E1450" t="s">
        <v>62</v>
      </c>
      <c r="F1450">
        <v>2010</v>
      </c>
      <c r="G1450">
        <v>445.59589999999997</v>
      </c>
    </row>
    <row r="1451" spans="5:7" x14ac:dyDescent="0.75">
      <c r="E1451" t="s">
        <v>62</v>
      </c>
      <c r="F1451">
        <v>2011</v>
      </c>
      <c r="G1451">
        <v>492.61084</v>
      </c>
    </row>
    <row r="1452" spans="5:7" x14ac:dyDescent="0.75">
      <c r="E1452" t="s">
        <v>62</v>
      </c>
      <c r="F1452">
        <v>2012</v>
      </c>
      <c r="G1452">
        <v>481.48145</v>
      </c>
    </row>
    <row r="1453" spans="5:7" x14ac:dyDescent="0.75">
      <c r="E1453" t="s">
        <v>62</v>
      </c>
      <c r="F1453">
        <v>2013</v>
      </c>
      <c r="G1453">
        <v>454.54547000000002</v>
      </c>
    </row>
    <row r="1454" spans="5:7" x14ac:dyDescent="0.75">
      <c r="E1454" t="s">
        <v>62</v>
      </c>
      <c r="F1454">
        <v>2014</v>
      </c>
      <c r="G1454">
        <v>497.48743000000002</v>
      </c>
    </row>
    <row r="1455" spans="5:7" x14ac:dyDescent="0.75">
      <c r="E1455" t="s">
        <v>62</v>
      </c>
      <c r="F1455">
        <v>2015</v>
      </c>
      <c r="G1455">
        <v>476.41512999999998</v>
      </c>
    </row>
    <row r="1456" spans="5:7" x14ac:dyDescent="0.75">
      <c r="E1456" t="s">
        <v>62</v>
      </c>
      <c r="F1456">
        <v>2016</v>
      </c>
      <c r="G1456">
        <v>525.11414000000002</v>
      </c>
    </row>
    <row r="1457" spans="5:7" x14ac:dyDescent="0.75">
      <c r="E1457" t="s">
        <v>62</v>
      </c>
      <c r="F1457">
        <v>2017</v>
      </c>
      <c r="G1457">
        <v>495.53570000000002</v>
      </c>
    </row>
    <row r="1458" spans="5:7" x14ac:dyDescent="0.75">
      <c r="E1458" t="s">
        <v>62</v>
      </c>
      <c r="F1458">
        <v>2018</v>
      </c>
      <c r="G1458">
        <v>438.84894000000003</v>
      </c>
    </row>
    <row r="1459" spans="5:7" x14ac:dyDescent="0.75">
      <c r="E1459" t="s">
        <v>62</v>
      </c>
      <c r="F1459">
        <v>2019</v>
      </c>
      <c r="G1459">
        <v>443.66199999999998</v>
      </c>
    </row>
    <row r="1460" spans="5:7" x14ac:dyDescent="0.75">
      <c r="E1460" t="s">
        <v>62</v>
      </c>
      <c r="F1460">
        <v>2020</v>
      </c>
      <c r="G1460">
        <v>423.20819999999998</v>
      </c>
    </row>
    <row r="1461" spans="5:7" x14ac:dyDescent="0.75">
      <c r="E1461" t="s">
        <v>62</v>
      </c>
      <c r="F1461">
        <v>2021</v>
      </c>
      <c r="G1461">
        <v>439.18918000000002</v>
      </c>
    </row>
    <row r="1462" spans="5:7" x14ac:dyDescent="0.75">
      <c r="E1462" t="s">
        <v>62</v>
      </c>
      <c r="F1462">
        <v>2022</v>
      </c>
      <c r="G1462">
        <v>429.46706999999998</v>
      </c>
    </row>
    <row r="1463" spans="5:7" x14ac:dyDescent="0.75">
      <c r="E1463" t="s">
        <v>62</v>
      </c>
      <c r="F1463">
        <v>2023</v>
      </c>
      <c r="G1463">
        <v>429.46706999999998</v>
      </c>
    </row>
    <row r="1464" spans="5:7" x14ac:dyDescent="0.75">
      <c r="E1464" t="s">
        <v>63</v>
      </c>
      <c r="F1464">
        <v>2000</v>
      </c>
      <c r="G1464">
        <v>692.30773999999997</v>
      </c>
    </row>
    <row r="1465" spans="5:7" x14ac:dyDescent="0.75">
      <c r="E1465" t="s">
        <v>63</v>
      </c>
      <c r="F1465">
        <v>2001</v>
      </c>
      <c r="G1465">
        <v>666.66660000000002</v>
      </c>
    </row>
    <row r="1466" spans="5:7" x14ac:dyDescent="0.75">
      <c r="E1466" t="s">
        <v>63</v>
      </c>
      <c r="F1466">
        <v>2002</v>
      </c>
      <c r="G1466">
        <v>666.66660000000002</v>
      </c>
    </row>
    <row r="1467" spans="5:7" x14ac:dyDescent="0.75">
      <c r="E1467" t="s">
        <v>63</v>
      </c>
      <c r="F1467">
        <v>2003</v>
      </c>
      <c r="G1467">
        <v>647.05884000000003</v>
      </c>
    </row>
    <row r="1468" spans="5:7" x14ac:dyDescent="0.75">
      <c r="E1468" t="s">
        <v>63</v>
      </c>
      <c r="F1468">
        <v>2004</v>
      </c>
      <c r="G1468">
        <v>684.21050000000002</v>
      </c>
    </row>
    <row r="1469" spans="5:7" x14ac:dyDescent="0.75">
      <c r="E1469" t="s">
        <v>63</v>
      </c>
      <c r="F1469">
        <v>2005</v>
      </c>
      <c r="G1469">
        <v>649.99994000000004</v>
      </c>
    </row>
    <row r="1470" spans="5:7" x14ac:dyDescent="0.75">
      <c r="E1470" t="s">
        <v>63</v>
      </c>
      <c r="F1470">
        <v>2006</v>
      </c>
      <c r="G1470">
        <v>636.36365000000001</v>
      </c>
    </row>
    <row r="1471" spans="5:7" x14ac:dyDescent="0.75">
      <c r="E1471" t="s">
        <v>63</v>
      </c>
      <c r="F1471">
        <v>2007</v>
      </c>
      <c r="G1471">
        <v>652.17394999999999</v>
      </c>
    </row>
    <row r="1472" spans="5:7" x14ac:dyDescent="0.75">
      <c r="E1472" t="s">
        <v>63</v>
      </c>
      <c r="F1472">
        <v>2008</v>
      </c>
      <c r="G1472">
        <v>666.66669999999999</v>
      </c>
    </row>
    <row r="1473" spans="5:7" x14ac:dyDescent="0.75">
      <c r="E1473" t="s">
        <v>63</v>
      </c>
      <c r="F1473">
        <v>2009</v>
      </c>
      <c r="G1473">
        <v>666.66669999999999</v>
      </c>
    </row>
    <row r="1474" spans="5:7" x14ac:dyDescent="0.75">
      <c r="E1474" t="s">
        <v>63</v>
      </c>
      <c r="F1474">
        <v>2010</v>
      </c>
      <c r="G1474">
        <v>640</v>
      </c>
    </row>
    <row r="1475" spans="5:7" x14ac:dyDescent="0.75">
      <c r="E1475" t="s">
        <v>63</v>
      </c>
      <c r="F1475">
        <v>2011</v>
      </c>
      <c r="G1475">
        <v>640</v>
      </c>
    </row>
    <row r="1476" spans="5:7" x14ac:dyDescent="0.75">
      <c r="E1476" t="s">
        <v>63</v>
      </c>
      <c r="F1476">
        <v>2012</v>
      </c>
      <c r="G1476">
        <v>640</v>
      </c>
    </row>
    <row r="1477" spans="5:7" x14ac:dyDescent="0.75">
      <c r="E1477" t="s">
        <v>63</v>
      </c>
      <c r="F1477">
        <v>2013</v>
      </c>
      <c r="G1477">
        <v>640</v>
      </c>
    </row>
    <row r="1478" spans="5:7" x14ac:dyDescent="0.75">
      <c r="E1478" t="s">
        <v>63</v>
      </c>
      <c r="F1478">
        <v>2014</v>
      </c>
      <c r="G1478">
        <v>640</v>
      </c>
    </row>
    <row r="1479" spans="5:7" x14ac:dyDescent="0.75">
      <c r="E1479" t="s">
        <v>63</v>
      </c>
      <c r="F1479">
        <v>2015</v>
      </c>
      <c r="G1479">
        <v>642.85720000000003</v>
      </c>
    </row>
    <row r="1480" spans="5:7" x14ac:dyDescent="0.75">
      <c r="E1480" t="s">
        <v>63</v>
      </c>
      <c r="F1480">
        <v>2016</v>
      </c>
      <c r="G1480">
        <v>666.66660000000002</v>
      </c>
    </row>
    <row r="1481" spans="5:7" x14ac:dyDescent="0.75">
      <c r="E1481" t="s">
        <v>63</v>
      </c>
      <c r="F1481">
        <v>2017</v>
      </c>
      <c r="G1481">
        <v>645.16129999999998</v>
      </c>
    </row>
    <row r="1482" spans="5:7" x14ac:dyDescent="0.75">
      <c r="E1482" t="s">
        <v>63</v>
      </c>
      <c r="F1482">
        <v>2018</v>
      </c>
      <c r="G1482">
        <v>666.66669999999999</v>
      </c>
    </row>
    <row r="1483" spans="5:7" x14ac:dyDescent="0.75">
      <c r="E1483" t="s">
        <v>63</v>
      </c>
      <c r="F1483">
        <v>2019</v>
      </c>
      <c r="G1483">
        <v>652.17394999999999</v>
      </c>
    </row>
    <row r="1484" spans="5:7" x14ac:dyDescent="0.75">
      <c r="E1484" t="s">
        <v>63</v>
      </c>
      <c r="F1484">
        <v>2020</v>
      </c>
      <c r="G1484">
        <v>666.66669999999999</v>
      </c>
    </row>
    <row r="1485" spans="5:7" x14ac:dyDescent="0.75">
      <c r="E1485" t="s">
        <v>63</v>
      </c>
      <c r="F1485">
        <v>2021</v>
      </c>
      <c r="G1485">
        <v>660</v>
      </c>
    </row>
    <row r="1486" spans="5:7" x14ac:dyDescent="0.75">
      <c r="E1486" t="s">
        <v>63</v>
      </c>
      <c r="F1486">
        <v>2022</v>
      </c>
      <c r="G1486">
        <v>666.66669999999999</v>
      </c>
    </row>
    <row r="1487" spans="5:7" x14ac:dyDescent="0.75">
      <c r="E1487" t="s">
        <v>63</v>
      </c>
      <c r="F1487">
        <v>2023</v>
      </c>
      <c r="G1487">
        <v>666.66669999999999</v>
      </c>
    </row>
    <row r="1488" spans="5:7" x14ac:dyDescent="0.75">
      <c r="E1488" t="s">
        <v>64</v>
      </c>
      <c r="F1488">
        <v>2000</v>
      </c>
      <c r="G1488">
        <v>152.1739</v>
      </c>
    </row>
    <row r="1489" spans="5:7" x14ac:dyDescent="0.75">
      <c r="E1489" t="s">
        <v>64</v>
      </c>
      <c r="F1489">
        <v>2001</v>
      </c>
      <c r="G1489">
        <v>146.80232000000001</v>
      </c>
    </row>
    <row r="1490" spans="5:7" x14ac:dyDescent="0.75">
      <c r="E1490" t="s">
        <v>64</v>
      </c>
      <c r="F1490">
        <v>2002</v>
      </c>
      <c r="G1490">
        <v>65.368570000000005</v>
      </c>
    </row>
    <row r="1491" spans="5:7" x14ac:dyDescent="0.75">
      <c r="E1491" t="s">
        <v>64</v>
      </c>
      <c r="F1491">
        <v>2003</v>
      </c>
      <c r="G1491">
        <v>77.464789999999994</v>
      </c>
    </row>
    <row r="1492" spans="5:7" x14ac:dyDescent="0.75">
      <c r="E1492" t="s">
        <v>64</v>
      </c>
      <c r="F1492">
        <v>2004</v>
      </c>
      <c r="G1492">
        <v>100.58309</v>
      </c>
    </row>
    <row r="1493" spans="5:7" x14ac:dyDescent="0.75">
      <c r="E1493" t="s">
        <v>64</v>
      </c>
      <c r="F1493">
        <v>2005</v>
      </c>
      <c r="G1493">
        <v>111.111115</v>
      </c>
    </row>
    <row r="1494" spans="5:7" x14ac:dyDescent="0.75">
      <c r="E1494" t="s">
        <v>64</v>
      </c>
      <c r="F1494">
        <v>2006</v>
      </c>
      <c r="G1494">
        <v>200.80322000000001</v>
      </c>
    </row>
    <row r="1495" spans="5:7" x14ac:dyDescent="0.75">
      <c r="E1495" t="s">
        <v>64</v>
      </c>
      <c r="F1495">
        <v>2007</v>
      </c>
      <c r="G1495">
        <v>148.23528999999999</v>
      </c>
    </row>
    <row r="1496" spans="5:7" x14ac:dyDescent="0.75">
      <c r="E1496" t="s">
        <v>64</v>
      </c>
      <c r="F1496">
        <v>2008</v>
      </c>
      <c r="G1496">
        <v>116.94511</v>
      </c>
    </row>
    <row r="1497" spans="5:7" x14ac:dyDescent="0.75">
      <c r="E1497" t="s">
        <v>64</v>
      </c>
      <c r="F1497">
        <v>2009</v>
      </c>
      <c r="G1497">
        <v>94.837940000000003</v>
      </c>
    </row>
    <row r="1498" spans="5:7" x14ac:dyDescent="0.75">
      <c r="E1498" t="s">
        <v>64</v>
      </c>
      <c r="F1498">
        <v>2010</v>
      </c>
      <c r="G1498">
        <v>65.326629999999994</v>
      </c>
    </row>
    <row r="1499" spans="5:7" x14ac:dyDescent="0.75">
      <c r="E1499" t="s">
        <v>64</v>
      </c>
      <c r="F1499">
        <v>2011</v>
      </c>
      <c r="G1499">
        <v>157.68463</v>
      </c>
    </row>
    <row r="1500" spans="5:7" x14ac:dyDescent="0.75">
      <c r="E1500" t="s">
        <v>64</v>
      </c>
      <c r="F1500">
        <v>2012</v>
      </c>
      <c r="G1500">
        <v>177.75468000000001</v>
      </c>
    </row>
    <row r="1501" spans="5:7" x14ac:dyDescent="0.75">
      <c r="E1501" t="s">
        <v>64</v>
      </c>
      <c r="F1501">
        <v>2013</v>
      </c>
      <c r="G1501">
        <v>131.26253</v>
      </c>
    </row>
    <row r="1502" spans="5:7" x14ac:dyDescent="0.75">
      <c r="E1502" t="s">
        <v>64</v>
      </c>
      <c r="F1502">
        <v>2014</v>
      </c>
      <c r="G1502">
        <v>143.82896</v>
      </c>
    </row>
    <row r="1503" spans="5:7" x14ac:dyDescent="0.75">
      <c r="E1503" t="s">
        <v>64</v>
      </c>
      <c r="F1503">
        <v>2015</v>
      </c>
      <c r="G1503">
        <v>157.20930000000001</v>
      </c>
    </row>
    <row r="1504" spans="5:7" x14ac:dyDescent="0.75">
      <c r="E1504" t="s">
        <v>64</v>
      </c>
      <c r="F1504">
        <v>2016</v>
      </c>
      <c r="G1504">
        <v>141.86249000000001</v>
      </c>
    </row>
    <row r="1505" spans="5:7" x14ac:dyDescent="0.75">
      <c r="E1505" t="s">
        <v>64</v>
      </c>
      <c r="F1505">
        <v>2017</v>
      </c>
      <c r="G1505">
        <v>141.60839999999999</v>
      </c>
    </row>
    <row r="1506" spans="5:7" x14ac:dyDescent="0.75">
      <c r="E1506" t="s">
        <v>64</v>
      </c>
      <c r="F1506">
        <v>2018</v>
      </c>
      <c r="G1506">
        <v>128.73752999999999</v>
      </c>
    </row>
    <row r="1507" spans="5:7" x14ac:dyDescent="0.75">
      <c r="E1507" t="s">
        <v>64</v>
      </c>
      <c r="F1507">
        <v>2019</v>
      </c>
      <c r="G1507">
        <v>167.79089999999999</v>
      </c>
    </row>
    <row r="1508" spans="5:7" x14ac:dyDescent="0.75">
      <c r="E1508" t="s">
        <v>64</v>
      </c>
      <c r="F1508">
        <v>2020</v>
      </c>
      <c r="G1508">
        <v>175.62724</v>
      </c>
    </row>
    <row r="1509" spans="5:7" x14ac:dyDescent="0.75">
      <c r="E1509" t="s">
        <v>64</v>
      </c>
      <c r="F1509">
        <v>2021</v>
      </c>
      <c r="G1509">
        <v>136.86707999999999</v>
      </c>
    </row>
    <row r="1510" spans="5:7" x14ac:dyDescent="0.75">
      <c r="E1510" t="s">
        <v>64</v>
      </c>
      <c r="F1510">
        <v>2022</v>
      </c>
      <c r="G1510">
        <v>167.01755</v>
      </c>
    </row>
    <row r="1511" spans="5:7" x14ac:dyDescent="0.75">
      <c r="E1511" t="s">
        <v>64</v>
      </c>
      <c r="F1511">
        <v>2023</v>
      </c>
      <c r="G1511">
        <v>168.05556999999999</v>
      </c>
    </row>
    <row r="1512" spans="5:7" x14ac:dyDescent="0.75">
      <c r="E1512" t="s">
        <v>64</v>
      </c>
      <c r="F1512">
        <v>2024</v>
      </c>
      <c r="G1512">
        <v>143.0575</v>
      </c>
    </row>
    <row r="1513" spans="5:7" x14ac:dyDescent="0.75">
      <c r="E1513" t="s">
        <v>65</v>
      </c>
      <c r="F1513">
        <v>2000</v>
      </c>
      <c r="G1513">
        <v>573.1259</v>
      </c>
    </row>
    <row r="1514" spans="5:7" x14ac:dyDescent="0.75">
      <c r="E1514" t="s">
        <v>65</v>
      </c>
      <c r="F1514">
        <v>2001</v>
      </c>
      <c r="G1514">
        <v>565.44713999999999</v>
      </c>
    </row>
    <row r="1515" spans="5:7" x14ac:dyDescent="0.75">
      <c r="E1515" t="s">
        <v>65</v>
      </c>
      <c r="F1515">
        <v>2002</v>
      </c>
      <c r="G1515">
        <v>569.56619999999998</v>
      </c>
    </row>
    <row r="1516" spans="5:7" x14ac:dyDescent="0.75">
      <c r="E1516" t="s">
        <v>65</v>
      </c>
      <c r="F1516">
        <v>2003</v>
      </c>
      <c r="G1516">
        <v>569.95496000000003</v>
      </c>
    </row>
    <row r="1517" spans="5:7" x14ac:dyDescent="0.75">
      <c r="E1517" t="s">
        <v>65</v>
      </c>
      <c r="F1517">
        <v>2004</v>
      </c>
      <c r="G1517">
        <v>554.65880000000004</v>
      </c>
    </row>
    <row r="1518" spans="5:7" x14ac:dyDescent="0.75">
      <c r="E1518" t="s">
        <v>65</v>
      </c>
      <c r="F1518">
        <v>2005</v>
      </c>
      <c r="G1518">
        <v>546.27120000000002</v>
      </c>
    </row>
    <row r="1519" spans="5:7" x14ac:dyDescent="0.75">
      <c r="E1519" t="s">
        <v>65</v>
      </c>
      <c r="F1519">
        <v>2006</v>
      </c>
      <c r="G1519">
        <v>536.16314999999997</v>
      </c>
    </row>
    <row r="1520" spans="5:7" x14ac:dyDescent="0.75">
      <c r="E1520" t="s">
        <v>65</v>
      </c>
      <c r="F1520">
        <v>2007</v>
      </c>
      <c r="G1520">
        <v>551.78264999999999</v>
      </c>
    </row>
    <row r="1521" spans="5:7" x14ac:dyDescent="0.75">
      <c r="E1521" t="s">
        <v>65</v>
      </c>
      <c r="F1521">
        <v>2008</v>
      </c>
      <c r="G1521">
        <v>525.40764999999999</v>
      </c>
    </row>
    <row r="1522" spans="5:7" x14ac:dyDescent="0.75">
      <c r="E1522" t="s">
        <v>65</v>
      </c>
      <c r="F1522">
        <v>2009</v>
      </c>
      <c r="G1522">
        <v>521.54909999999995</v>
      </c>
    </row>
    <row r="1523" spans="5:7" x14ac:dyDescent="0.75">
      <c r="E1523" t="s">
        <v>65</v>
      </c>
      <c r="F1523">
        <v>2010</v>
      </c>
      <c r="G1523">
        <v>516.63699999999994</v>
      </c>
    </row>
    <row r="1524" spans="5:7" x14ac:dyDescent="0.75">
      <c r="E1524" t="s">
        <v>65</v>
      </c>
      <c r="F1524">
        <v>2011</v>
      </c>
      <c r="G1524">
        <v>529.66943000000003</v>
      </c>
    </row>
    <row r="1525" spans="5:7" x14ac:dyDescent="0.75">
      <c r="E1525" t="s">
        <v>65</v>
      </c>
      <c r="F1525">
        <v>2012</v>
      </c>
      <c r="G1525">
        <v>534.16369999999995</v>
      </c>
    </row>
    <row r="1526" spans="5:7" x14ac:dyDescent="0.75">
      <c r="E1526" t="s">
        <v>65</v>
      </c>
      <c r="F1526">
        <v>2013</v>
      </c>
      <c r="G1526">
        <v>538.02670000000001</v>
      </c>
    </row>
    <row r="1527" spans="5:7" x14ac:dyDescent="0.75">
      <c r="E1527" t="s">
        <v>65</v>
      </c>
      <c r="F1527">
        <v>2014</v>
      </c>
      <c r="G1527">
        <v>521.68084999999996</v>
      </c>
    </row>
    <row r="1528" spans="5:7" x14ac:dyDescent="0.75">
      <c r="E1528" t="s">
        <v>65</v>
      </c>
      <c r="F1528">
        <v>2015</v>
      </c>
      <c r="G1528">
        <v>503.59059999999999</v>
      </c>
    </row>
    <row r="1529" spans="5:7" x14ac:dyDescent="0.75">
      <c r="E1529" t="s">
        <v>65</v>
      </c>
      <c r="F1529">
        <v>2016</v>
      </c>
      <c r="G1529">
        <v>498.30090000000001</v>
      </c>
    </row>
    <row r="1530" spans="5:7" x14ac:dyDescent="0.75">
      <c r="E1530" t="s">
        <v>65</v>
      </c>
      <c r="F1530">
        <v>2017</v>
      </c>
      <c r="G1530">
        <v>469.71105999999997</v>
      </c>
    </row>
    <row r="1531" spans="5:7" x14ac:dyDescent="0.75">
      <c r="E1531" t="s">
        <v>65</v>
      </c>
      <c r="F1531">
        <v>2018</v>
      </c>
      <c r="G1531">
        <v>454.54539999999997</v>
      </c>
    </row>
    <row r="1532" spans="5:7" x14ac:dyDescent="0.75">
      <c r="E1532" t="s">
        <v>65</v>
      </c>
      <c r="F1532">
        <v>2019</v>
      </c>
      <c r="G1532">
        <v>392.49112000000002</v>
      </c>
    </row>
    <row r="1533" spans="5:7" x14ac:dyDescent="0.75">
      <c r="E1533" t="s">
        <v>65</v>
      </c>
      <c r="F1533">
        <v>2020</v>
      </c>
      <c r="G1533">
        <v>355.65949999999998</v>
      </c>
    </row>
    <row r="1534" spans="5:7" x14ac:dyDescent="0.75">
      <c r="E1534" t="s">
        <v>65</v>
      </c>
      <c r="F1534">
        <v>2021</v>
      </c>
      <c r="G1534">
        <v>394.84823999999998</v>
      </c>
    </row>
    <row r="1535" spans="5:7" x14ac:dyDescent="0.75">
      <c r="E1535" t="s">
        <v>65</v>
      </c>
      <c r="F1535">
        <v>2022</v>
      </c>
      <c r="G1535">
        <v>420.10654</v>
      </c>
    </row>
    <row r="1536" spans="5:7" x14ac:dyDescent="0.75">
      <c r="E1536" t="s">
        <v>65</v>
      </c>
      <c r="F1536">
        <v>2023</v>
      </c>
      <c r="G1536">
        <v>371.31063999999998</v>
      </c>
    </row>
    <row r="1537" spans="5:7" x14ac:dyDescent="0.75">
      <c r="E1537" t="s">
        <v>65</v>
      </c>
      <c r="F1537">
        <v>2024</v>
      </c>
      <c r="G1537">
        <v>344.13992000000002</v>
      </c>
    </row>
    <row r="1538" spans="5:7" x14ac:dyDescent="0.75">
      <c r="E1538" t="s">
        <v>66</v>
      </c>
      <c r="F1538">
        <v>2000</v>
      </c>
      <c r="G1538">
        <v>79.497910000000005</v>
      </c>
    </row>
    <row r="1539" spans="5:7" x14ac:dyDescent="0.75">
      <c r="E1539" t="s">
        <v>66</v>
      </c>
      <c r="F1539">
        <v>2001</v>
      </c>
      <c r="G1539">
        <v>126.76057</v>
      </c>
    </row>
    <row r="1540" spans="5:7" x14ac:dyDescent="0.75">
      <c r="E1540" t="s">
        <v>66</v>
      </c>
      <c r="F1540">
        <v>2002</v>
      </c>
      <c r="G1540">
        <v>221.45804999999999</v>
      </c>
    </row>
    <row r="1541" spans="5:7" x14ac:dyDescent="0.75">
      <c r="E1541" t="s">
        <v>66</v>
      </c>
      <c r="F1541">
        <v>2003</v>
      </c>
      <c r="G1541">
        <v>241.49657999999999</v>
      </c>
    </row>
    <row r="1542" spans="5:7" x14ac:dyDescent="0.75">
      <c r="E1542" t="s">
        <v>66</v>
      </c>
      <c r="F1542">
        <v>2004</v>
      </c>
      <c r="G1542">
        <v>103.333336</v>
      </c>
    </row>
    <row r="1543" spans="5:7" x14ac:dyDescent="0.75">
      <c r="E1543" t="s">
        <v>66</v>
      </c>
      <c r="F1543">
        <v>2005</v>
      </c>
      <c r="G1543">
        <v>132.04749000000001</v>
      </c>
    </row>
    <row r="1544" spans="5:7" x14ac:dyDescent="0.75">
      <c r="E1544" t="s">
        <v>66</v>
      </c>
      <c r="F1544">
        <v>2006</v>
      </c>
      <c r="G1544">
        <v>237.18711999999999</v>
      </c>
    </row>
    <row r="1545" spans="5:7" x14ac:dyDescent="0.75">
      <c r="E1545" t="s">
        <v>66</v>
      </c>
      <c r="F1545">
        <v>2007</v>
      </c>
      <c r="G1545">
        <v>321.83908000000002</v>
      </c>
    </row>
    <row r="1546" spans="5:7" x14ac:dyDescent="0.75">
      <c r="E1546" t="s">
        <v>66</v>
      </c>
      <c r="F1546">
        <v>2008</v>
      </c>
      <c r="G1546">
        <v>189.90385000000001</v>
      </c>
    </row>
    <row r="1547" spans="5:7" x14ac:dyDescent="0.75">
      <c r="E1547" t="s">
        <v>66</v>
      </c>
      <c r="F1547">
        <v>2009</v>
      </c>
      <c r="G1547">
        <v>173.37808000000001</v>
      </c>
    </row>
    <row r="1548" spans="5:7" x14ac:dyDescent="0.75">
      <c r="E1548" t="s">
        <v>66</v>
      </c>
      <c r="F1548">
        <v>2010</v>
      </c>
      <c r="G1548">
        <v>230.23715000000001</v>
      </c>
    </row>
    <row r="1549" spans="5:7" x14ac:dyDescent="0.75">
      <c r="E1549" t="s">
        <v>66</v>
      </c>
      <c r="F1549">
        <v>2011</v>
      </c>
      <c r="G1549">
        <v>253.75772000000001</v>
      </c>
    </row>
    <row r="1550" spans="5:7" x14ac:dyDescent="0.75">
      <c r="E1550" t="s">
        <v>66</v>
      </c>
      <c r="F1550">
        <v>2012</v>
      </c>
      <c r="G1550">
        <v>251.02880999999999</v>
      </c>
    </row>
    <row r="1551" spans="5:7" x14ac:dyDescent="0.75">
      <c r="E1551" t="s">
        <v>66</v>
      </c>
      <c r="F1551">
        <v>2013</v>
      </c>
      <c r="G1551">
        <v>266.35872999999998</v>
      </c>
    </row>
    <row r="1552" spans="5:7" x14ac:dyDescent="0.75">
      <c r="E1552" t="s">
        <v>66</v>
      </c>
      <c r="F1552">
        <v>2014</v>
      </c>
      <c r="G1552">
        <v>269.11315999999999</v>
      </c>
    </row>
    <row r="1553" spans="5:7" x14ac:dyDescent="0.75">
      <c r="E1553" t="s">
        <v>66</v>
      </c>
      <c r="F1553">
        <v>2015</v>
      </c>
      <c r="G1553">
        <v>369.41579999999999</v>
      </c>
    </row>
    <row r="1554" spans="5:7" x14ac:dyDescent="0.75">
      <c r="E1554" t="s">
        <v>66</v>
      </c>
      <c r="F1554">
        <v>2016</v>
      </c>
      <c r="G1554">
        <v>410.02280000000002</v>
      </c>
    </row>
    <row r="1555" spans="5:7" x14ac:dyDescent="0.75">
      <c r="E1555" t="s">
        <v>66</v>
      </c>
      <c r="F1555">
        <v>2017</v>
      </c>
      <c r="G1555">
        <v>407.5188</v>
      </c>
    </row>
    <row r="1556" spans="5:7" x14ac:dyDescent="0.75">
      <c r="E1556" t="s">
        <v>66</v>
      </c>
      <c r="F1556">
        <v>2018</v>
      </c>
      <c r="G1556">
        <v>421.86453</v>
      </c>
    </row>
    <row r="1557" spans="5:7" x14ac:dyDescent="0.75">
      <c r="E1557" t="s">
        <v>66</v>
      </c>
      <c r="F1557">
        <v>2019</v>
      </c>
      <c r="G1557">
        <v>416.76303000000001</v>
      </c>
    </row>
    <row r="1558" spans="5:7" x14ac:dyDescent="0.75">
      <c r="E1558" t="s">
        <v>66</v>
      </c>
      <c r="F1558">
        <v>2020</v>
      </c>
      <c r="G1558">
        <v>459.19922000000003</v>
      </c>
    </row>
    <row r="1559" spans="5:7" x14ac:dyDescent="0.75">
      <c r="E1559" t="s">
        <v>66</v>
      </c>
      <c r="F1559">
        <v>2021</v>
      </c>
      <c r="G1559">
        <v>478.26089999999999</v>
      </c>
    </row>
    <row r="1560" spans="5:7" x14ac:dyDescent="0.75">
      <c r="E1560" t="s">
        <v>66</v>
      </c>
      <c r="F1560">
        <v>2022</v>
      </c>
      <c r="G1560">
        <v>469.42290000000003</v>
      </c>
    </row>
    <row r="1561" spans="5:7" x14ac:dyDescent="0.75">
      <c r="E1561" t="s">
        <v>66</v>
      </c>
      <c r="F1561">
        <v>2023</v>
      </c>
      <c r="G1561">
        <v>452.86124000000001</v>
      </c>
    </row>
    <row r="1562" spans="5:7" x14ac:dyDescent="0.75">
      <c r="E1562" t="s">
        <v>67</v>
      </c>
      <c r="F1562">
        <v>2000</v>
      </c>
      <c r="G1562">
        <v>822.81835999999998</v>
      </c>
    </row>
    <row r="1563" spans="5:7" x14ac:dyDescent="0.75">
      <c r="E1563" t="s">
        <v>67</v>
      </c>
      <c r="F1563">
        <v>2001</v>
      </c>
      <c r="G1563">
        <v>845.64139999999998</v>
      </c>
    </row>
    <row r="1564" spans="5:7" x14ac:dyDescent="0.75">
      <c r="E1564" t="s">
        <v>67</v>
      </c>
      <c r="F1564">
        <v>2002</v>
      </c>
      <c r="G1564">
        <v>827.58619999999996</v>
      </c>
    </row>
    <row r="1565" spans="5:7" x14ac:dyDescent="0.75">
      <c r="E1565" t="s">
        <v>67</v>
      </c>
      <c r="F1565">
        <v>2003</v>
      </c>
      <c r="G1565">
        <v>790.32825000000003</v>
      </c>
    </row>
    <row r="1566" spans="5:7" x14ac:dyDescent="0.75">
      <c r="E1566" t="s">
        <v>67</v>
      </c>
      <c r="F1566">
        <v>2004</v>
      </c>
      <c r="G1566">
        <v>786.15593999999999</v>
      </c>
    </row>
    <row r="1567" spans="5:7" x14ac:dyDescent="0.75">
      <c r="E1567" t="s">
        <v>67</v>
      </c>
      <c r="F1567">
        <v>2005</v>
      </c>
      <c r="G1567">
        <v>782.5643</v>
      </c>
    </row>
    <row r="1568" spans="5:7" x14ac:dyDescent="0.75">
      <c r="E1568" t="s">
        <v>67</v>
      </c>
      <c r="F1568">
        <v>2006</v>
      </c>
      <c r="G1568">
        <v>743.14089999999999</v>
      </c>
    </row>
    <row r="1569" spans="5:7" x14ac:dyDescent="0.75">
      <c r="E1569" t="s">
        <v>67</v>
      </c>
      <c r="F1569">
        <v>2007</v>
      </c>
      <c r="G1569">
        <v>776.92303000000004</v>
      </c>
    </row>
    <row r="1570" spans="5:7" x14ac:dyDescent="0.75">
      <c r="E1570" t="s">
        <v>67</v>
      </c>
      <c r="F1570">
        <v>2008</v>
      </c>
      <c r="G1570">
        <v>758.92565999999999</v>
      </c>
    </row>
    <row r="1571" spans="5:7" x14ac:dyDescent="0.75">
      <c r="E1571" t="s">
        <v>67</v>
      </c>
      <c r="F1571">
        <v>2009</v>
      </c>
      <c r="G1571">
        <v>747.09979999999996</v>
      </c>
    </row>
    <row r="1572" spans="5:7" x14ac:dyDescent="0.75">
      <c r="E1572" t="s">
        <v>67</v>
      </c>
      <c r="F1572">
        <v>2010</v>
      </c>
      <c r="G1572">
        <v>707.29552999999999</v>
      </c>
    </row>
    <row r="1573" spans="5:7" x14ac:dyDescent="0.75">
      <c r="E1573" t="s">
        <v>67</v>
      </c>
      <c r="F1573">
        <v>2011</v>
      </c>
      <c r="G1573">
        <v>725.06415000000004</v>
      </c>
    </row>
    <row r="1574" spans="5:7" x14ac:dyDescent="0.75">
      <c r="E1574" t="s">
        <v>67</v>
      </c>
      <c r="F1574">
        <v>2012</v>
      </c>
      <c r="G1574">
        <v>704.05610000000001</v>
      </c>
    </row>
    <row r="1575" spans="5:7" x14ac:dyDescent="0.75">
      <c r="E1575" t="s">
        <v>67</v>
      </c>
      <c r="F1575">
        <v>2013</v>
      </c>
      <c r="G1575">
        <v>636.68615999999997</v>
      </c>
    </row>
    <row r="1576" spans="5:7" x14ac:dyDescent="0.75">
      <c r="E1576" t="s">
        <v>67</v>
      </c>
      <c r="F1576">
        <v>2014</v>
      </c>
      <c r="G1576">
        <v>667.87585000000001</v>
      </c>
    </row>
    <row r="1577" spans="5:7" x14ac:dyDescent="0.75">
      <c r="E1577" t="s">
        <v>67</v>
      </c>
      <c r="F1577">
        <v>2015</v>
      </c>
      <c r="G1577">
        <v>603.52593999999999</v>
      </c>
    </row>
    <row r="1578" spans="5:7" x14ac:dyDescent="0.75">
      <c r="E1578" t="s">
        <v>67</v>
      </c>
      <c r="F1578">
        <v>2016</v>
      </c>
      <c r="G1578">
        <v>571.50819999999999</v>
      </c>
    </row>
    <row r="1579" spans="5:7" x14ac:dyDescent="0.75">
      <c r="E1579" t="s">
        <v>67</v>
      </c>
      <c r="F1579">
        <v>2017</v>
      </c>
      <c r="G1579">
        <v>579.74456999999995</v>
      </c>
    </row>
    <row r="1580" spans="5:7" x14ac:dyDescent="0.75">
      <c r="E1580" t="s">
        <v>67</v>
      </c>
      <c r="F1580">
        <v>2018</v>
      </c>
      <c r="G1580">
        <v>545.14350000000002</v>
      </c>
    </row>
    <row r="1581" spans="5:7" x14ac:dyDescent="0.75">
      <c r="E1581" t="s">
        <v>67</v>
      </c>
      <c r="F1581">
        <v>2019</v>
      </c>
      <c r="G1581">
        <v>496.976</v>
      </c>
    </row>
    <row r="1582" spans="5:7" x14ac:dyDescent="0.75">
      <c r="E1582" t="s">
        <v>67</v>
      </c>
      <c r="F1582">
        <v>2020</v>
      </c>
      <c r="G1582">
        <v>423.06885</v>
      </c>
    </row>
    <row r="1583" spans="5:7" x14ac:dyDescent="0.75">
      <c r="E1583" t="s">
        <v>67</v>
      </c>
      <c r="F1583">
        <v>2021</v>
      </c>
      <c r="G1583">
        <v>383.1121</v>
      </c>
    </row>
    <row r="1584" spans="5:7" x14ac:dyDescent="0.75">
      <c r="E1584" t="s">
        <v>67</v>
      </c>
      <c r="F1584">
        <v>2022</v>
      </c>
      <c r="G1584">
        <v>376.81439999999998</v>
      </c>
    </row>
    <row r="1585" spans="5:7" x14ac:dyDescent="0.75">
      <c r="E1585" t="s">
        <v>67</v>
      </c>
      <c r="F1585">
        <v>2023</v>
      </c>
      <c r="G1585">
        <v>337.08783</v>
      </c>
    </row>
    <row r="1586" spans="5:7" x14ac:dyDescent="0.75">
      <c r="E1586" t="s">
        <v>67</v>
      </c>
      <c r="F1586">
        <v>2024</v>
      </c>
      <c r="G1586">
        <v>319.76236</v>
      </c>
    </row>
    <row r="1587" spans="5:7" x14ac:dyDescent="0.75">
      <c r="E1587" t="s">
        <v>68</v>
      </c>
      <c r="F1587">
        <v>2000</v>
      </c>
      <c r="G1587">
        <v>692.30773999999997</v>
      </c>
    </row>
    <row r="1588" spans="5:7" x14ac:dyDescent="0.75">
      <c r="E1588" t="s">
        <v>68</v>
      </c>
      <c r="F1588">
        <v>2001</v>
      </c>
      <c r="G1588">
        <v>642.85720000000003</v>
      </c>
    </row>
    <row r="1589" spans="5:7" x14ac:dyDescent="0.75">
      <c r="E1589" t="s">
        <v>68</v>
      </c>
      <c r="F1589">
        <v>2002</v>
      </c>
      <c r="G1589">
        <v>666.66660000000002</v>
      </c>
    </row>
    <row r="1590" spans="5:7" x14ac:dyDescent="0.75">
      <c r="E1590" t="s">
        <v>68</v>
      </c>
      <c r="F1590">
        <v>2003</v>
      </c>
      <c r="G1590">
        <v>687.5</v>
      </c>
    </row>
    <row r="1591" spans="5:7" x14ac:dyDescent="0.75">
      <c r="E1591" t="s">
        <v>68</v>
      </c>
      <c r="F1591">
        <v>2004</v>
      </c>
      <c r="G1591">
        <v>642.85720000000003</v>
      </c>
    </row>
    <row r="1592" spans="5:7" x14ac:dyDescent="0.75">
      <c r="E1592" t="s">
        <v>68</v>
      </c>
      <c r="F1592">
        <v>2005</v>
      </c>
      <c r="G1592">
        <v>666.66660000000002</v>
      </c>
    </row>
    <row r="1593" spans="5:7" x14ac:dyDescent="0.75">
      <c r="E1593" t="s">
        <v>68</v>
      </c>
      <c r="F1593">
        <v>2006</v>
      </c>
      <c r="G1593">
        <v>647.05884000000003</v>
      </c>
    </row>
    <row r="1594" spans="5:7" x14ac:dyDescent="0.75">
      <c r="E1594" t="s">
        <v>68</v>
      </c>
      <c r="F1594">
        <v>2007</v>
      </c>
      <c r="G1594">
        <v>666.66660000000002</v>
      </c>
    </row>
    <row r="1595" spans="5:7" x14ac:dyDescent="0.75">
      <c r="E1595" t="s">
        <v>68</v>
      </c>
      <c r="F1595">
        <v>2008</v>
      </c>
      <c r="G1595">
        <v>684.21050000000002</v>
      </c>
    </row>
    <row r="1596" spans="5:7" x14ac:dyDescent="0.75">
      <c r="E1596" t="s">
        <v>68</v>
      </c>
      <c r="F1596">
        <v>2009</v>
      </c>
      <c r="G1596">
        <v>649.99994000000004</v>
      </c>
    </row>
    <row r="1597" spans="5:7" x14ac:dyDescent="0.75">
      <c r="E1597" t="s">
        <v>68</v>
      </c>
      <c r="F1597">
        <v>2010</v>
      </c>
      <c r="G1597">
        <v>666.66669999999999</v>
      </c>
    </row>
    <row r="1598" spans="5:7" x14ac:dyDescent="0.75">
      <c r="E1598" t="s">
        <v>68</v>
      </c>
      <c r="F1598">
        <v>2011</v>
      </c>
      <c r="G1598">
        <v>649.99994000000004</v>
      </c>
    </row>
    <row r="1599" spans="5:7" x14ac:dyDescent="0.75">
      <c r="E1599" t="s">
        <v>68</v>
      </c>
      <c r="F1599">
        <v>2012</v>
      </c>
      <c r="G1599">
        <v>649.99994000000004</v>
      </c>
    </row>
    <row r="1600" spans="5:7" x14ac:dyDescent="0.75">
      <c r="E1600" t="s">
        <v>68</v>
      </c>
      <c r="F1600">
        <v>2013</v>
      </c>
      <c r="G1600">
        <v>649.99994000000004</v>
      </c>
    </row>
    <row r="1601" spans="5:7" x14ac:dyDescent="0.75">
      <c r="E1601" t="s">
        <v>68</v>
      </c>
      <c r="F1601">
        <v>2014</v>
      </c>
      <c r="G1601">
        <v>649.99994000000004</v>
      </c>
    </row>
    <row r="1602" spans="5:7" x14ac:dyDescent="0.75">
      <c r="E1602" t="s">
        <v>68</v>
      </c>
      <c r="F1602">
        <v>2015</v>
      </c>
      <c r="G1602">
        <v>666.66669999999999</v>
      </c>
    </row>
    <row r="1603" spans="5:7" x14ac:dyDescent="0.75">
      <c r="E1603" t="s">
        <v>68</v>
      </c>
      <c r="F1603">
        <v>2016</v>
      </c>
      <c r="G1603">
        <v>636.36365000000001</v>
      </c>
    </row>
    <row r="1604" spans="5:7" x14ac:dyDescent="0.75">
      <c r="E1604" t="s">
        <v>68</v>
      </c>
      <c r="F1604">
        <v>2017</v>
      </c>
      <c r="G1604">
        <v>652.17394999999999</v>
      </c>
    </row>
    <row r="1605" spans="5:7" x14ac:dyDescent="0.75">
      <c r="E1605" t="s">
        <v>68</v>
      </c>
      <c r="F1605">
        <v>2018</v>
      </c>
      <c r="G1605">
        <v>652.17394999999999</v>
      </c>
    </row>
    <row r="1606" spans="5:7" x14ac:dyDescent="0.75">
      <c r="E1606" t="s">
        <v>68</v>
      </c>
      <c r="F1606">
        <v>2019</v>
      </c>
      <c r="G1606">
        <v>666.66669999999999</v>
      </c>
    </row>
    <row r="1607" spans="5:7" x14ac:dyDescent="0.75">
      <c r="E1607" t="s">
        <v>68</v>
      </c>
      <c r="F1607">
        <v>2020</v>
      </c>
      <c r="G1607">
        <v>636.36365000000001</v>
      </c>
    </row>
    <row r="1608" spans="5:7" x14ac:dyDescent="0.75">
      <c r="E1608" t="s">
        <v>68</v>
      </c>
      <c r="F1608">
        <v>2021</v>
      </c>
      <c r="G1608">
        <v>652.17394999999999</v>
      </c>
    </row>
    <row r="1609" spans="5:7" x14ac:dyDescent="0.75">
      <c r="E1609" t="s">
        <v>68</v>
      </c>
      <c r="F1609">
        <v>2022</v>
      </c>
      <c r="G1609">
        <v>666.66669999999999</v>
      </c>
    </row>
    <row r="1610" spans="5:7" x14ac:dyDescent="0.75">
      <c r="E1610" t="s">
        <v>69</v>
      </c>
      <c r="F1610">
        <v>2000</v>
      </c>
      <c r="G1610">
        <v>374.613</v>
      </c>
    </row>
    <row r="1611" spans="5:7" x14ac:dyDescent="0.75">
      <c r="E1611" t="s">
        <v>69</v>
      </c>
      <c r="F1611">
        <v>2001</v>
      </c>
      <c r="G1611">
        <v>426.44873000000001</v>
      </c>
    </row>
    <row r="1612" spans="5:7" x14ac:dyDescent="0.75">
      <c r="E1612" t="s">
        <v>69</v>
      </c>
      <c r="F1612">
        <v>2002</v>
      </c>
      <c r="G1612">
        <v>454.95496000000003</v>
      </c>
    </row>
    <row r="1613" spans="5:7" x14ac:dyDescent="0.75">
      <c r="E1613" t="s">
        <v>69</v>
      </c>
      <c r="F1613">
        <v>2003</v>
      </c>
      <c r="G1613">
        <v>393.63242000000002</v>
      </c>
    </row>
    <row r="1614" spans="5:7" x14ac:dyDescent="0.75">
      <c r="E1614" t="s">
        <v>69</v>
      </c>
      <c r="F1614">
        <v>2004</v>
      </c>
      <c r="G1614">
        <v>389.40807999999998</v>
      </c>
    </row>
    <row r="1615" spans="5:7" x14ac:dyDescent="0.75">
      <c r="E1615" t="s">
        <v>69</v>
      </c>
      <c r="F1615">
        <v>2005</v>
      </c>
      <c r="G1615">
        <v>358.27339999999998</v>
      </c>
    </row>
    <row r="1616" spans="5:7" x14ac:dyDescent="0.75">
      <c r="E1616" t="s">
        <v>69</v>
      </c>
      <c r="F1616">
        <v>2006</v>
      </c>
      <c r="G1616">
        <v>368.48795000000001</v>
      </c>
    </row>
    <row r="1617" spans="5:7" x14ac:dyDescent="0.75">
      <c r="E1617" t="s">
        <v>69</v>
      </c>
      <c r="F1617">
        <v>2007</v>
      </c>
      <c r="G1617">
        <v>389.90825999999998</v>
      </c>
    </row>
    <row r="1618" spans="5:7" x14ac:dyDescent="0.75">
      <c r="E1618" t="s">
        <v>69</v>
      </c>
      <c r="F1618">
        <v>2008</v>
      </c>
      <c r="G1618">
        <v>355.99074999999999</v>
      </c>
    </row>
    <row r="1619" spans="5:7" x14ac:dyDescent="0.75">
      <c r="E1619" t="s">
        <v>69</v>
      </c>
      <c r="F1619">
        <v>2009</v>
      </c>
      <c r="G1619">
        <v>405.16271999999998</v>
      </c>
    </row>
    <row r="1620" spans="5:7" x14ac:dyDescent="0.75">
      <c r="E1620" t="s">
        <v>69</v>
      </c>
      <c r="F1620">
        <v>2010</v>
      </c>
      <c r="G1620">
        <v>316.74207000000001</v>
      </c>
    </row>
    <row r="1621" spans="5:7" x14ac:dyDescent="0.75">
      <c r="E1621" t="s">
        <v>69</v>
      </c>
      <c r="F1621">
        <v>2011</v>
      </c>
      <c r="G1621">
        <v>315.06848000000002</v>
      </c>
    </row>
    <row r="1622" spans="5:7" x14ac:dyDescent="0.75">
      <c r="E1622" t="s">
        <v>69</v>
      </c>
      <c r="F1622">
        <v>2012</v>
      </c>
      <c r="G1622">
        <v>295.9402</v>
      </c>
    </row>
    <row r="1623" spans="5:7" x14ac:dyDescent="0.75">
      <c r="E1623" t="s">
        <v>69</v>
      </c>
      <c r="F1623">
        <v>2013</v>
      </c>
      <c r="G1623">
        <v>301.38339999999999</v>
      </c>
    </row>
    <row r="1624" spans="5:7" x14ac:dyDescent="0.75">
      <c r="E1624" t="s">
        <v>69</v>
      </c>
      <c r="F1624">
        <v>2014</v>
      </c>
      <c r="G1624">
        <v>300.75186000000002</v>
      </c>
    </row>
    <row r="1625" spans="5:7" x14ac:dyDescent="0.75">
      <c r="E1625" t="s">
        <v>69</v>
      </c>
      <c r="F1625">
        <v>2015</v>
      </c>
      <c r="G1625">
        <v>368.84512000000001</v>
      </c>
    </row>
    <row r="1626" spans="5:7" x14ac:dyDescent="0.75">
      <c r="E1626" t="s">
        <v>69</v>
      </c>
      <c r="F1626">
        <v>2016</v>
      </c>
      <c r="G1626">
        <v>371.8381</v>
      </c>
    </row>
    <row r="1627" spans="5:7" x14ac:dyDescent="0.75">
      <c r="E1627" t="s">
        <v>69</v>
      </c>
      <c r="F1627">
        <v>2017</v>
      </c>
      <c r="G1627">
        <v>312.80385999999999</v>
      </c>
    </row>
    <row r="1628" spans="5:7" x14ac:dyDescent="0.75">
      <c r="E1628" t="s">
        <v>69</v>
      </c>
      <c r="F1628">
        <v>2018</v>
      </c>
      <c r="G1628">
        <v>340.37738000000002</v>
      </c>
    </row>
    <row r="1629" spans="5:7" x14ac:dyDescent="0.75">
      <c r="E1629" t="s">
        <v>69</v>
      </c>
      <c r="F1629">
        <v>2019</v>
      </c>
      <c r="G1629">
        <v>363.77949999999998</v>
      </c>
    </row>
    <row r="1630" spans="5:7" x14ac:dyDescent="0.75">
      <c r="E1630" t="s">
        <v>69</v>
      </c>
      <c r="F1630">
        <v>2020</v>
      </c>
      <c r="G1630">
        <v>265.70047</v>
      </c>
    </row>
    <row r="1631" spans="5:7" x14ac:dyDescent="0.75">
      <c r="E1631" t="s">
        <v>69</v>
      </c>
      <c r="F1631">
        <v>2021</v>
      </c>
      <c r="G1631">
        <v>285.71429999999998</v>
      </c>
    </row>
    <row r="1632" spans="5:7" x14ac:dyDescent="0.75">
      <c r="E1632" t="s">
        <v>69</v>
      </c>
      <c r="F1632">
        <v>2022</v>
      </c>
      <c r="G1632">
        <v>191.39465000000001</v>
      </c>
    </row>
    <row r="1633" spans="5:7" x14ac:dyDescent="0.75">
      <c r="E1633" t="s">
        <v>69</v>
      </c>
      <c r="F1633">
        <v>2023</v>
      </c>
      <c r="G1633">
        <v>272.65973000000002</v>
      </c>
    </row>
    <row r="1634" spans="5:7" x14ac:dyDescent="0.75">
      <c r="E1634" t="s">
        <v>70</v>
      </c>
      <c r="F1634">
        <v>2000</v>
      </c>
      <c r="G1634">
        <v>333.33334000000002</v>
      </c>
    </row>
    <row r="1635" spans="5:7" x14ac:dyDescent="0.75">
      <c r="E1635" t="s">
        <v>70</v>
      </c>
      <c r="F1635">
        <v>2001</v>
      </c>
      <c r="G1635">
        <v>291.66669999999999</v>
      </c>
    </row>
    <row r="1636" spans="5:7" x14ac:dyDescent="0.75">
      <c r="E1636" t="s">
        <v>70</v>
      </c>
      <c r="F1636">
        <v>2002</v>
      </c>
      <c r="G1636">
        <v>287.12869999999998</v>
      </c>
    </row>
    <row r="1637" spans="5:7" x14ac:dyDescent="0.75">
      <c r="E1637" t="s">
        <v>70</v>
      </c>
      <c r="F1637">
        <v>2003</v>
      </c>
      <c r="G1637">
        <v>360.46512000000001</v>
      </c>
    </row>
    <row r="1638" spans="5:7" x14ac:dyDescent="0.75">
      <c r="E1638" t="s">
        <v>70</v>
      </c>
      <c r="F1638">
        <v>2004</v>
      </c>
      <c r="G1638">
        <v>266.66665999999998</v>
      </c>
    </row>
    <row r="1639" spans="5:7" x14ac:dyDescent="0.75">
      <c r="E1639" t="s">
        <v>70</v>
      </c>
      <c r="F1639">
        <v>2005</v>
      </c>
      <c r="G1639">
        <v>265.82278000000002</v>
      </c>
    </row>
    <row r="1640" spans="5:7" x14ac:dyDescent="0.75">
      <c r="E1640" t="s">
        <v>70</v>
      </c>
      <c r="F1640">
        <v>2006</v>
      </c>
      <c r="G1640">
        <v>260.27395999999999</v>
      </c>
    </row>
    <row r="1641" spans="5:7" x14ac:dyDescent="0.75">
      <c r="E1641" t="s">
        <v>70</v>
      </c>
      <c r="F1641">
        <v>2007</v>
      </c>
      <c r="G1641">
        <v>217.94873000000001</v>
      </c>
    </row>
    <row r="1642" spans="5:7" x14ac:dyDescent="0.75">
      <c r="E1642" t="s">
        <v>70</v>
      </c>
      <c r="F1642">
        <v>2008</v>
      </c>
      <c r="G1642">
        <v>246.91359</v>
      </c>
    </row>
    <row r="1643" spans="5:7" x14ac:dyDescent="0.75">
      <c r="E1643" t="s">
        <v>70</v>
      </c>
      <c r="F1643">
        <v>2009</v>
      </c>
      <c r="G1643">
        <v>237.5</v>
      </c>
    </row>
    <row r="1644" spans="5:7" x14ac:dyDescent="0.75">
      <c r="E1644" t="s">
        <v>70</v>
      </c>
      <c r="F1644">
        <v>2010</v>
      </c>
      <c r="G1644">
        <v>174.60318000000001</v>
      </c>
    </row>
    <row r="1645" spans="5:7" x14ac:dyDescent="0.75">
      <c r="E1645" t="s">
        <v>70</v>
      </c>
      <c r="F1645">
        <v>2011</v>
      </c>
      <c r="G1645">
        <v>181.81818000000001</v>
      </c>
    </row>
    <row r="1646" spans="5:7" x14ac:dyDescent="0.75">
      <c r="E1646" t="s">
        <v>70</v>
      </c>
      <c r="F1646">
        <v>2012</v>
      </c>
      <c r="G1646">
        <v>232.87671</v>
      </c>
    </row>
    <row r="1647" spans="5:7" x14ac:dyDescent="0.75">
      <c r="E1647" t="s">
        <v>70</v>
      </c>
      <c r="F1647">
        <v>2013</v>
      </c>
      <c r="G1647">
        <v>184.61538999999999</v>
      </c>
    </row>
    <row r="1648" spans="5:7" x14ac:dyDescent="0.75">
      <c r="E1648" t="s">
        <v>70</v>
      </c>
      <c r="F1648">
        <v>2014</v>
      </c>
      <c r="G1648">
        <v>281.69015999999999</v>
      </c>
    </row>
    <row r="1649" spans="5:7" x14ac:dyDescent="0.75">
      <c r="E1649" t="s">
        <v>70</v>
      </c>
      <c r="F1649">
        <v>2015</v>
      </c>
      <c r="G1649">
        <v>157.89474000000001</v>
      </c>
    </row>
    <row r="1650" spans="5:7" x14ac:dyDescent="0.75">
      <c r="E1650" t="s">
        <v>70</v>
      </c>
      <c r="F1650">
        <v>2016</v>
      </c>
      <c r="G1650">
        <v>229.81366</v>
      </c>
    </row>
    <row r="1651" spans="5:7" x14ac:dyDescent="0.75">
      <c r="E1651" t="s">
        <v>70</v>
      </c>
      <c r="F1651">
        <v>2017</v>
      </c>
      <c r="G1651">
        <v>220.33896999999999</v>
      </c>
    </row>
    <row r="1652" spans="5:7" x14ac:dyDescent="0.75">
      <c r="E1652" t="s">
        <v>70</v>
      </c>
      <c r="F1652">
        <v>2018</v>
      </c>
      <c r="G1652">
        <v>262.88659999999999</v>
      </c>
    </row>
    <row r="1653" spans="5:7" x14ac:dyDescent="0.75">
      <c r="E1653" t="s">
        <v>70</v>
      </c>
      <c r="F1653">
        <v>2019</v>
      </c>
      <c r="G1653">
        <v>253.65853999999999</v>
      </c>
    </row>
    <row r="1654" spans="5:7" x14ac:dyDescent="0.75">
      <c r="E1654" t="s">
        <v>70</v>
      </c>
      <c r="F1654">
        <v>2020</v>
      </c>
      <c r="G1654">
        <v>274.19353999999998</v>
      </c>
    </row>
    <row r="1655" spans="5:7" x14ac:dyDescent="0.75">
      <c r="E1655" t="s">
        <v>70</v>
      </c>
      <c r="F1655">
        <v>2021</v>
      </c>
      <c r="G1655">
        <v>192.30768</v>
      </c>
    </row>
    <row r="1656" spans="5:7" x14ac:dyDescent="0.75">
      <c r="E1656" t="s">
        <v>70</v>
      </c>
      <c r="F1656">
        <v>2022</v>
      </c>
      <c r="G1656">
        <v>185</v>
      </c>
    </row>
    <row r="1657" spans="5:7" x14ac:dyDescent="0.75">
      <c r="E1657" t="s">
        <v>70</v>
      </c>
      <c r="F1657">
        <v>2023</v>
      </c>
      <c r="G1657">
        <v>182.71605</v>
      </c>
    </row>
    <row r="1658" spans="5:7" x14ac:dyDescent="0.75">
      <c r="E1658" t="s">
        <v>71</v>
      </c>
      <c r="F1658">
        <v>2000</v>
      </c>
      <c r="G1658">
        <v>666.66669999999999</v>
      </c>
    </row>
    <row r="1659" spans="5:7" x14ac:dyDescent="0.75">
      <c r="E1659" t="s">
        <v>71</v>
      </c>
      <c r="F1659">
        <v>2001</v>
      </c>
      <c r="G1659">
        <v>500</v>
      </c>
    </row>
    <row r="1660" spans="5:7" x14ac:dyDescent="0.75">
      <c r="E1660" t="s">
        <v>71</v>
      </c>
      <c r="F1660">
        <v>2002</v>
      </c>
      <c r="G1660">
        <v>500</v>
      </c>
    </row>
    <row r="1661" spans="5:7" x14ac:dyDescent="0.75">
      <c r="E1661" t="s">
        <v>71</v>
      </c>
      <c r="F1661">
        <v>2003</v>
      </c>
      <c r="G1661">
        <v>500</v>
      </c>
    </row>
    <row r="1662" spans="5:7" x14ac:dyDescent="0.75">
      <c r="E1662" t="s">
        <v>71</v>
      </c>
      <c r="F1662">
        <v>2004</v>
      </c>
      <c r="G1662">
        <v>666.66669999999999</v>
      </c>
    </row>
    <row r="1663" spans="5:7" x14ac:dyDescent="0.75">
      <c r="E1663" t="s">
        <v>71</v>
      </c>
      <c r="F1663">
        <v>2005</v>
      </c>
      <c r="G1663">
        <v>666.66669999999999</v>
      </c>
    </row>
    <row r="1664" spans="5:7" x14ac:dyDescent="0.75">
      <c r="E1664" t="s">
        <v>71</v>
      </c>
      <c r="F1664">
        <v>2006</v>
      </c>
      <c r="G1664">
        <v>666.66669999999999</v>
      </c>
    </row>
    <row r="1665" spans="5:7" x14ac:dyDescent="0.75">
      <c r="E1665" t="s">
        <v>71</v>
      </c>
      <c r="F1665">
        <v>2007</v>
      </c>
      <c r="G1665">
        <v>666.66669999999999</v>
      </c>
    </row>
    <row r="1666" spans="5:7" x14ac:dyDescent="0.75">
      <c r="E1666" t="s">
        <v>71</v>
      </c>
      <c r="F1666">
        <v>2008</v>
      </c>
      <c r="G1666">
        <v>666.66669999999999</v>
      </c>
    </row>
    <row r="1667" spans="5:7" x14ac:dyDescent="0.75">
      <c r="E1667" t="s">
        <v>71</v>
      </c>
      <c r="F1667">
        <v>2009</v>
      </c>
      <c r="G1667">
        <v>666.66669999999999</v>
      </c>
    </row>
    <row r="1668" spans="5:7" x14ac:dyDescent="0.75">
      <c r="E1668" t="s">
        <v>71</v>
      </c>
      <c r="F1668">
        <v>2010</v>
      </c>
      <c r="G1668">
        <v>666.66669999999999</v>
      </c>
    </row>
    <row r="1669" spans="5:7" x14ac:dyDescent="0.75">
      <c r="E1669" t="s">
        <v>71</v>
      </c>
      <c r="F1669">
        <v>2011</v>
      </c>
      <c r="G1669">
        <v>666.66669999999999</v>
      </c>
    </row>
    <row r="1670" spans="5:7" x14ac:dyDescent="0.75">
      <c r="E1670" t="s">
        <v>71</v>
      </c>
      <c r="F1670">
        <v>2012</v>
      </c>
      <c r="G1670">
        <v>666.66669999999999</v>
      </c>
    </row>
    <row r="1671" spans="5:7" x14ac:dyDescent="0.75">
      <c r="E1671" t="s">
        <v>71</v>
      </c>
      <c r="F1671">
        <v>2013</v>
      </c>
      <c r="G1671">
        <v>500</v>
      </c>
    </row>
    <row r="1672" spans="5:7" x14ac:dyDescent="0.75">
      <c r="E1672" t="s">
        <v>71</v>
      </c>
      <c r="F1672">
        <v>2014</v>
      </c>
      <c r="G1672">
        <v>666.66669999999999</v>
      </c>
    </row>
    <row r="1673" spans="5:7" x14ac:dyDescent="0.75">
      <c r="E1673" t="s">
        <v>71</v>
      </c>
      <c r="F1673">
        <v>2015</v>
      </c>
      <c r="G1673">
        <v>666.66669999999999</v>
      </c>
    </row>
    <row r="1674" spans="5:7" x14ac:dyDescent="0.75">
      <c r="E1674" t="s">
        <v>71</v>
      </c>
      <c r="F1674">
        <v>2016</v>
      </c>
      <c r="G1674">
        <v>625</v>
      </c>
    </row>
    <row r="1675" spans="5:7" x14ac:dyDescent="0.75">
      <c r="E1675" t="s">
        <v>71</v>
      </c>
      <c r="F1675">
        <v>2017</v>
      </c>
      <c r="G1675">
        <v>625</v>
      </c>
    </row>
    <row r="1676" spans="5:7" x14ac:dyDescent="0.75">
      <c r="E1676" t="s">
        <v>71</v>
      </c>
      <c r="F1676">
        <v>2018</v>
      </c>
      <c r="G1676">
        <v>625</v>
      </c>
    </row>
    <row r="1677" spans="5:7" x14ac:dyDescent="0.75">
      <c r="E1677" t="s">
        <v>71</v>
      </c>
      <c r="F1677">
        <v>2019</v>
      </c>
      <c r="G1677">
        <v>625</v>
      </c>
    </row>
    <row r="1678" spans="5:7" x14ac:dyDescent="0.75">
      <c r="E1678" t="s">
        <v>71</v>
      </c>
      <c r="F1678">
        <v>2020</v>
      </c>
      <c r="G1678">
        <v>625</v>
      </c>
    </row>
    <row r="1679" spans="5:7" x14ac:dyDescent="0.75">
      <c r="E1679" t="s">
        <v>71</v>
      </c>
      <c r="F1679">
        <v>2021</v>
      </c>
      <c r="G1679">
        <v>625</v>
      </c>
    </row>
    <row r="1680" spans="5:7" x14ac:dyDescent="0.75">
      <c r="E1680" t="s">
        <v>71</v>
      </c>
      <c r="F1680">
        <v>2022</v>
      </c>
      <c r="G1680">
        <v>625</v>
      </c>
    </row>
    <row r="1681" spans="5:7" x14ac:dyDescent="0.75">
      <c r="E1681" t="s">
        <v>72</v>
      </c>
      <c r="F1681">
        <v>2000</v>
      </c>
      <c r="G1681">
        <v>655.55553999999995</v>
      </c>
    </row>
    <row r="1682" spans="5:7" x14ac:dyDescent="0.75">
      <c r="E1682" t="s">
        <v>72</v>
      </c>
      <c r="F1682">
        <v>2001</v>
      </c>
      <c r="G1682">
        <v>652.17394999999999</v>
      </c>
    </row>
    <row r="1683" spans="5:7" x14ac:dyDescent="0.75">
      <c r="E1683" t="s">
        <v>72</v>
      </c>
      <c r="F1683">
        <v>2002</v>
      </c>
      <c r="G1683">
        <v>652.17394999999999</v>
      </c>
    </row>
    <row r="1684" spans="5:7" x14ac:dyDescent="0.75">
      <c r="E1684" t="s">
        <v>72</v>
      </c>
      <c r="F1684">
        <v>2003</v>
      </c>
      <c r="G1684">
        <v>646.34142999999995</v>
      </c>
    </row>
    <row r="1685" spans="5:7" x14ac:dyDescent="0.75">
      <c r="E1685" t="s">
        <v>72</v>
      </c>
      <c r="F1685">
        <v>2004</v>
      </c>
      <c r="G1685">
        <v>651.16279999999995</v>
      </c>
    </row>
    <row r="1686" spans="5:7" x14ac:dyDescent="0.75">
      <c r="E1686" t="s">
        <v>72</v>
      </c>
      <c r="F1686">
        <v>2005</v>
      </c>
      <c r="G1686">
        <v>646.15390000000002</v>
      </c>
    </row>
    <row r="1687" spans="5:7" x14ac:dyDescent="0.75">
      <c r="E1687" t="s">
        <v>72</v>
      </c>
      <c r="F1687">
        <v>2006</v>
      </c>
      <c r="G1687">
        <v>651.51513999999997</v>
      </c>
    </row>
    <row r="1688" spans="5:7" x14ac:dyDescent="0.75">
      <c r="E1688" t="s">
        <v>72</v>
      </c>
      <c r="F1688">
        <v>2007</v>
      </c>
      <c r="G1688">
        <v>642.85709999999995</v>
      </c>
    </row>
    <row r="1689" spans="5:7" x14ac:dyDescent="0.75">
      <c r="E1689" t="s">
        <v>72</v>
      </c>
      <c r="F1689">
        <v>2008</v>
      </c>
      <c r="G1689">
        <v>647.88729999999998</v>
      </c>
    </row>
    <row r="1690" spans="5:7" x14ac:dyDescent="0.75">
      <c r="E1690" t="s">
        <v>72</v>
      </c>
      <c r="F1690">
        <v>2009</v>
      </c>
      <c r="G1690">
        <v>650.60249999999996</v>
      </c>
    </row>
    <row r="1691" spans="5:7" x14ac:dyDescent="0.75">
      <c r="E1691" t="s">
        <v>72</v>
      </c>
      <c r="F1691">
        <v>2010</v>
      </c>
      <c r="G1691">
        <v>655.17240000000004</v>
      </c>
    </row>
    <row r="1692" spans="5:7" x14ac:dyDescent="0.75">
      <c r="E1692" t="s">
        <v>72</v>
      </c>
      <c r="F1692">
        <v>2011</v>
      </c>
      <c r="G1692">
        <v>648.35159999999996</v>
      </c>
    </row>
    <row r="1693" spans="5:7" x14ac:dyDescent="0.75">
      <c r="E1693" t="s">
        <v>72</v>
      </c>
      <c r="F1693">
        <v>2012</v>
      </c>
      <c r="G1693">
        <v>648.93615999999997</v>
      </c>
    </row>
    <row r="1694" spans="5:7" x14ac:dyDescent="0.75">
      <c r="E1694" t="s">
        <v>72</v>
      </c>
      <c r="F1694">
        <v>2013</v>
      </c>
      <c r="G1694">
        <v>645.83339999999998</v>
      </c>
    </row>
    <row r="1695" spans="5:7" x14ac:dyDescent="0.75">
      <c r="E1695" t="s">
        <v>72</v>
      </c>
      <c r="F1695">
        <v>2014</v>
      </c>
      <c r="G1695">
        <v>642.85709999999995</v>
      </c>
    </row>
    <row r="1696" spans="5:7" x14ac:dyDescent="0.75">
      <c r="E1696" t="s">
        <v>72</v>
      </c>
      <c r="F1696">
        <v>2015</v>
      </c>
      <c r="G1696">
        <v>650</v>
      </c>
    </row>
    <row r="1697" spans="5:7" x14ac:dyDescent="0.75">
      <c r="E1697" t="s">
        <v>72</v>
      </c>
      <c r="F1697">
        <v>2016</v>
      </c>
      <c r="G1697">
        <v>648.14813000000004</v>
      </c>
    </row>
    <row r="1698" spans="5:7" x14ac:dyDescent="0.75">
      <c r="E1698" t="s">
        <v>72</v>
      </c>
      <c r="F1698">
        <v>2017</v>
      </c>
      <c r="G1698">
        <v>645.45450000000005</v>
      </c>
    </row>
    <row r="1699" spans="5:7" x14ac:dyDescent="0.75">
      <c r="E1699" t="s">
        <v>72</v>
      </c>
      <c r="F1699">
        <v>2018</v>
      </c>
      <c r="G1699">
        <v>646.01769999999999</v>
      </c>
    </row>
    <row r="1700" spans="5:7" x14ac:dyDescent="0.75">
      <c r="E1700" t="s">
        <v>72</v>
      </c>
      <c r="F1700">
        <v>2019</v>
      </c>
      <c r="G1700">
        <v>640.35090000000002</v>
      </c>
    </row>
    <row r="1701" spans="5:7" x14ac:dyDescent="0.75">
      <c r="E1701" t="s">
        <v>72</v>
      </c>
      <c r="F1701">
        <v>2020</v>
      </c>
      <c r="G1701">
        <v>646.01769999999999</v>
      </c>
    </row>
    <row r="1702" spans="5:7" x14ac:dyDescent="0.75">
      <c r="E1702" t="s">
        <v>72</v>
      </c>
      <c r="F1702">
        <v>2021</v>
      </c>
      <c r="G1702">
        <v>642.85720000000003</v>
      </c>
    </row>
    <row r="1703" spans="5:7" x14ac:dyDescent="0.75">
      <c r="E1703" t="s">
        <v>72</v>
      </c>
      <c r="F1703">
        <v>2022</v>
      </c>
      <c r="G1703">
        <v>653.54330000000004</v>
      </c>
    </row>
    <row r="1704" spans="5:7" x14ac:dyDescent="0.75">
      <c r="E1704" t="s">
        <v>72</v>
      </c>
      <c r="F1704">
        <v>2023</v>
      </c>
      <c r="G1704">
        <v>634.32836999999995</v>
      </c>
    </row>
    <row r="1705" spans="5:7" x14ac:dyDescent="0.75">
      <c r="E1705" t="s">
        <v>73</v>
      </c>
      <c r="F1705">
        <v>2000</v>
      </c>
      <c r="G1705">
        <v>333.33334000000002</v>
      </c>
    </row>
    <row r="1706" spans="5:7" x14ac:dyDescent="0.75">
      <c r="E1706" t="s">
        <v>73</v>
      </c>
      <c r="F1706">
        <v>2001</v>
      </c>
      <c r="G1706">
        <v>355.93221999999997</v>
      </c>
    </row>
    <row r="1707" spans="5:7" x14ac:dyDescent="0.75">
      <c r="E1707" t="s">
        <v>73</v>
      </c>
      <c r="F1707">
        <v>2002</v>
      </c>
      <c r="G1707">
        <v>363.63634999999999</v>
      </c>
    </row>
    <row r="1708" spans="5:7" x14ac:dyDescent="0.75">
      <c r="E1708" t="s">
        <v>73</v>
      </c>
      <c r="F1708">
        <v>2003</v>
      </c>
      <c r="G1708">
        <v>358.49056999999999</v>
      </c>
    </row>
    <row r="1709" spans="5:7" x14ac:dyDescent="0.75">
      <c r="E1709" t="s">
        <v>73</v>
      </c>
      <c r="F1709">
        <v>2004</v>
      </c>
      <c r="G1709">
        <v>363.63634999999999</v>
      </c>
    </row>
    <row r="1710" spans="5:7" x14ac:dyDescent="0.75">
      <c r="E1710" t="s">
        <v>73</v>
      </c>
      <c r="F1710">
        <v>2005</v>
      </c>
      <c r="G1710">
        <v>363.63634999999999</v>
      </c>
    </row>
    <row r="1711" spans="5:7" x14ac:dyDescent="0.75">
      <c r="E1711" t="s">
        <v>73</v>
      </c>
      <c r="F1711">
        <v>2006</v>
      </c>
      <c r="G1711">
        <v>368.42104999999998</v>
      </c>
    </row>
    <row r="1712" spans="5:7" x14ac:dyDescent="0.75">
      <c r="E1712" t="s">
        <v>73</v>
      </c>
      <c r="F1712">
        <v>2007</v>
      </c>
      <c r="G1712">
        <v>434.7826</v>
      </c>
    </row>
    <row r="1713" spans="5:7" x14ac:dyDescent="0.75">
      <c r="E1713" t="s">
        <v>73</v>
      </c>
      <c r="F1713">
        <v>2008</v>
      </c>
      <c r="G1713">
        <v>408.16327000000001</v>
      </c>
    </row>
    <row r="1714" spans="5:7" x14ac:dyDescent="0.75">
      <c r="E1714" t="s">
        <v>73</v>
      </c>
      <c r="F1714">
        <v>2009</v>
      </c>
      <c r="G1714">
        <v>478.87326000000002</v>
      </c>
    </row>
    <row r="1715" spans="5:7" x14ac:dyDescent="0.75">
      <c r="E1715" t="s">
        <v>73</v>
      </c>
      <c r="F1715">
        <v>2010</v>
      </c>
      <c r="G1715">
        <v>500</v>
      </c>
    </row>
    <row r="1716" spans="5:7" x14ac:dyDescent="0.75">
      <c r="E1716" t="s">
        <v>73</v>
      </c>
      <c r="F1716">
        <v>2011</v>
      </c>
      <c r="G1716">
        <v>575.75756999999999</v>
      </c>
    </row>
    <row r="1717" spans="5:7" x14ac:dyDescent="0.75">
      <c r="E1717" t="s">
        <v>73</v>
      </c>
      <c r="F1717">
        <v>2012</v>
      </c>
      <c r="G1717">
        <v>536.36360000000002</v>
      </c>
    </row>
    <row r="1718" spans="5:7" x14ac:dyDescent="0.75">
      <c r="E1718" t="s">
        <v>73</v>
      </c>
      <c r="F1718">
        <v>2013</v>
      </c>
      <c r="G1718">
        <v>571.42864999999995</v>
      </c>
    </row>
    <row r="1719" spans="5:7" x14ac:dyDescent="0.75">
      <c r="E1719" t="s">
        <v>73</v>
      </c>
      <c r="F1719">
        <v>2014</v>
      </c>
      <c r="G1719">
        <v>601.94179999999994</v>
      </c>
    </row>
    <row r="1720" spans="5:7" x14ac:dyDescent="0.75">
      <c r="E1720" t="s">
        <v>73</v>
      </c>
      <c r="F1720">
        <v>2015</v>
      </c>
      <c r="G1720">
        <v>611.65049999999997</v>
      </c>
    </row>
    <row r="1721" spans="5:7" x14ac:dyDescent="0.75">
      <c r="E1721" t="s">
        <v>73</v>
      </c>
      <c r="F1721">
        <v>2016</v>
      </c>
      <c r="G1721">
        <v>611.11109999999996</v>
      </c>
    </row>
    <row r="1722" spans="5:7" x14ac:dyDescent="0.75">
      <c r="E1722" t="s">
        <v>73</v>
      </c>
      <c r="F1722">
        <v>2017</v>
      </c>
      <c r="G1722">
        <v>575.47173999999995</v>
      </c>
    </row>
    <row r="1723" spans="5:7" x14ac:dyDescent="0.75">
      <c r="E1723" t="s">
        <v>73</v>
      </c>
      <c r="F1723">
        <v>2018</v>
      </c>
      <c r="G1723">
        <v>538.46154999999999</v>
      </c>
    </row>
    <row r="1724" spans="5:7" x14ac:dyDescent="0.75">
      <c r="E1724" t="s">
        <v>73</v>
      </c>
      <c r="F1724">
        <v>2019</v>
      </c>
      <c r="G1724">
        <v>556.60375999999997</v>
      </c>
    </row>
    <row r="1725" spans="5:7" x14ac:dyDescent="0.75">
      <c r="E1725" t="s">
        <v>73</v>
      </c>
      <c r="F1725">
        <v>2020</v>
      </c>
      <c r="G1725">
        <v>568.62743999999998</v>
      </c>
    </row>
    <row r="1726" spans="5:7" x14ac:dyDescent="0.75">
      <c r="E1726" t="s">
        <v>73</v>
      </c>
      <c r="F1726">
        <v>2021</v>
      </c>
      <c r="G1726">
        <v>572.81555000000003</v>
      </c>
    </row>
    <row r="1727" spans="5:7" x14ac:dyDescent="0.75">
      <c r="E1727" t="s">
        <v>73</v>
      </c>
      <c r="F1727">
        <v>2022</v>
      </c>
      <c r="G1727">
        <v>534.65350000000001</v>
      </c>
    </row>
    <row r="1728" spans="5:7" x14ac:dyDescent="0.75">
      <c r="E1728" t="s">
        <v>74</v>
      </c>
      <c r="F1728">
        <v>2000</v>
      </c>
      <c r="G1728">
        <v>263.73624000000001</v>
      </c>
    </row>
    <row r="1729" spans="5:7" x14ac:dyDescent="0.75">
      <c r="E1729" t="s">
        <v>74</v>
      </c>
      <c r="F1729">
        <v>2001</v>
      </c>
      <c r="G1729">
        <v>345.26855</v>
      </c>
    </row>
    <row r="1730" spans="5:7" x14ac:dyDescent="0.75">
      <c r="E1730" t="s">
        <v>74</v>
      </c>
      <c r="F1730">
        <v>2002</v>
      </c>
      <c r="G1730">
        <v>404.81923999999998</v>
      </c>
    </row>
    <row r="1731" spans="5:7" x14ac:dyDescent="0.75">
      <c r="E1731" t="s">
        <v>74</v>
      </c>
      <c r="F1731">
        <v>2003</v>
      </c>
      <c r="G1731">
        <v>405.98289999999997</v>
      </c>
    </row>
    <row r="1732" spans="5:7" x14ac:dyDescent="0.75">
      <c r="E1732" t="s">
        <v>74</v>
      </c>
      <c r="F1732">
        <v>2004</v>
      </c>
      <c r="G1732">
        <v>455.42635999999999</v>
      </c>
    </row>
    <row r="1733" spans="5:7" x14ac:dyDescent="0.75">
      <c r="E1733" t="s">
        <v>74</v>
      </c>
      <c r="F1733">
        <v>2005</v>
      </c>
      <c r="G1733">
        <v>452.07956000000001</v>
      </c>
    </row>
    <row r="1734" spans="5:7" x14ac:dyDescent="0.75">
      <c r="E1734" t="s">
        <v>74</v>
      </c>
      <c r="F1734">
        <v>2006</v>
      </c>
      <c r="G1734">
        <v>429.53017999999997</v>
      </c>
    </row>
    <row r="1735" spans="5:7" x14ac:dyDescent="0.75">
      <c r="E1735" t="s">
        <v>74</v>
      </c>
      <c r="F1735">
        <v>2007</v>
      </c>
      <c r="G1735">
        <v>426.07315</v>
      </c>
    </row>
    <row r="1736" spans="5:7" x14ac:dyDescent="0.75">
      <c r="E1736" t="s">
        <v>74</v>
      </c>
      <c r="F1736">
        <v>2008</v>
      </c>
      <c r="G1736">
        <v>421.29629999999997</v>
      </c>
    </row>
    <row r="1737" spans="5:7" x14ac:dyDescent="0.75">
      <c r="E1737" t="s">
        <v>74</v>
      </c>
      <c r="F1737">
        <v>2009</v>
      </c>
      <c r="G1737">
        <v>371.7201</v>
      </c>
    </row>
    <row r="1738" spans="5:7" x14ac:dyDescent="0.75">
      <c r="E1738" t="s">
        <v>74</v>
      </c>
      <c r="F1738">
        <v>2010</v>
      </c>
      <c r="G1738">
        <v>361.11110000000002</v>
      </c>
    </row>
    <row r="1739" spans="5:7" x14ac:dyDescent="0.75">
      <c r="E1739" t="s">
        <v>74</v>
      </c>
      <c r="F1739">
        <v>2011</v>
      </c>
      <c r="G1739">
        <v>382.86478</v>
      </c>
    </row>
    <row r="1740" spans="5:7" x14ac:dyDescent="0.75">
      <c r="E1740" t="s">
        <v>74</v>
      </c>
      <c r="F1740">
        <v>2012</v>
      </c>
      <c r="G1740">
        <v>380.10205000000002</v>
      </c>
    </row>
    <row r="1741" spans="5:7" x14ac:dyDescent="0.75">
      <c r="E1741" t="s">
        <v>74</v>
      </c>
      <c r="F1741">
        <v>2013</v>
      </c>
      <c r="G1741">
        <v>393.42266999999998</v>
      </c>
    </row>
    <row r="1742" spans="5:7" x14ac:dyDescent="0.75">
      <c r="E1742" t="s">
        <v>74</v>
      </c>
      <c r="F1742">
        <v>2014</v>
      </c>
      <c r="G1742">
        <v>410.84338000000002</v>
      </c>
    </row>
    <row r="1743" spans="5:7" x14ac:dyDescent="0.75">
      <c r="E1743" t="s">
        <v>74</v>
      </c>
      <c r="F1743">
        <v>2015</v>
      </c>
      <c r="G1743">
        <v>386.33940000000001</v>
      </c>
    </row>
    <row r="1744" spans="5:7" x14ac:dyDescent="0.75">
      <c r="E1744" t="s">
        <v>74</v>
      </c>
      <c r="F1744">
        <v>2016</v>
      </c>
      <c r="G1744">
        <v>364.10788000000002</v>
      </c>
    </row>
    <row r="1745" spans="5:7" x14ac:dyDescent="0.75">
      <c r="E1745" t="s">
        <v>74</v>
      </c>
      <c r="F1745">
        <v>2017</v>
      </c>
      <c r="G1745">
        <v>307.06240000000003</v>
      </c>
    </row>
    <row r="1746" spans="5:7" x14ac:dyDescent="0.75">
      <c r="E1746" t="s">
        <v>74</v>
      </c>
      <c r="F1746">
        <v>2018</v>
      </c>
      <c r="G1746">
        <v>273.08837999999997</v>
      </c>
    </row>
    <row r="1747" spans="5:7" x14ac:dyDescent="0.75">
      <c r="E1747" t="s">
        <v>74</v>
      </c>
      <c r="F1747">
        <v>2019</v>
      </c>
      <c r="G1747">
        <v>337.21973000000003</v>
      </c>
    </row>
    <row r="1748" spans="5:7" x14ac:dyDescent="0.75">
      <c r="E1748" t="s">
        <v>74</v>
      </c>
      <c r="F1748">
        <v>2020</v>
      </c>
      <c r="G1748">
        <v>321.16104000000001</v>
      </c>
    </row>
    <row r="1749" spans="5:7" x14ac:dyDescent="0.75">
      <c r="E1749" t="s">
        <v>74</v>
      </c>
      <c r="F1749">
        <v>2021</v>
      </c>
      <c r="G1749">
        <v>282.11804000000001</v>
      </c>
    </row>
    <row r="1750" spans="5:7" x14ac:dyDescent="0.75">
      <c r="E1750" t="s">
        <v>74</v>
      </c>
      <c r="F1750">
        <v>2022</v>
      </c>
      <c r="G1750">
        <v>293.11810000000003</v>
      </c>
    </row>
    <row r="1751" spans="5:7" x14ac:dyDescent="0.75">
      <c r="E1751" t="s">
        <v>74</v>
      </c>
      <c r="F1751">
        <v>2023</v>
      </c>
      <c r="G1751">
        <v>289.49615</v>
      </c>
    </row>
    <row r="1752" spans="5:7" x14ac:dyDescent="0.75">
      <c r="E1752" t="s">
        <v>76</v>
      </c>
      <c r="F1752">
        <v>2000</v>
      </c>
      <c r="G1752">
        <v>450.98039999999997</v>
      </c>
    </row>
    <row r="1753" spans="5:7" x14ac:dyDescent="0.75">
      <c r="E1753" t="s">
        <v>76</v>
      </c>
      <c r="F1753">
        <v>2001</v>
      </c>
      <c r="G1753">
        <v>439.04450000000003</v>
      </c>
    </row>
    <row r="1754" spans="5:7" x14ac:dyDescent="0.75">
      <c r="E1754" t="s">
        <v>76</v>
      </c>
      <c r="F1754">
        <v>2002</v>
      </c>
      <c r="G1754">
        <v>432.36514</v>
      </c>
    </row>
    <row r="1755" spans="5:7" x14ac:dyDescent="0.75">
      <c r="E1755" t="s">
        <v>76</v>
      </c>
      <c r="F1755">
        <v>2003</v>
      </c>
      <c r="G1755">
        <v>468.79577999999998</v>
      </c>
    </row>
    <row r="1756" spans="5:7" x14ac:dyDescent="0.75">
      <c r="E1756" t="s">
        <v>76</v>
      </c>
      <c r="F1756">
        <v>2004</v>
      </c>
      <c r="G1756">
        <v>431.32602000000003</v>
      </c>
    </row>
    <row r="1757" spans="5:7" x14ac:dyDescent="0.75">
      <c r="E1757" t="s">
        <v>76</v>
      </c>
      <c r="F1757">
        <v>2005</v>
      </c>
      <c r="G1757">
        <v>382.65735000000001</v>
      </c>
    </row>
    <row r="1758" spans="5:7" x14ac:dyDescent="0.75">
      <c r="E1758" t="s">
        <v>76</v>
      </c>
      <c r="F1758">
        <v>2006</v>
      </c>
      <c r="G1758">
        <v>389.95816000000002</v>
      </c>
    </row>
    <row r="1759" spans="5:7" x14ac:dyDescent="0.75">
      <c r="E1759" t="s">
        <v>76</v>
      </c>
      <c r="F1759">
        <v>2007</v>
      </c>
      <c r="G1759">
        <v>385.88589999999999</v>
      </c>
    </row>
    <row r="1760" spans="5:7" x14ac:dyDescent="0.75">
      <c r="E1760" t="s">
        <v>76</v>
      </c>
      <c r="F1760">
        <v>2008</v>
      </c>
      <c r="G1760">
        <v>376.06198000000001</v>
      </c>
    </row>
    <row r="1761" spans="5:7" x14ac:dyDescent="0.75">
      <c r="E1761" t="s">
        <v>76</v>
      </c>
      <c r="F1761">
        <v>2009</v>
      </c>
      <c r="G1761">
        <v>343.91534000000001</v>
      </c>
    </row>
    <row r="1762" spans="5:7" x14ac:dyDescent="0.75">
      <c r="E1762" t="s">
        <v>76</v>
      </c>
      <c r="F1762">
        <v>2010</v>
      </c>
      <c r="G1762">
        <v>341.00639999999999</v>
      </c>
    </row>
    <row r="1763" spans="5:7" x14ac:dyDescent="0.75">
      <c r="E1763" t="s">
        <v>76</v>
      </c>
      <c r="F1763">
        <v>2011</v>
      </c>
      <c r="G1763">
        <v>341.19934000000001</v>
      </c>
    </row>
    <row r="1764" spans="5:7" x14ac:dyDescent="0.75">
      <c r="E1764" t="s">
        <v>76</v>
      </c>
      <c r="F1764">
        <v>2012</v>
      </c>
      <c r="G1764">
        <v>332.75565</v>
      </c>
    </row>
    <row r="1765" spans="5:7" x14ac:dyDescent="0.75">
      <c r="E1765" t="s">
        <v>76</v>
      </c>
      <c r="F1765">
        <v>2013</v>
      </c>
      <c r="G1765">
        <v>317.47604000000001</v>
      </c>
    </row>
    <row r="1766" spans="5:7" x14ac:dyDescent="0.75">
      <c r="E1766" t="s">
        <v>76</v>
      </c>
      <c r="F1766">
        <v>2014</v>
      </c>
      <c r="G1766">
        <v>300.10208</v>
      </c>
    </row>
    <row r="1767" spans="5:7" x14ac:dyDescent="0.75">
      <c r="E1767" t="s">
        <v>76</v>
      </c>
      <c r="F1767">
        <v>2015</v>
      </c>
      <c r="G1767">
        <v>299.04385000000002</v>
      </c>
    </row>
    <row r="1768" spans="5:7" x14ac:dyDescent="0.75">
      <c r="E1768" t="s">
        <v>76</v>
      </c>
      <c r="F1768">
        <v>2016</v>
      </c>
      <c r="G1768">
        <v>300.18819999999999</v>
      </c>
    </row>
    <row r="1769" spans="5:7" x14ac:dyDescent="0.75">
      <c r="E1769" t="s">
        <v>76</v>
      </c>
      <c r="F1769">
        <v>2017</v>
      </c>
      <c r="G1769">
        <v>290.70474000000002</v>
      </c>
    </row>
    <row r="1770" spans="5:7" x14ac:dyDescent="0.75">
      <c r="E1770" t="s">
        <v>76</v>
      </c>
      <c r="F1770">
        <v>2018</v>
      </c>
      <c r="G1770">
        <v>284.55540000000002</v>
      </c>
    </row>
    <row r="1771" spans="5:7" x14ac:dyDescent="0.75">
      <c r="E1771" t="s">
        <v>76</v>
      </c>
      <c r="F1771">
        <v>2019</v>
      </c>
      <c r="G1771">
        <v>266.04433999999998</v>
      </c>
    </row>
    <row r="1772" spans="5:7" x14ac:dyDescent="0.75">
      <c r="E1772" t="s">
        <v>76</v>
      </c>
      <c r="F1772">
        <v>2020</v>
      </c>
      <c r="G1772">
        <v>257.44560000000001</v>
      </c>
    </row>
    <row r="1773" spans="5:7" x14ac:dyDescent="0.75">
      <c r="E1773" t="s">
        <v>76</v>
      </c>
      <c r="F1773">
        <v>2021</v>
      </c>
      <c r="G1773">
        <v>238.50415000000001</v>
      </c>
    </row>
    <row r="1774" spans="5:7" x14ac:dyDescent="0.75">
      <c r="E1774" t="s">
        <v>76</v>
      </c>
      <c r="F1774">
        <v>2022</v>
      </c>
      <c r="G1774">
        <v>228.89882</v>
      </c>
    </row>
    <row r="1775" spans="5:7" x14ac:dyDescent="0.75">
      <c r="E1775" t="s">
        <v>76</v>
      </c>
      <c r="F1775">
        <v>2023</v>
      </c>
      <c r="G1775">
        <v>196.22746000000001</v>
      </c>
    </row>
    <row r="1776" spans="5:7" x14ac:dyDescent="0.75">
      <c r="E1776" t="s">
        <v>76</v>
      </c>
      <c r="F1776">
        <v>2024</v>
      </c>
      <c r="G1776">
        <v>182.81822</v>
      </c>
    </row>
    <row r="1777" spans="5:7" x14ac:dyDescent="0.75">
      <c r="E1777" t="s">
        <v>77</v>
      </c>
      <c r="F1777">
        <v>2000</v>
      </c>
      <c r="G1777">
        <v>26.281207999999999</v>
      </c>
    </row>
    <row r="1778" spans="5:7" x14ac:dyDescent="0.75">
      <c r="E1778" t="s">
        <v>77</v>
      </c>
      <c r="F1778">
        <v>2001</v>
      </c>
      <c r="G1778">
        <v>25.125627999999999</v>
      </c>
    </row>
    <row r="1779" spans="5:7" x14ac:dyDescent="0.75">
      <c r="E1779" t="s">
        <v>77</v>
      </c>
      <c r="F1779">
        <v>2002</v>
      </c>
      <c r="G1779">
        <v>26.347303</v>
      </c>
    </row>
    <row r="1780" spans="5:7" x14ac:dyDescent="0.75">
      <c r="E1780" t="s">
        <v>77</v>
      </c>
      <c r="F1780">
        <v>2003</v>
      </c>
      <c r="G1780">
        <v>27.251186000000001</v>
      </c>
    </row>
    <row r="1781" spans="5:7" x14ac:dyDescent="0.75">
      <c r="E1781" t="s">
        <v>77</v>
      </c>
      <c r="F1781">
        <v>2004</v>
      </c>
      <c r="G1781">
        <v>26.932085000000001</v>
      </c>
    </row>
    <row r="1782" spans="5:7" x14ac:dyDescent="0.75">
      <c r="E1782" t="s">
        <v>77</v>
      </c>
      <c r="F1782">
        <v>2005</v>
      </c>
      <c r="G1782">
        <v>26.713125000000002</v>
      </c>
    </row>
    <row r="1783" spans="5:7" x14ac:dyDescent="0.75">
      <c r="E1783" t="s">
        <v>77</v>
      </c>
      <c r="F1783">
        <v>2006</v>
      </c>
      <c r="G1783">
        <v>27.411166999999999</v>
      </c>
    </row>
    <row r="1784" spans="5:7" x14ac:dyDescent="0.75">
      <c r="E1784" t="s">
        <v>77</v>
      </c>
      <c r="F1784">
        <v>2007</v>
      </c>
      <c r="G1784">
        <v>27.754415999999999</v>
      </c>
    </row>
    <row r="1785" spans="5:7" x14ac:dyDescent="0.75">
      <c r="E1785" t="s">
        <v>77</v>
      </c>
      <c r="F1785">
        <v>2008</v>
      </c>
      <c r="G1785">
        <v>26.927783999999999</v>
      </c>
    </row>
    <row r="1786" spans="5:7" x14ac:dyDescent="0.75">
      <c r="E1786" t="s">
        <v>77</v>
      </c>
      <c r="F1786">
        <v>2009</v>
      </c>
      <c r="G1786">
        <v>27.528428999999999</v>
      </c>
    </row>
    <row r="1787" spans="5:7" x14ac:dyDescent="0.75">
      <c r="E1787" t="s">
        <v>77</v>
      </c>
      <c r="F1787">
        <v>2010</v>
      </c>
      <c r="G1787">
        <v>27.479094</v>
      </c>
    </row>
    <row r="1788" spans="5:7" x14ac:dyDescent="0.75">
      <c r="E1788" t="s">
        <v>77</v>
      </c>
      <c r="F1788">
        <v>2011</v>
      </c>
      <c r="G1788">
        <v>27.299703999999998</v>
      </c>
    </row>
    <row r="1789" spans="5:7" x14ac:dyDescent="0.75">
      <c r="E1789" t="s">
        <v>77</v>
      </c>
      <c r="F1789">
        <v>2012</v>
      </c>
      <c r="G1789">
        <v>27.761710000000001</v>
      </c>
    </row>
    <row r="1790" spans="5:7" x14ac:dyDescent="0.75">
      <c r="E1790" t="s">
        <v>77</v>
      </c>
      <c r="F1790">
        <v>2013</v>
      </c>
      <c r="G1790">
        <v>27.793219000000001</v>
      </c>
    </row>
    <row r="1791" spans="5:7" x14ac:dyDescent="0.75">
      <c r="E1791" t="s">
        <v>77</v>
      </c>
      <c r="F1791">
        <v>2014</v>
      </c>
      <c r="G1791">
        <v>28.08989</v>
      </c>
    </row>
    <row r="1792" spans="5:7" x14ac:dyDescent="0.75">
      <c r="E1792" t="s">
        <v>77</v>
      </c>
      <c r="F1792">
        <v>2015</v>
      </c>
      <c r="G1792">
        <v>27.493261</v>
      </c>
    </row>
    <row r="1793" spans="5:7" x14ac:dyDescent="0.75">
      <c r="E1793" t="s">
        <v>77</v>
      </c>
      <c r="F1793">
        <v>2016</v>
      </c>
      <c r="G1793">
        <v>27.517887000000002</v>
      </c>
    </row>
    <row r="1794" spans="5:7" x14ac:dyDescent="0.75">
      <c r="E1794" t="s">
        <v>77</v>
      </c>
      <c r="F1794">
        <v>2017</v>
      </c>
      <c r="G1794">
        <v>27.267959999999999</v>
      </c>
    </row>
    <row r="1795" spans="5:7" x14ac:dyDescent="0.75">
      <c r="E1795" t="s">
        <v>77</v>
      </c>
      <c r="F1795">
        <v>2018</v>
      </c>
      <c r="G1795">
        <v>28.440832</v>
      </c>
    </row>
    <row r="1796" spans="5:7" x14ac:dyDescent="0.75">
      <c r="E1796" t="s">
        <v>77</v>
      </c>
      <c r="F1796">
        <v>2019</v>
      </c>
      <c r="G1796">
        <v>28.409089999999999</v>
      </c>
    </row>
    <row r="1797" spans="5:7" x14ac:dyDescent="0.75">
      <c r="E1797" t="s">
        <v>77</v>
      </c>
      <c r="F1797">
        <v>2020</v>
      </c>
      <c r="G1797">
        <v>28.057172999999999</v>
      </c>
    </row>
    <row r="1798" spans="5:7" x14ac:dyDescent="0.75">
      <c r="E1798" t="s">
        <v>77</v>
      </c>
      <c r="F1798">
        <v>2021</v>
      </c>
      <c r="G1798">
        <v>27.849409999999999</v>
      </c>
    </row>
    <row r="1799" spans="5:7" x14ac:dyDescent="0.75">
      <c r="E1799" t="s">
        <v>77</v>
      </c>
      <c r="F1799">
        <v>2022</v>
      </c>
      <c r="G1799">
        <v>27.679918000000001</v>
      </c>
    </row>
    <row r="1800" spans="5:7" x14ac:dyDescent="0.75">
      <c r="E1800" t="s">
        <v>77</v>
      </c>
      <c r="F1800">
        <v>2023</v>
      </c>
      <c r="G1800">
        <v>28.330019</v>
      </c>
    </row>
    <row r="1801" spans="5:7" x14ac:dyDescent="0.75">
      <c r="E1801" t="s">
        <v>78</v>
      </c>
      <c r="F1801">
        <v>2000</v>
      </c>
      <c r="G1801">
        <v>740.03740000000005</v>
      </c>
    </row>
    <row r="1802" spans="5:7" x14ac:dyDescent="0.75">
      <c r="E1802" t="s">
        <v>78</v>
      </c>
      <c r="F1802">
        <v>2001</v>
      </c>
      <c r="G1802">
        <v>747.39373999999998</v>
      </c>
    </row>
    <row r="1803" spans="5:7" x14ac:dyDescent="0.75">
      <c r="E1803" t="s">
        <v>78</v>
      </c>
      <c r="F1803">
        <v>2002</v>
      </c>
      <c r="G1803">
        <v>755.75744999999995</v>
      </c>
    </row>
    <row r="1804" spans="5:7" x14ac:dyDescent="0.75">
      <c r="E1804" t="s">
        <v>78</v>
      </c>
      <c r="F1804">
        <v>2003</v>
      </c>
      <c r="G1804">
        <v>757.99603000000002</v>
      </c>
    </row>
    <row r="1805" spans="5:7" x14ac:dyDescent="0.75">
      <c r="E1805" t="s">
        <v>78</v>
      </c>
      <c r="F1805">
        <v>2004</v>
      </c>
      <c r="G1805">
        <v>723.79425000000003</v>
      </c>
    </row>
    <row r="1806" spans="5:7" x14ac:dyDescent="0.75">
      <c r="E1806" t="s">
        <v>78</v>
      </c>
      <c r="F1806">
        <v>2005</v>
      </c>
      <c r="G1806">
        <v>734.0317</v>
      </c>
    </row>
    <row r="1807" spans="5:7" x14ac:dyDescent="0.75">
      <c r="E1807" t="s">
        <v>78</v>
      </c>
      <c r="F1807">
        <v>2006</v>
      </c>
      <c r="G1807">
        <v>723.02295000000004</v>
      </c>
    </row>
    <row r="1808" spans="5:7" x14ac:dyDescent="0.75">
      <c r="E1808" t="s">
        <v>78</v>
      </c>
      <c r="F1808">
        <v>2007</v>
      </c>
      <c r="G1808">
        <v>717.86850000000004</v>
      </c>
    </row>
    <row r="1809" spans="5:7" x14ac:dyDescent="0.75">
      <c r="E1809" t="s">
        <v>78</v>
      </c>
      <c r="F1809">
        <v>2008</v>
      </c>
      <c r="G1809">
        <v>733.07903999999996</v>
      </c>
    </row>
    <row r="1810" spans="5:7" x14ac:dyDescent="0.75">
      <c r="E1810" t="s">
        <v>78</v>
      </c>
      <c r="F1810">
        <v>2009</v>
      </c>
      <c r="G1810">
        <v>743.89279999999997</v>
      </c>
    </row>
    <row r="1811" spans="5:7" x14ac:dyDescent="0.75">
      <c r="E1811" t="s">
        <v>78</v>
      </c>
      <c r="F1811">
        <v>2010</v>
      </c>
      <c r="G1811">
        <v>738.81830000000002</v>
      </c>
    </row>
    <row r="1812" spans="5:7" x14ac:dyDescent="0.75">
      <c r="E1812" t="s">
        <v>78</v>
      </c>
      <c r="F1812">
        <v>2011</v>
      </c>
      <c r="G1812">
        <v>721.29596000000004</v>
      </c>
    </row>
    <row r="1813" spans="5:7" x14ac:dyDescent="0.75">
      <c r="E1813" t="s">
        <v>78</v>
      </c>
      <c r="F1813">
        <v>2012</v>
      </c>
      <c r="G1813">
        <v>741.20759999999996</v>
      </c>
    </row>
    <row r="1814" spans="5:7" x14ac:dyDescent="0.75">
      <c r="E1814" t="s">
        <v>78</v>
      </c>
      <c r="F1814">
        <v>2013</v>
      </c>
      <c r="G1814">
        <v>736.66394000000003</v>
      </c>
    </row>
    <row r="1815" spans="5:7" x14ac:dyDescent="0.75">
      <c r="E1815" t="s">
        <v>78</v>
      </c>
      <c r="F1815">
        <v>2014</v>
      </c>
      <c r="G1815">
        <v>741.50310000000002</v>
      </c>
    </row>
    <row r="1816" spans="5:7" x14ac:dyDescent="0.75">
      <c r="E1816" t="s">
        <v>78</v>
      </c>
      <c r="F1816">
        <v>2015</v>
      </c>
      <c r="G1816">
        <v>745.78326000000004</v>
      </c>
    </row>
    <row r="1817" spans="5:7" x14ac:dyDescent="0.75">
      <c r="E1817" t="s">
        <v>78</v>
      </c>
      <c r="F1817">
        <v>2016</v>
      </c>
      <c r="G1817">
        <v>749.14746000000002</v>
      </c>
    </row>
    <row r="1818" spans="5:7" x14ac:dyDescent="0.75">
      <c r="E1818" t="s">
        <v>78</v>
      </c>
      <c r="F1818">
        <v>2017</v>
      </c>
      <c r="G1818">
        <v>739.80005000000006</v>
      </c>
    </row>
    <row r="1819" spans="5:7" x14ac:dyDescent="0.75">
      <c r="E1819" t="s">
        <v>78</v>
      </c>
      <c r="F1819">
        <v>2018</v>
      </c>
      <c r="G1819">
        <v>735.12199999999996</v>
      </c>
    </row>
    <row r="1820" spans="5:7" x14ac:dyDescent="0.75">
      <c r="E1820" t="s">
        <v>78</v>
      </c>
      <c r="F1820">
        <v>2019</v>
      </c>
      <c r="G1820">
        <v>714.87580000000003</v>
      </c>
    </row>
    <row r="1821" spans="5:7" x14ac:dyDescent="0.75">
      <c r="E1821" t="s">
        <v>78</v>
      </c>
      <c r="F1821">
        <v>2020</v>
      </c>
      <c r="G1821">
        <v>702.42864999999995</v>
      </c>
    </row>
    <row r="1822" spans="5:7" x14ac:dyDescent="0.75">
      <c r="E1822" t="s">
        <v>78</v>
      </c>
      <c r="F1822">
        <v>2021</v>
      </c>
      <c r="G1822">
        <v>709.88080000000002</v>
      </c>
    </row>
    <row r="1823" spans="5:7" x14ac:dyDescent="0.75">
      <c r="E1823" t="s">
        <v>78</v>
      </c>
      <c r="F1823">
        <v>2022</v>
      </c>
      <c r="G1823">
        <v>702.8098</v>
      </c>
    </row>
    <row r="1824" spans="5:7" x14ac:dyDescent="0.75">
      <c r="E1824" t="s">
        <v>78</v>
      </c>
      <c r="F1824">
        <v>2023</v>
      </c>
      <c r="G1824">
        <v>713.0127</v>
      </c>
    </row>
    <row r="1825" spans="5:7" x14ac:dyDescent="0.75">
      <c r="E1825" t="s">
        <v>78</v>
      </c>
      <c r="F1825">
        <v>2024</v>
      </c>
      <c r="G1825">
        <v>708.32159999999999</v>
      </c>
    </row>
    <row r="1826" spans="5:7" x14ac:dyDescent="0.75">
      <c r="E1826" t="s">
        <v>79</v>
      </c>
      <c r="F1826">
        <v>2000</v>
      </c>
      <c r="G1826">
        <v>630.66094999999996</v>
      </c>
    </row>
    <row r="1827" spans="5:7" x14ac:dyDescent="0.75">
      <c r="E1827" t="s">
        <v>79</v>
      </c>
      <c r="F1827">
        <v>2001</v>
      </c>
      <c r="G1827">
        <v>626.03612999999996</v>
      </c>
    </row>
    <row r="1828" spans="5:7" x14ac:dyDescent="0.75">
      <c r="E1828" t="s">
        <v>79</v>
      </c>
      <c r="F1828">
        <v>2002</v>
      </c>
      <c r="G1828">
        <v>643.48900000000003</v>
      </c>
    </row>
    <row r="1829" spans="5:7" x14ac:dyDescent="0.75">
      <c r="E1829" t="s">
        <v>79</v>
      </c>
      <c r="F1829">
        <v>2003</v>
      </c>
      <c r="G1829">
        <v>656.52954</v>
      </c>
    </row>
    <row r="1830" spans="5:7" x14ac:dyDescent="0.75">
      <c r="E1830" t="s">
        <v>79</v>
      </c>
      <c r="F1830">
        <v>2004</v>
      </c>
      <c r="G1830">
        <v>653.71050000000002</v>
      </c>
    </row>
    <row r="1831" spans="5:7" x14ac:dyDescent="0.75">
      <c r="E1831" t="s">
        <v>79</v>
      </c>
      <c r="F1831">
        <v>2005</v>
      </c>
      <c r="G1831">
        <v>650.53800000000001</v>
      </c>
    </row>
    <row r="1832" spans="5:7" x14ac:dyDescent="0.75">
      <c r="E1832" t="s">
        <v>79</v>
      </c>
      <c r="F1832">
        <v>2006</v>
      </c>
      <c r="G1832">
        <v>668.11590000000001</v>
      </c>
    </row>
    <row r="1833" spans="5:7" x14ac:dyDescent="0.75">
      <c r="E1833" t="s">
        <v>79</v>
      </c>
      <c r="F1833">
        <v>2007</v>
      </c>
      <c r="G1833">
        <v>663.14020000000005</v>
      </c>
    </row>
    <row r="1834" spans="5:7" x14ac:dyDescent="0.75">
      <c r="E1834" t="s">
        <v>79</v>
      </c>
      <c r="F1834">
        <v>2008</v>
      </c>
      <c r="G1834">
        <v>652.98270000000002</v>
      </c>
    </row>
    <row r="1835" spans="5:7" x14ac:dyDescent="0.75">
      <c r="E1835" t="s">
        <v>79</v>
      </c>
      <c r="F1835">
        <v>2009</v>
      </c>
      <c r="G1835">
        <v>660.58820000000003</v>
      </c>
    </row>
    <row r="1836" spans="5:7" x14ac:dyDescent="0.75">
      <c r="E1836" t="s">
        <v>79</v>
      </c>
      <c r="F1836">
        <v>2010</v>
      </c>
      <c r="G1836">
        <v>636.85515999999996</v>
      </c>
    </row>
    <row r="1837" spans="5:7" x14ac:dyDescent="0.75">
      <c r="E1837" t="s">
        <v>79</v>
      </c>
      <c r="F1837">
        <v>2011</v>
      </c>
      <c r="G1837">
        <v>667.39624000000003</v>
      </c>
    </row>
    <row r="1838" spans="5:7" x14ac:dyDescent="0.75">
      <c r="E1838" t="s">
        <v>79</v>
      </c>
      <c r="F1838">
        <v>2012</v>
      </c>
      <c r="G1838">
        <v>687.5</v>
      </c>
    </row>
    <row r="1839" spans="5:7" x14ac:dyDescent="0.75">
      <c r="E1839" t="s">
        <v>79</v>
      </c>
      <c r="F1839">
        <v>2013</v>
      </c>
      <c r="G1839">
        <v>682.29864999999995</v>
      </c>
    </row>
    <row r="1840" spans="5:7" x14ac:dyDescent="0.75">
      <c r="E1840" t="s">
        <v>79</v>
      </c>
      <c r="F1840">
        <v>2014</v>
      </c>
      <c r="G1840">
        <v>691.58879999999999</v>
      </c>
    </row>
    <row r="1841" spans="5:7" x14ac:dyDescent="0.75">
      <c r="E1841" t="s">
        <v>79</v>
      </c>
      <c r="F1841">
        <v>2015</v>
      </c>
      <c r="G1841">
        <v>696.27589999999998</v>
      </c>
    </row>
    <row r="1842" spans="5:7" x14ac:dyDescent="0.75">
      <c r="E1842" t="s">
        <v>79</v>
      </c>
      <c r="F1842">
        <v>2016</v>
      </c>
      <c r="G1842">
        <v>689.03129999999999</v>
      </c>
    </row>
    <row r="1843" spans="5:7" x14ac:dyDescent="0.75">
      <c r="E1843" t="s">
        <v>79</v>
      </c>
      <c r="F1843">
        <v>2017</v>
      </c>
      <c r="G1843">
        <v>688.44749999999999</v>
      </c>
    </row>
    <row r="1844" spans="5:7" x14ac:dyDescent="0.75">
      <c r="E1844" t="s">
        <v>79</v>
      </c>
      <c r="F1844">
        <v>2018</v>
      </c>
      <c r="G1844">
        <v>684.06213000000002</v>
      </c>
    </row>
    <row r="1845" spans="5:7" x14ac:dyDescent="0.75">
      <c r="E1845" t="s">
        <v>79</v>
      </c>
      <c r="F1845">
        <v>2019</v>
      </c>
      <c r="G1845">
        <v>693.81259999999997</v>
      </c>
    </row>
    <row r="1846" spans="5:7" x14ac:dyDescent="0.75">
      <c r="E1846" t="s">
        <v>79</v>
      </c>
      <c r="F1846">
        <v>2020</v>
      </c>
      <c r="G1846">
        <v>685.04560000000004</v>
      </c>
    </row>
    <row r="1847" spans="5:7" x14ac:dyDescent="0.75">
      <c r="E1847" t="s">
        <v>79</v>
      </c>
      <c r="F1847">
        <v>2021</v>
      </c>
      <c r="G1847">
        <v>684.21906000000001</v>
      </c>
    </row>
    <row r="1848" spans="5:7" x14ac:dyDescent="0.75">
      <c r="E1848" t="s">
        <v>79</v>
      </c>
      <c r="F1848">
        <v>2022</v>
      </c>
      <c r="G1848">
        <v>675.93089999999995</v>
      </c>
    </row>
    <row r="1849" spans="5:7" x14ac:dyDescent="0.75">
      <c r="E1849" t="s">
        <v>79</v>
      </c>
      <c r="F1849">
        <v>2023</v>
      </c>
      <c r="G1849">
        <v>682.43010000000004</v>
      </c>
    </row>
    <row r="1850" spans="5:7" x14ac:dyDescent="0.75">
      <c r="E1850" t="s">
        <v>80</v>
      </c>
      <c r="F1850">
        <v>2000</v>
      </c>
      <c r="G1850">
        <v>667.44870000000003</v>
      </c>
    </row>
    <row r="1851" spans="5:7" x14ac:dyDescent="0.75">
      <c r="E1851" t="s">
        <v>80</v>
      </c>
      <c r="F1851">
        <v>2001</v>
      </c>
      <c r="G1851">
        <v>667.76390000000004</v>
      </c>
    </row>
    <row r="1852" spans="5:7" x14ac:dyDescent="0.75">
      <c r="E1852" t="s">
        <v>80</v>
      </c>
      <c r="F1852">
        <v>2002</v>
      </c>
      <c r="G1852">
        <v>651.81219999999996</v>
      </c>
    </row>
    <row r="1853" spans="5:7" x14ac:dyDescent="0.75">
      <c r="E1853" t="s">
        <v>80</v>
      </c>
      <c r="F1853">
        <v>2003</v>
      </c>
      <c r="G1853">
        <v>648.99440000000004</v>
      </c>
    </row>
    <row r="1854" spans="5:7" x14ac:dyDescent="0.75">
      <c r="E1854" t="s">
        <v>80</v>
      </c>
      <c r="F1854">
        <v>2004</v>
      </c>
      <c r="G1854">
        <v>641.55809999999997</v>
      </c>
    </row>
    <row r="1855" spans="5:7" x14ac:dyDescent="0.75">
      <c r="E1855" t="s">
        <v>80</v>
      </c>
      <c r="F1855">
        <v>2005</v>
      </c>
      <c r="G1855">
        <v>636.30200000000002</v>
      </c>
    </row>
    <row r="1856" spans="5:7" x14ac:dyDescent="0.75">
      <c r="E1856" t="s">
        <v>80</v>
      </c>
      <c r="F1856">
        <v>2006</v>
      </c>
      <c r="G1856">
        <v>624.72209999999995</v>
      </c>
    </row>
    <row r="1857" spans="5:7" x14ac:dyDescent="0.75">
      <c r="E1857" t="s">
        <v>80</v>
      </c>
      <c r="F1857">
        <v>2007</v>
      </c>
      <c r="G1857">
        <v>630.85864000000004</v>
      </c>
    </row>
    <row r="1858" spans="5:7" x14ac:dyDescent="0.75">
      <c r="E1858" t="s">
        <v>80</v>
      </c>
      <c r="F1858">
        <v>2008</v>
      </c>
      <c r="G1858">
        <v>662.35924999999997</v>
      </c>
    </row>
    <row r="1859" spans="5:7" x14ac:dyDescent="0.75">
      <c r="E1859" t="s">
        <v>80</v>
      </c>
      <c r="F1859">
        <v>2009</v>
      </c>
      <c r="G1859">
        <v>666.83199999999999</v>
      </c>
    </row>
    <row r="1860" spans="5:7" x14ac:dyDescent="0.75">
      <c r="E1860" t="s">
        <v>80</v>
      </c>
      <c r="F1860">
        <v>2010</v>
      </c>
      <c r="G1860">
        <v>661.23559999999998</v>
      </c>
    </row>
    <row r="1861" spans="5:7" x14ac:dyDescent="0.75">
      <c r="E1861" t="s">
        <v>80</v>
      </c>
      <c r="F1861">
        <v>2011</v>
      </c>
      <c r="G1861">
        <v>654.05999999999995</v>
      </c>
    </row>
    <row r="1862" spans="5:7" x14ac:dyDescent="0.75">
      <c r="E1862" t="s">
        <v>80</v>
      </c>
      <c r="F1862">
        <v>2012</v>
      </c>
      <c r="G1862">
        <v>648.34766000000002</v>
      </c>
    </row>
    <row r="1863" spans="5:7" x14ac:dyDescent="0.75">
      <c r="E1863" t="s">
        <v>80</v>
      </c>
      <c r="F1863">
        <v>2013</v>
      </c>
      <c r="G1863">
        <v>633.62440000000004</v>
      </c>
    </row>
    <row r="1864" spans="5:7" x14ac:dyDescent="0.75">
      <c r="E1864" t="s">
        <v>80</v>
      </c>
      <c r="F1864">
        <v>2014</v>
      </c>
      <c r="G1864">
        <v>644.16063999999994</v>
      </c>
    </row>
    <row r="1865" spans="5:7" x14ac:dyDescent="0.75">
      <c r="E1865" t="s">
        <v>80</v>
      </c>
      <c r="F1865">
        <v>2015</v>
      </c>
      <c r="G1865">
        <v>650.83500000000004</v>
      </c>
    </row>
    <row r="1866" spans="5:7" x14ac:dyDescent="0.75">
      <c r="E1866" t="s">
        <v>80</v>
      </c>
      <c r="F1866">
        <v>2016</v>
      </c>
      <c r="G1866">
        <v>642.13319999999999</v>
      </c>
    </row>
    <row r="1867" spans="5:7" x14ac:dyDescent="0.75">
      <c r="E1867" t="s">
        <v>80</v>
      </c>
      <c r="F1867">
        <v>2017</v>
      </c>
      <c r="G1867">
        <v>641.67510000000004</v>
      </c>
    </row>
    <row r="1868" spans="5:7" x14ac:dyDescent="0.75">
      <c r="E1868" t="s">
        <v>80</v>
      </c>
      <c r="F1868">
        <v>2018</v>
      </c>
      <c r="G1868">
        <v>657.88379999999995</v>
      </c>
    </row>
    <row r="1869" spans="5:7" x14ac:dyDescent="0.75">
      <c r="E1869" t="s">
        <v>80</v>
      </c>
      <c r="F1869">
        <v>2019</v>
      </c>
      <c r="G1869">
        <v>607.81489999999997</v>
      </c>
    </row>
    <row r="1870" spans="5:7" x14ac:dyDescent="0.75">
      <c r="E1870" t="s">
        <v>80</v>
      </c>
      <c r="F1870">
        <v>2020</v>
      </c>
      <c r="G1870">
        <v>632.81039999999996</v>
      </c>
    </row>
    <row r="1871" spans="5:7" x14ac:dyDescent="0.75">
      <c r="E1871" t="s">
        <v>80</v>
      </c>
      <c r="F1871">
        <v>2021</v>
      </c>
      <c r="G1871">
        <v>659.97029999999995</v>
      </c>
    </row>
    <row r="1872" spans="5:7" x14ac:dyDescent="0.75">
      <c r="E1872" t="s">
        <v>80</v>
      </c>
      <c r="F1872">
        <v>2022</v>
      </c>
      <c r="G1872">
        <v>655.17052999999999</v>
      </c>
    </row>
    <row r="1873" spans="5:7" x14ac:dyDescent="0.75">
      <c r="E1873" t="s">
        <v>80</v>
      </c>
      <c r="F1873">
        <v>2023</v>
      </c>
      <c r="G1873">
        <v>641.73220000000003</v>
      </c>
    </row>
    <row r="1874" spans="5:7" x14ac:dyDescent="0.75">
      <c r="E1874" t="s">
        <v>80</v>
      </c>
      <c r="F1874">
        <v>2024</v>
      </c>
      <c r="G1874">
        <v>641.93615999999997</v>
      </c>
    </row>
    <row r="1875" spans="5:7" x14ac:dyDescent="0.75">
      <c r="E1875" t="s">
        <v>81</v>
      </c>
      <c r="F1875">
        <v>2000</v>
      </c>
      <c r="G1875">
        <v>658.30719999999997</v>
      </c>
    </row>
    <row r="1876" spans="5:7" x14ac:dyDescent="0.75">
      <c r="E1876" t="s">
        <v>81</v>
      </c>
      <c r="F1876">
        <v>2001</v>
      </c>
      <c r="G1876">
        <v>656.43409999999994</v>
      </c>
    </row>
    <row r="1877" spans="5:7" x14ac:dyDescent="0.75">
      <c r="E1877" t="s">
        <v>81</v>
      </c>
      <c r="F1877">
        <v>2002</v>
      </c>
      <c r="G1877">
        <v>657.11755000000005</v>
      </c>
    </row>
    <row r="1878" spans="5:7" x14ac:dyDescent="0.75">
      <c r="E1878" t="s">
        <v>81</v>
      </c>
      <c r="F1878">
        <v>2003</v>
      </c>
      <c r="G1878">
        <v>655.48889999999994</v>
      </c>
    </row>
    <row r="1879" spans="5:7" x14ac:dyDescent="0.75">
      <c r="E1879" t="s">
        <v>81</v>
      </c>
      <c r="F1879">
        <v>2004</v>
      </c>
      <c r="G1879">
        <v>652.21429999999998</v>
      </c>
    </row>
    <row r="1880" spans="5:7" x14ac:dyDescent="0.75">
      <c r="E1880" t="s">
        <v>81</v>
      </c>
      <c r="F1880">
        <v>2005</v>
      </c>
      <c r="G1880">
        <v>554.93426999999997</v>
      </c>
    </row>
    <row r="1881" spans="5:7" x14ac:dyDescent="0.75">
      <c r="E1881" t="s">
        <v>81</v>
      </c>
      <c r="F1881">
        <v>2006</v>
      </c>
      <c r="G1881">
        <v>571.68190000000004</v>
      </c>
    </row>
    <row r="1882" spans="5:7" x14ac:dyDescent="0.75">
      <c r="E1882" t="s">
        <v>81</v>
      </c>
      <c r="F1882">
        <v>2007</v>
      </c>
      <c r="G1882">
        <v>574.60889999999995</v>
      </c>
    </row>
    <row r="1883" spans="5:7" x14ac:dyDescent="0.75">
      <c r="E1883" t="s">
        <v>81</v>
      </c>
      <c r="F1883">
        <v>2008</v>
      </c>
      <c r="G1883">
        <v>631.23644999999999</v>
      </c>
    </row>
    <row r="1884" spans="5:7" x14ac:dyDescent="0.75">
      <c r="E1884" t="s">
        <v>81</v>
      </c>
      <c r="F1884">
        <v>2009</v>
      </c>
      <c r="G1884">
        <v>635.93133999999998</v>
      </c>
    </row>
    <row r="1885" spans="5:7" x14ac:dyDescent="0.75">
      <c r="E1885" t="s">
        <v>81</v>
      </c>
      <c r="F1885">
        <v>2010</v>
      </c>
      <c r="G1885">
        <v>616.64279999999997</v>
      </c>
    </row>
    <row r="1886" spans="5:7" x14ac:dyDescent="0.75">
      <c r="E1886" t="s">
        <v>81</v>
      </c>
      <c r="F1886">
        <v>2011</v>
      </c>
      <c r="G1886">
        <v>640.25969999999995</v>
      </c>
    </row>
    <row r="1887" spans="5:7" x14ac:dyDescent="0.75">
      <c r="E1887" t="s">
        <v>81</v>
      </c>
      <c r="F1887">
        <v>2012</v>
      </c>
      <c r="G1887">
        <v>612.34247000000005</v>
      </c>
    </row>
    <row r="1888" spans="5:7" x14ac:dyDescent="0.75">
      <c r="E1888" t="s">
        <v>81</v>
      </c>
      <c r="F1888">
        <v>2013</v>
      </c>
      <c r="G1888">
        <v>620.20370000000003</v>
      </c>
    </row>
    <row r="1889" spans="5:7" x14ac:dyDescent="0.75">
      <c r="E1889" t="s">
        <v>81</v>
      </c>
      <c r="F1889">
        <v>2014</v>
      </c>
      <c r="G1889">
        <v>645.22675000000004</v>
      </c>
    </row>
    <row r="1890" spans="5:7" x14ac:dyDescent="0.75">
      <c r="E1890" t="s">
        <v>81</v>
      </c>
      <c r="F1890">
        <v>2015</v>
      </c>
      <c r="G1890">
        <v>654.44506999999999</v>
      </c>
    </row>
    <row r="1891" spans="5:7" x14ac:dyDescent="0.75">
      <c r="E1891" t="s">
        <v>81</v>
      </c>
      <c r="F1891">
        <v>2016</v>
      </c>
      <c r="G1891">
        <v>648.48040000000003</v>
      </c>
    </row>
    <row r="1892" spans="5:7" x14ac:dyDescent="0.75">
      <c r="E1892" t="s">
        <v>81</v>
      </c>
      <c r="F1892">
        <v>2017</v>
      </c>
      <c r="G1892">
        <v>666.80913999999996</v>
      </c>
    </row>
    <row r="1893" spans="5:7" x14ac:dyDescent="0.75">
      <c r="E1893" t="s">
        <v>81</v>
      </c>
      <c r="F1893">
        <v>2018</v>
      </c>
      <c r="G1893">
        <v>682.04449999999997</v>
      </c>
    </row>
    <row r="1894" spans="5:7" x14ac:dyDescent="0.75">
      <c r="E1894" t="s">
        <v>81</v>
      </c>
      <c r="F1894">
        <v>2019</v>
      </c>
      <c r="G1894">
        <v>668.86554000000001</v>
      </c>
    </row>
    <row r="1895" spans="5:7" x14ac:dyDescent="0.75">
      <c r="E1895" t="s">
        <v>81</v>
      </c>
      <c r="F1895">
        <v>2020</v>
      </c>
      <c r="G1895">
        <v>674.18029999999999</v>
      </c>
    </row>
    <row r="1896" spans="5:7" x14ac:dyDescent="0.75">
      <c r="E1896" t="s">
        <v>81</v>
      </c>
      <c r="F1896">
        <v>2021</v>
      </c>
      <c r="G1896">
        <v>677.73535000000004</v>
      </c>
    </row>
    <row r="1897" spans="5:7" x14ac:dyDescent="0.75">
      <c r="E1897" t="s">
        <v>81</v>
      </c>
      <c r="F1897">
        <v>2022</v>
      </c>
      <c r="G1897">
        <v>688.70465000000002</v>
      </c>
    </row>
    <row r="1898" spans="5:7" x14ac:dyDescent="0.75">
      <c r="E1898" t="s">
        <v>81</v>
      </c>
      <c r="F1898">
        <v>2023</v>
      </c>
      <c r="G1898">
        <v>689.40049999999997</v>
      </c>
    </row>
    <row r="1899" spans="5:7" x14ac:dyDescent="0.75">
      <c r="E1899" t="s">
        <v>82</v>
      </c>
      <c r="F1899">
        <v>2000</v>
      </c>
      <c r="G1899">
        <v>632.93820000000005</v>
      </c>
    </row>
    <row r="1900" spans="5:7" x14ac:dyDescent="0.75">
      <c r="E1900" t="s">
        <v>82</v>
      </c>
      <c r="F1900">
        <v>2001</v>
      </c>
      <c r="G1900">
        <v>641.57854999999995</v>
      </c>
    </row>
    <row r="1901" spans="5:7" x14ac:dyDescent="0.75">
      <c r="E1901" t="s">
        <v>82</v>
      </c>
      <c r="F1901">
        <v>2002</v>
      </c>
      <c r="G1901">
        <v>615.72580000000005</v>
      </c>
    </row>
    <row r="1902" spans="5:7" x14ac:dyDescent="0.75">
      <c r="E1902" t="s">
        <v>82</v>
      </c>
      <c r="F1902">
        <v>2003</v>
      </c>
      <c r="G1902">
        <v>595.89044000000001</v>
      </c>
    </row>
    <row r="1903" spans="5:7" x14ac:dyDescent="0.75">
      <c r="E1903" t="s">
        <v>82</v>
      </c>
      <c r="F1903">
        <v>2004</v>
      </c>
      <c r="G1903">
        <v>591.73943999999995</v>
      </c>
    </row>
    <row r="1904" spans="5:7" x14ac:dyDescent="0.75">
      <c r="E1904" t="s">
        <v>82</v>
      </c>
      <c r="F1904">
        <v>2005</v>
      </c>
      <c r="G1904">
        <v>593.43240000000003</v>
      </c>
    </row>
    <row r="1905" spans="5:7" x14ac:dyDescent="0.75">
      <c r="E1905" t="s">
        <v>82</v>
      </c>
      <c r="F1905">
        <v>2006</v>
      </c>
      <c r="G1905">
        <v>560.02954</v>
      </c>
    </row>
    <row r="1906" spans="5:7" x14ac:dyDescent="0.75">
      <c r="E1906" t="s">
        <v>82</v>
      </c>
      <c r="F1906">
        <v>2007</v>
      </c>
      <c r="G1906">
        <v>536.1807</v>
      </c>
    </row>
    <row r="1907" spans="5:7" x14ac:dyDescent="0.75">
      <c r="E1907" t="s">
        <v>82</v>
      </c>
      <c r="F1907">
        <v>2008</v>
      </c>
      <c r="G1907">
        <v>517.56439999999998</v>
      </c>
    </row>
    <row r="1908" spans="5:7" x14ac:dyDescent="0.75">
      <c r="E1908" t="s">
        <v>82</v>
      </c>
      <c r="F1908">
        <v>2009</v>
      </c>
      <c r="G1908">
        <v>487.47314</v>
      </c>
    </row>
    <row r="1909" spans="5:7" x14ac:dyDescent="0.75">
      <c r="E1909" t="s">
        <v>82</v>
      </c>
      <c r="F1909">
        <v>2010</v>
      </c>
      <c r="G1909">
        <v>479.18889999999999</v>
      </c>
    </row>
    <row r="1910" spans="5:7" x14ac:dyDescent="0.75">
      <c r="E1910" t="s">
        <v>82</v>
      </c>
      <c r="F1910">
        <v>2011</v>
      </c>
      <c r="G1910">
        <v>457.05860000000001</v>
      </c>
    </row>
    <row r="1911" spans="5:7" x14ac:dyDescent="0.75">
      <c r="E1911" t="s">
        <v>82</v>
      </c>
      <c r="F1911">
        <v>2012</v>
      </c>
      <c r="G1911">
        <v>484.31155000000001</v>
      </c>
    </row>
    <row r="1912" spans="5:7" x14ac:dyDescent="0.75">
      <c r="E1912" t="s">
        <v>82</v>
      </c>
      <c r="F1912">
        <v>2013</v>
      </c>
      <c r="G1912">
        <v>464.36959999999999</v>
      </c>
    </row>
    <row r="1913" spans="5:7" x14ac:dyDescent="0.75">
      <c r="E1913" t="s">
        <v>82</v>
      </c>
      <c r="F1913">
        <v>2014</v>
      </c>
      <c r="G1913">
        <v>447.63382000000001</v>
      </c>
    </row>
    <row r="1914" spans="5:7" x14ac:dyDescent="0.75">
      <c r="E1914" t="s">
        <v>82</v>
      </c>
      <c r="F1914">
        <v>2015</v>
      </c>
      <c r="G1914">
        <v>441.51211999999998</v>
      </c>
    </row>
    <row r="1915" spans="5:7" x14ac:dyDescent="0.75">
      <c r="E1915" t="s">
        <v>82</v>
      </c>
      <c r="F1915">
        <v>2016</v>
      </c>
      <c r="G1915">
        <v>444.37085000000002</v>
      </c>
    </row>
    <row r="1916" spans="5:7" x14ac:dyDescent="0.75">
      <c r="E1916" t="s">
        <v>82</v>
      </c>
      <c r="F1916">
        <v>2017</v>
      </c>
      <c r="G1916">
        <v>405.74036000000001</v>
      </c>
    </row>
    <row r="1917" spans="5:7" x14ac:dyDescent="0.75">
      <c r="E1917" t="s">
        <v>82</v>
      </c>
      <c r="F1917">
        <v>2018</v>
      </c>
      <c r="G1917">
        <v>364.07767000000001</v>
      </c>
    </row>
    <row r="1918" spans="5:7" x14ac:dyDescent="0.75">
      <c r="E1918" t="s">
        <v>82</v>
      </c>
      <c r="F1918">
        <v>2019</v>
      </c>
      <c r="G1918">
        <v>313.25301999999999</v>
      </c>
    </row>
    <row r="1919" spans="5:7" x14ac:dyDescent="0.75">
      <c r="E1919" t="s">
        <v>82</v>
      </c>
      <c r="F1919">
        <v>2020</v>
      </c>
      <c r="G1919">
        <v>292.77447999999998</v>
      </c>
    </row>
    <row r="1920" spans="5:7" x14ac:dyDescent="0.75">
      <c r="E1920" t="s">
        <v>82</v>
      </c>
      <c r="F1920">
        <v>2021</v>
      </c>
      <c r="G1920">
        <v>353.70490000000001</v>
      </c>
    </row>
    <row r="1921" spans="5:7" x14ac:dyDescent="0.75">
      <c r="E1921" t="s">
        <v>82</v>
      </c>
      <c r="F1921">
        <v>2022</v>
      </c>
      <c r="G1921">
        <v>332.9366</v>
      </c>
    </row>
    <row r="1922" spans="5:7" x14ac:dyDescent="0.75">
      <c r="E1922" t="s">
        <v>82</v>
      </c>
      <c r="F1922">
        <v>2023</v>
      </c>
      <c r="G1922">
        <v>283.80099999999999</v>
      </c>
    </row>
    <row r="1923" spans="5:7" x14ac:dyDescent="0.75">
      <c r="E1923" t="s">
        <v>82</v>
      </c>
      <c r="F1923">
        <v>2024</v>
      </c>
      <c r="G1923">
        <v>279.70218</v>
      </c>
    </row>
    <row r="1924" spans="5:7" x14ac:dyDescent="0.75">
      <c r="E1924" t="s">
        <v>83</v>
      </c>
      <c r="F1924">
        <v>2000</v>
      </c>
      <c r="G1924">
        <v>794.42100000000005</v>
      </c>
    </row>
    <row r="1925" spans="5:7" x14ac:dyDescent="0.75">
      <c r="E1925" t="s">
        <v>83</v>
      </c>
      <c r="F1925">
        <v>2001</v>
      </c>
      <c r="G1925">
        <v>807.50854000000004</v>
      </c>
    </row>
    <row r="1926" spans="5:7" x14ac:dyDescent="0.75">
      <c r="E1926" t="s">
        <v>83</v>
      </c>
      <c r="F1926">
        <v>2002</v>
      </c>
      <c r="G1926">
        <v>811.64840000000004</v>
      </c>
    </row>
    <row r="1927" spans="5:7" x14ac:dyDescent="0.75">
      <c r="E1927" t="s">
        <v>83</v>
      </c>
      <c r="F1927">
        <v>2003</v>
      </c>
      <c r="G1927">
        <v>810.79930000000002</v>
      </c>
    </row>
    <row r="1928" spans="5:7" x14ac:dyDescent="0.75">
      <c r="E1928" t="s">
        <v>83</v>
      </c>
      <c r="F1928">
        <v>2004</v>
      </c>
      <c r="G1928">
        <v>803.72253000000001</v>
      </c>
    </row>
    <row r="1929" spans="5:7" x14ac:dyDescent="0.75">
      <c r="E1929" t="s">
        <v>83</v>
      </c>
      <c r="F1929">
        <v>2005</v>
      </c>
      <c r="G1929">
        <v>796.13250000000005</v>
      </c>
    </row>
    <row r="1930" spans="5:7" x14ac:dyDescent="0.75">
      <c r="E1930" t="s">
        <v>83</v>
      </c>
      <c r="F1930">
        <v>2006</v>
      </c>
      <c r="G1930">
        <v>783.42560000000003</v>
      </c>
    </row>
    <row r="1931" spans="5:7" x14ac:dyDescent="0.75">
      <c r="E1931" t="s">
        <v>83</v>
      </c>
      <c r="F1931">
        <v>2007</v>
      </c>
      <c r="G1931">
        <v>779.32696999999996</v>
      </c>
    </row>
    <row r="1932" spans="5:7" x14ac:dyDescent="0.75">
      <c r="E1932" t="s">
        <v>83</v>
      </c>
      <c r="F1932">
        <v>2008</v>
      </c>
      <c r="G1932">
        <v>758.40814</v>
      </c>
    </row>
    <row r="1933" spans="5:7" x14ac:dyDescent="0.75">
      <c r="E1933" t="s">
        <v>83</v>
      </c>
      <c r="F1933">
        <v>2009</v>
      </c>
      <c r="G1933">
        <v>753.8827</v>
      </c>
    </row>
    <row r="1934" spans="5:7" x14ac:dyDescent="0.75">
      <c r="E1934" t="s">
        <v>83</v>
      </c>
      <c r="F1934">
        <v>2010</v>
      </c>
      <c r="G1934">
        <v>740.73443999999995</v>
      </c>
    </row>
    <row r="1935" spans="5:7" x14ac:dyDescent="0.75">
      <c r="E1935" t="s">
        <v>83</v>
      </c>
      <c r="F1935">
        <v>2011</v>
      </c>
      <c r="G1935">
        <v>744.46310000000005</v>
      </c>
    </row>
    <row r="1936" spans="5:7" x14ac:dyDescent="0.75">
      <c r="E1936" t="s">
        <v>83</v>
      </c>
      <c r="F1936">
        <v>2012</v>
      </c>
      <c r="G1936">
        <v>761.78390000000002</v>
      </c>
    </row>
    <row r="1937" spans="5:7" x14ac:dyDescent="0.75">
      <c r="E1937" t="s">
        <v>83</v>
      </c>
      <c r="F1937">
        <v>2013</v>
      </c>
      <c r="G1937">
        <v>719.83040000000005</v>
      </c>
    </row>
    <row r="1938" spans="5:7" x14ac:dyDescent="0.75">
      <c r="E1938" t="s">
        <v>83</v>
      </c>
      <c r="F1938">
        <v>2014</v>
      </c>
      <c r="G1938">
        <v>705.38940000000002</v>
      </c>
    </row>
    <row r="1939" spans="5:7" x14ac:dyDescent="0.75">
      <c r="E1939" t="s">
        <v>83</v>
      </c>
      <c r="F1939">
        <v>2015</v>
      </c>
      <c r="G1939">
        <v>692.66700000000003</v>
      </c>
    </row>
    <row r="1940" spans="5:7" x14ac:dyDescent="0.75">
      <c r="E1940" t="s">
        <v>83</v>
      </c>
      <c r="F1940">
        <v>2016</v>
      </c>
      <c r="G1940">
        <v>662.13995</v>
      </c>
    </row>
    <row r="1941" spans="5:7" x14ac:dyDescent="0.75">
      <c r="E1941" t="s">
        <v>83</v>
      </c>
      <c r="F1941">
        <v>2017</v>
      </c>
      <c r="G1941">
        <v>653.17316000000005</v>
      </c>
    </row>
    <row r="1942" spans="5:7" x14ac:dyDescent="0.75">
      <c r="E1942" t="s">
        <v>83</v>
      </c>
      <c r="F1942">
        <v>2018</v>
      </c>
      <c r="G1942">
        <v>643.58159999999998</v>
      </c>
    </row>
    <row r="1943" spans="5:7" x14ac:dyDescent="0.75">
      <c r="E1943" t="s">
        <v>83</v>
      </c>
      <c r="F1943">
        <v>2019</v>
      </c>
      <c r="G1943">
        <v>638.96605999999997</v>
      </c>
    </row>
    <row r="1944" spans="5:7" x14ac:dyDescent="0.75">
      <c r="E1944" t="s">
        <v>83</v>
      </c>
      <c r="F1944">
        <v>2020</v>
      </c>
      <c r="G1944">
        <v>619.81055000000003</v>
      </c>
    </row>
    <row r="1945" spans="5:7" x14ac:dyDescent="0.75">
      <c r="E1945" t="s">
        <v>83</v>
      </c>
      <c r="F1945">
        <v>2021</v>
      </c>
      <c r="G1945">
        <v>603.69104000000004</v>
      </c>
    </row>
    <row r="1946" spans="5:7" x14ac:dyDescent="0.75">
      <c r="E1946" t="s">
        <v>83</v>
      </c>
      <c r="F1946">
        <v>2022</v>
      </c>
      <c r="G1946">
        <v>595.85913000000005</v>
      </c>
    </row>
    <row r="1947" spans="5:7" x14ac:dyDescent="0.75">
      <c r="E1947" t="s">
        <v>83</v>
      </c>
      <c r="F1947">
        <v>2023</v>
      </c>
      <c r="G1947">
        <v>567.26244999999994</v>
      </c>
    </row>
    <row r="1948" spans="5:7" x14ac:dyDescent="0.75">
      <c r="E1948" t="s">
        <v>84</v>
      </c>
      <c r="F1948">
        <v>2000</v>
      </c>
      <c r="G1948">
        <v>501.66701999999998</v>
      </c>
    </row>
    <row r="1949" spans="5:7" x14ac:dyDescent="0.75">
      <c r="E1949" t="s">
        <v>84</v>
      </c>
      <c r="F1949">
        <v>2001</v>
      </c>
      <c r="G1949">
        <v>498.67599999999999</v>
      </c>
    </row>
    <row r="1950" spans="5:7" x14ac:dyDescent="0.75">
      <c r="E1950" t="s">
        <v>84</v>
      </c>
      <c r="F1950">
        <v>2002</v>
      </c>
      <c r="G1950">
        <v>523.07854999999995</v>
      </c>
    </row>
    <row r="1951" spans="5:7" x14ac:dyDescent="0.75">
      <c r="E1951" t="s">
        <v>84</v>
      </c>
      <c r="F1951">
        <v>2003</v>
      </c>
      <c r="G1951">
        <v>523.24725000000001</v>
      </c>
    </row>
    <row r="1952" spans="5:7" x14ac:dyDescent="0.75">
      <c r="E1952" t="s">
        <v>84</v>
      </c>
      <c r="F1952">
        <v>2004</v>
      </c>
      <c r="G1952">
        <v>510.98021999999997</v>
      </c>
    </row>
    <row r="1953" spans="5:7" x14ac:dyDescent="0.75">
      <c r="E1953" t="s">
        <v>84</v>
      </c>
      <c r="F1953">
        <v>2005</v>
      </c>
      <c r="G1953">
        <v>510.16528</v>
      </c>
    </row>
    <row r="1954" spans="5:7" x14ac:dyDescent="0.75">
      <c r="E1954" t="s">
        <v>84</v>
      </c>
      <c r="F1954">
        <v>2006</v>
      </c>
      <c r="G1954">
        <v>506.75700000000001</v>
      </c>
    </row>
    <row r="1955" spans="5:7" x14ac:dyDescent="0.75">
      <c r="E1955" t="s">
        <v>84</v>
      </c>
      <c r="F1955">
        <v>2007</v>
      </c>
      <c r="G1955">
        <v>504.75223</v>
      </c>
    </row>
    <row r="1956" spans="5:7" x14ac:dyDescent="0.75">
      <c r="E1956" t="s">
        <v>84</v>
      </c>
      <c r="F1956">
        <v>2008</v>
      </c>
      <c r="G1956">
        <v>485.50887999999998</v>
      </c>
    </row>
    <row r="1957" spans="5:7" x14ac:dyDescent="0.75">
      <c r="E1957" t="s">
        <v>84</v>
      </c>
      <c r="F1957">
        <v>2009</v>
      </c>
      <c r="G1957">
        <v>458.58364999999998</v>
      </c>
    </row>
    <row r="1958" spans="5:7" x14ac:dyDescent="0.75">
      <c r="E1958" t="s">
        <v>84</v>
      </c>
      <c r="F1958">
        <v>2010</v>
      </c>
      <c r="G1958">
        <v>446.41469999999998</v>
      </c>
    </row>
    <row r="1959" spans="5:7" x14ac:dyDescent="0.75">
      <c r="E1959" t="s">
        <v>84</v>
      </c>
      <c r="F1959">
        <v>2011</v>
      </c>
      <c r="G1959">
        <v>445.52062999999998</v>
      </c>
    </row>
    <row r="1960" spans="5:7" x14ac:dyDescent="0.75">
      <c r="E1960" t="s">
        <v>84</v>
      </c>
      <c r="F1960">
        <v>2012</v>
      </c>
      <c r="G1960">
        <v>438.10333000000003</v>
      </c>
    </row>
    <row r="1961" spans="5:7" x14ac:dyDescent="0.75">
      <c r="E1961" t="s">
        <v>84</v>
      </c>
      <c r="F1961">
        <v>2013</v>
      </c>
      <c r="G1961">
        <v>398.85324000000003</v>
      </c>
    </row>
    <row r="1962" spans="5:7" x14ac:dyDescent="0.75">
      <c r="E1962" t="s">
        <v>84</v>
      </c>
      <c r="F1962">
        <v>2014</v>
      </c>
      <c r="G1962">
        <v>379.23552999999998</v>
      </c>
    </row>
    <row r="1963" spans="5:7" x14ac:dyDescent="0.75">
      <c r="E1963" t="s">
        <v>84</v>
      </c>
      <c r="F1963">
        <v>2015</v>
      </c>
      <c r="G1963">
        <v>398.60561999999999</v>
      </c>
    </row>
    <row r="1964" spans="5:7" x14ac:dyDescent="0.75">
      <c r="E1964" t="s">
        <v>84</v>
      </c>
      <c r="F1964">
        <v>2016</v>
      </c>
      <c r="G1964">
        <v>389.50864000000001</v>
      </c>
    </row>
    <row r="1965" spans="5:7" x14ac:dyDescent="0.75">
      <c r="E1965" t="s">
        <v>84</v>
      </c>
      <c r="F1965">
        <v>2017</v>
      </c>
      <c r="G1965">
        <v>392.75567999999998</v>
      </c>
    </row>
    <row r="1966" spans="5:7" x14ac:dyDescent="0.75">
      <c r="E1966" t="s">
        <v>84</v>
      </c>
      <c r="F1966">
        <v>2018</v>
      </c>
      <c r="G1966">
        <v>366.81115999999997</v>
      </c>
    </row>
    <row r="1967" spans="5:7" x14ac:dyDescent="0.75">
      <c r="E1967" t="s">
        <v>84</v>
      </c>
      <c r="F1967">
        <v>2019</v>
      </c>
      <c r="G1967">
        <v>351.28800000000001</v>
      </c>
    </row>
    <row r="1968" spans="5:7" x14ac:dyDescent="0.75">
      <c r="E1968" t="s">
        <v>84</v>
      </c>
      <c r="F1968">
        <v>2020</v>
      </c>
      <c r="G1968">
        <v>334.27260000000001</v>
      </c>
    </row>
    <row r="1969" spans="5:7" x14ac:dyDescent="0.75">
      <c r="E1969" t="s">
        <v>84</v>
      </c>
      <c r="F1969">
        <v>2021</v>
      </c>
      <c r="G1969">
        <v>339.27634</v>
      </c>
    </row>
    <row r="1970" spans="5:7" x14ac:dyDescent="0.75">
      <c r="E1970" t="s">
        <v>84</v>
      </c>
      <c r="F1970">
        <v>2022</v>
      </c>
      <c r="G1970">
        <v>378.16323999999997</v>
      </c>
    </row>
    <row r="1971" spans="5:7" x14ac:dyDescent="0.75">
      <c r="E1971" t="s">
        <v>84</v>
      </c>
      <c r="F1971">
        <v>2023</v>
      </c>
      <c r="G1971">
        <v>323.44850000000002</v>
      </c>
    </row>
    <row r="1972" spans="5:7" x14ac:dyDescent="0.75">
      <c r="E1972" t="s">
        <v>84</v>
      </c>
      <c r="F1972">
        <v>2024</v>
      </c>
      <c r="G1972">
        <v>287.5335</v>
      </c>
    </row>
    <row r="1973" spans="5:7" x14ac:dyDescent="0.75">
      <c r="E1973" t="s">
        <v>85</v>
      </c>
      <c r="F1973">
        <v>2000</v>
      </c>
      <c r="G1973">
        <v>633.678</v>
      </c>
    </row>
    <row r="1974" spans="5:7" x14ac:dyDescent="0.75">
      <c r="E1974" t="s">
        <v>85</v>
      </c>
      <c r="F1974">
        <v>2001</v>
      </c>
      <c r="G1974">
        <v>642.12080000000003</v>
      </c>
    </row>
    <row r="1975" spans="5:7" x14ac:dyDescent="0.75">
      <c r="E1975" t="s">
        <v>85</v>
      </c>
      <c r="F1975">
        <v>2002</v>
      </c>
      <c r="G1975">
        <v>645.11490000000003</v>
      </c>
    </row>
    <row r="1976" spans="5:7" x14ac:dyDescent="0.75">
      <c r="E1976" t="s">
        <v>85</v>
      </c>
      <c r="F1976">
        <v>2003</v>
      </c>
      <c r="G1976">
        <v>643.45403999999996</v>
      </c>
    </row>
    <row r="1977" spans="5:7" x14ac:dyDescent="0.75">
      <c r="E1977" t="s">
        <v>85</v>
      </c>
      <c r="F1977">
        <v>2004</v>
      </c>
      <c r="G1977">
        <v>640</v>
      </c>
    </row>
    <row r="1978" spans="5:7" x14ac:dyDescent="0.75">
      <c r="E1978" t="s">
        <v>85</v>
      </c>
      <c r="F1978">
        <v>2005</v>
      </c>
      <c r="G1978">
        <v>637.21559999999999</v>
      </c>
    </row>
    <row r="1979" spans="5:7" x14ac:dyDescent="0.75">
      <c r="E1979" t="s">
        <v>85</v>
      </c>
      <c r="F1979">
        <v>2006</v>
      </c>
      <c r="G1979">
        <v>636</v>
      </c>
    </row>
    <row r="1980" spans="5:7" x14ac:dyDescent="0.75">
      <c r="E1980" t="s">
        <v>85</v>
      </c>
      <c r="F1980">
        <v>2007</v>
      </c>
      <c r="G1980">
        <v>628.71289999999999</v>
      </c>
    </row>
    <row r="1981" spans="5:7" x14ac:dyDescent="0.75">
      <c r="E1981" t="s">
        <v>85</v>
      </c>
      <c r="F1981">
        <v>2008</v>
      </c>
      <c r="G1981">
        <v>619.38530000000003</v>
      </c>
    </row>
    <row r="1982" spans="5:7" x14ac:dyDescent="0.75">
      <c r="E1982" t="s">
        <v>85</v>
      </c>
      <c r="F1982">
        <v>2009</v>
      </c>
      <c r="G1982">
        <v>615.90905999999995</v>
      </c>
    </row>
    <row r="1983" spans="5:7" x14ac:dyDescent="0.75">
      <c r="E1983" t="s">
        <v>85</v>
      </c>
      <c r="F1983">
        <v>2010</v>
      </c>
      <c r="G1983">
        <v>615.74069999999995</v>
      </c>
    </row>
    <row r="1984" spans="5:7" x14ac:dyDescent="0.75">
      <c r="E1984" t="s">
        <v>85</v>
      </c>
      <c r="F1984">
        <v>2011</v>
      </c>
      <c r="G1984">
        <v>607.79816000000005</v>
      </c>
    </row>
    <row r="1985" spans="5:7" x14ac:dyDescent="0.75">
      <c r="E1985" t="s">
        <v>85</v>
      </c>
      <c r="F1985">
        <v>2012</v>
      </c>
      <c r="G1985">
        <v>600.92804000000001</v>
      </c>
    </row>
    <row r="1986" spans="5:7" x14ac:dyDescent="0.75">
      <c r="E1986" t="s">
        <v>85</v>
      </c>
      <c r="F1986">
        <v>2013</v>
      </c>
      <c r="G1986">
        <v>603.7296</v>
      </c>
    </row>
    <row r="1987" spans="5:7" x14ac:dyDescent="0.75">
      <c r="E1987" t="s">
        <v>85</v>
      </c>
      <c r="F1987">
        <v>2014</v>
      </c>
      <c r="G1987">
        <v>600.93889999999999</v>
      </c>
    </row>
    <row r="1988" spans="5:7" x14ac:dyDescent="0.75">
      <c r="E1988" t="s">
        <v>85</v>
      </c>
      <c r="F1988">
        <v>2015</v>
      </c>
      <c r="G1988">
        <v>600.46720000000005</v>
      </c>
    </row>
    <row r="1989" spans="5:7" x14ac:dyDescent="0.75">
      <c r="E1989" t="s">
        <v>85</v>
      </c>
      <c r="F1989">
        <v>2016</v>
      </c>
      <c r="G1989">
        <v>587.97329999999999</v>
      </c>
    </row>
    <row r="1990" spans="5:7" x14ac:dyDescent="0.75">
      <c r="E1990" t="s">
        <v>85</v>
      </c>
      <c r="F1990">
        <v>2017</v>
      </c>
      <c r="G1990">
        <v>579.90859999999998</v>
      </c>
    </row>
    <row r="1991" spans="5:7" x14ac:dyDescent="0.75">
      <c r="E1991" t="s">
        <v>85</v>
      </c>
      <c r="F1991">
        <v>2018</v>
      </c>
      <c r="G1991">
        <v>558.08079999999995</v>
      </c>
    </row>
    <row r="1992" spans="5:7" x14ac:dyDescent="0.75">
      <c r="E1992" t="s">
        <v>85</v>
      </c>
      <c r="F1992">
        <v>2019</v>
      </c>
      <c r="G1992">
        <v>571.12070000000006</v>
      </c>
    </row>
    <row r="1993" spans="5:7" x14ac:dyDescent="0.75">
      <c r="E1993" t="s">
        <v>85</v>
      </c>
      <c r="F1993">
        <v>2020</v>
      </c>
      <c r="G1993">
        <v>553.73829999999998</v>
      </c>
    </row>
    <row r="1994" spans="5:7" x14ac:dyDescent="0.75">
      <c r="E1994" t="s">
        <v>85</v>
      </c>
      <c r="F1994">
        <v>2021</v>
      </c>
      <c r="G1994">
        <v>556.32183999999995</v>
      </c>
    </row>
    <row r="1995" spans="5:7" x14ac:dyDescent="0.75">
      <c r="E1995" t="s">
        <v>85</v>
      </c>
      <c r="F1995">
        <v>2022</v>
      </c>
      <c r="G1995">
        <v>561.24725000000001</v>
      </c>
    </row>
    <row r="1996" spans="5:7" x14ac:dyDescent="0.75">
      <c r="E1996" t="s">
        <v>86</v>
      </c>
      <c r="F1996">
        <v>2000</v>
      </c>
      <c r="G1996">
        <v>424.4273</v>
      </c>
    </row>
    <row r="1997" spans="5:7" x14ac:dyDescent="0.75">
      <c r="E1997" t="s">
        <v>86</v>
      </c>
      <c r="F1997">
        <v>2001</v>
      </c>
      <c r="G1997">
        <v>424.01718</v>
      </c>
    </row>
    <row r="1998" spans="5:7" x14ac:dyDescent="0.75">
      <c r="E1998" t="s">
        <v>86</v>
      </c>
      <c r="F1998">
        <v>2002</v>
      </c>
      <c r="G1998">
        <v>433.72590000000002</v>
      </c>
    </row>
    <row r="1999" spans="5:7" x14ac:dyDescent="0.75">
      <c r="E1999" t="s">
        <v>86</v>
      </c>
      <c r="F1999">
        <v>2003</v>
      </c>
      <c r="G1999">
        <v>476.31774999999999</v>
      </c>
    </row>
    <row r="2000" spans="5:7" x14ac:dyDescent="0.75">
      <c r="E2000" t="s">
        <v>86</v>
      </c>
      <c r="F2000">
        <v>2004</v>
      </c>
      <c r="G2000">
        <v>450.26265999999998</v>
      </c>
    </row>
    <row r="2001" spans="5:7" x14ac:dyDescent="0.75">
      <c r="E2001" t="s">
        <v>86</v>
      </c>
      <c r="F2001">
        <v>2005</v>
      </c>
      <c r="G2001">
        <v>461.80196999999998</v>
      </c>
    </row>
    <row r="2002" spans="5:7" x14ac:dyDescent="0.75">
      <c r="E2002" t="s">
        <v>86</v>
      </c>
      <c r="F2002">
        <v>2006</v>
      </c>
      <c r="G2002">
        <v>447.24524000000002</v>
      </c>
    </row>
    <row r="2003" spans="5:7" x14ac:dyDescent="0.75">
      <c r="E2003" t="s">
        <v>86</v>
      </c>
      <c r="F2003">
        <v>2007</v>
      </c>
      <c r="G2003">
        <v>470.19348000000002</v>
      </c>
    </row>
    <row r="2004" spans="5:7" x14ac:dyDescent="0.75">
      <c r="E2004" t="s">
        <v>86</v>
      </c>
      <c r="F2004">
        <v>2008</v>
      </c>
      <c r="G2004">
        <v>485.22430000000003</v>
      </c>
    </row>
    <row r="2005" spans="5:7" x14ac:dyDescent="0.75">
      <c r="E2005" t="s">
        <v>86</v>
      </c>
      <c r="F2005">
        <v>2009</v>
      </c>
      <c r="G2005">
        <v>460.20715000000001</v>
      </c>
    </row>
    <row r="2006" spans="5:7" x14ac:dyDescent="0.75">
      <c r="E2006" t="s">
        <v>86</v>
      </c>
      <c r="F2006">
        <v>2010</v>
      </c>
      <c r="G2006">
        <v>446.66271999999998</v>
      </c>
    </row>
    <row r="2007" spans="5:7" x14ac:dyDescent="0.75">
      <c r="E2007" t="s">
        <v>86</v>
      </c>
      <c r="F2007">
        <v>2011</v>
      </c>
      <c r="G2007">
        <v>505.34325999999999</v>
      </c>
    </row>
    <row r="2008" spans="5:7" x14ac:dyDescent="0.75">
      <c r="E2008" t="s">
        <v>86</v>
      </c>
      <c r="F2008">
        <v>2012</v>
      </c>
      <c r="G2008">
        <v>594.52700000000004</v>
      </c>
    </row>
    <row r="2009" spans="5:7" x14ac:dyDescent="0.75">
      <c r="E2009" t="s">
        <v>86</v>
      </c>
      <c r="F2009">
        <v>2013</v>
      </c>
      <c r="G2009">
        <v>595.90350000000001</v>
      </c>
    </row>
    <row r="2010" spans="5:7" x14ac:dyDescent="0.75">
      <c r="E2010" t="s">
        <v>86</v>
      </c>
      <c r="F2010">
        <v>2014</v>
      </c>
      <c r="G2010">
        <v>591.52930000000003</v>
      </c>
    </row>
    <row r="2011" spans="5:7" x14ac:dyDescent="0.75">
      <c r="E2011" t="s">
        <v>86</v>
      </c>
      <c r="F2011">
        <v>2015</v>
      </c>
      <c r="G2011">
        <v>578.04920000000004</v>
      </c>
    </row>
    <row r="2012" spans="5:7" x14ac:dyDescent="0.75">
      <c r="E2012" t="s">
        <v>86</v>
      </c>
      <c r="F2012">
        <v>2016</v>
      </c>
      <c r="G2012">
        <v>567.03954999999996</v>
      </c>
    </row>
    <row r="2013" spans="5:7" x14ac:dyDescent="0.75">
      <c r="E2013" t="s">
        <v>86</v>
      </c>
      <c r="F2013">
        <v>2017</v>
      </c>
      <c r="G2013">
        <v>558.02985000000001</v>
      </c>
    </row>
    <row r="2014" spans="5:7" x14ac:dyDescent="0.75">
      <c r="E2014" t="s">
        <v>86</v>
      </c>
      <c r="F2014">
        <v>2018</v>
      </c>
      <c r="G2014">
        <v>541.46619999999996</v>
      </c>
    </row>
    <row r="2015" spans="5:7" x14ac:dyDescent="0.75">
      <c r="E2015" t="s">
        <v>86</v>
      </c>
      <c r="F2015">
        <v>2019</v>
      </c>
      <c r="G2015">
        <v>528.48955999999998</v>
      </c>
    </row>
    <row r="2016" spans="5:7" x14ac:dyDescent="0.75">
      <c r="E2016" t="s">
        <v>86</v>
      </c>
      <c r="F2016">
        <v>2020</v>
      </c>
      <c r="G2016">
        <v>527.74890000000005</v>
      </c>
    </row>
    <row r="2017" spans="5:7" x14ac:dyDescent="0.75">
      <c r="E2017" t="s">
        <v>86</v>
      </c>
      <c r="F2017">
        <v>2021</v>
      </c>
      <c r="G2017">
        <v>514.49255000000005</v>
      </c>
    </row>
    <row r="2018" spans="5:7" x14ac:dyDescent="0.75">
      <c r="E2018" t="s">
        <v>86</v>
      </c>
      <c r="F2018">
        <v>2022</v>
      </c>
      <c r="G2018">
        <v>519.6191</v>
      </c>
    </row>
    <row r="2019" spans="5:7" x14ac:dyDescent="0.75">
      <c r="E2019" t="s">
        <v>86</v>
      </c>
      <c r="F2019">
        <v>2023</v>
      </c>
      <c r="G2019">
        <v>493.58505000000002</v>
      </c>
    </row>
    <row r="2020" spans="5:7" x14ac:dyDescent="0.75">
      <c r="E2020" t="s">
        <v>86</v>
      </c>
      <c r="F2020">
        <v>2024</v>
      </c>
      <c r="G2020">
        <v>482.32416000000001</v>
      </c>
    </row>
    <row r="2021" spans="5:7" x14ac:dyDescent="0.75">
      <c r="E2021" t="s">
        <v>87</v>
      </c>
      <c r="F2021">
        <v>2000</v>
      </c>
      <c r="G2021">
        <v>658.07324000000006</v>
      </c>
    </row>
    <row r="2022" spans="5:7" x14ac:dyDescent="0.75">
      <c r="E2022" t="s">
        <v>87</v>
      </c>
      <c r="F2022">
        <v>2001</v>
      </c>
      <c r="G2022">
        <v>657.82494999999994</v>
      </c>
    </row>
    <row r="2023" spans="5:7" x14ac:dyDescent="0.75">
      <c r="E2023" t="s">
        <v>87</v>
      </c>
      <c r="F2023">
        <v>2002</v>
      </c>
      <c r="G2023">
        <v>656.40392999999995</v>
      </c>
    </row>
    <row r="2024" spans="5:7" x14ac:dyDescent="0.75">
      <c r="E2024" t="s">
        <v>87</v>
      </c>
      <c r="F2024">
        <v>2003</v>
      </c>
      <c r="G2024">
        <v>657.53430000000003</v>
      </c>
    </row>
    <row r="2025" spans="5:7" x14ac:dyDescent="0.75">
      <c r="E2025" t="s">
        <v>87</v>
      </c>
      <c r="F2025">
        <v>2004</v>
      </c>
      <c r="G2025">
        <v>670.75900000000001</v>
      </c>
    </row>
    <row r="2026" spans="5:7" x14ac:dyDescent="0.75">
      <c r="E2026" t="s">
        <v>87</v>
      </c>
      <c r="F2026">
        <v>2005</v>
      </c>
      <c r="G2026">
        <v>672.53890000000001</v>
      </c>
    </row>
    <row r="2027" spans="5:7" x14ac:dyDescent="0.75">
      <c r="E2027" t="s">
        <v>87</v>
      </c>
      <c r="F2027">
        <v>2006</v>
      </c>
      <c r="G2027">
        <v>678.95685000000003</v>
      </c>
    </row>
    <row r="2028" spans="5:7" x14ac:dyDescent="0.75">
      <c r="E2028" t="s">
        <v>87</v>
      </c>
      <c r="F2028">
        <v>2007</v>
      </c>
      <c r="G2028">
        <v>682.77480000000003</v>
      </c>
    </row>
    <row r="2029" spans="5:7" x14ac:dyDescent="0.75">
      <c r="E2029" t="s">
        <v>87</v>
      </c>
      <c r="F2029">
        <v>2008</v>
      </c>
      <c r="G2029">
        <v>684.09900000000005</v>
      </c>
    </row>
    <row r="2030" spans="5:7" x14ac:dyDescent="0.75">
      <c r="E2030" t="s">
        <v>87</v>
      </c>
      <c r="F2030">
        <v>2009</v>
      </c>
      <c r="G2030">
        <v>686.27454</v>
      </c>
    </row>
    <row r="2031" spans="5:7" x14ac:dyDescent="0.75">
      <c r="E2031" t="s">
        <v>87</v>
      </c>
      <c r="F2031">
        <v>2010</v>
      </c>
      <c r="G2031">
        <v>679.97295999999994</v>
      </c>
    </row>
    <row r="2032" spans="5:7" x14ac:dyDescent="0.75">
      <c r="E2032" t="s">
        <v>87</v>
      </c>
      <c r="F2032">
        <v>2011</v>
      </c>
      <c r="G2032">
        <v>664.61743000000001</v>
      </c>
    </row>
    <row r="2033" spans="5:7" x14ac:dyDescent="0.75">
      <c r="E2033" t="s">
        <v>87</v>
      </c>
      <c r="F2033">
        <v>2012</v>
      </c>
      <c r="G2033">
        <v>661.24170000000004</v>
      </c>
    </row>
    <row r="2034" spans="5:7" x14ac:dyDescent="0.75">
      <c r="E2034" t="s">
        <v>87</v>
      </c>
      <c r="F2034">
        <v>2013</v>
      </c>
      <c r="G2034">
        <v>664.54229999999995</v>
      </c>
    </row>
    <row r="2035" spans="5:7" x14ac:dyDescent="0.75">
      <c r="E2035" t="s">
        <v>87</v>
      </c>
      <c r="F2035">
        <v>2014</v>
      </c>
      <c r="G2035">
        <v>657.90920000000006</v>
      </c>
    </row>
    <row r="2036" spans="5:7" x14ac:dyDescent="0.75">
      <c r="E2036" t="s">
        <v>87</v>
      </c>
      <c r="F2036">
        <v>2015</v>
      </c>
      <c r="G2036">
        <v>666.84154999999998</v>
      </c>
    </row>
    <row r="2037" spans="5:7" x14ac:dyDescent="0.75">
      <c r="E2037" t="s">
        <v>87</v>
      </c>
      <c r="F2037">
        <v>2016</v>
      </c>
      <c r="G2037">
        <v>659.88810000000001</v>
      </c>
    </row>
    <row r="2038" spans="5:7" x14ac:dyDescent="0.75">
      <c r="E2038" t="s">
        <v>87</v>
      </c>
      <c r="F2038">
        <v>2017</v>
      </c>
      <c r="G2038">
        <v>643.40710000000001</v>
      </c>
    </row>
    <row r="2039" spans="5:7" x14ac:dyDescent="0.75">
      <c r="E2039" t="s">
        <v>87</v>
      </c>
      <c r="F2039">
        <v>2018</v>
      </c>
      <c r="G2039">
        <v>621.01120000000003</v>
      </c>
    </row>
    <row r="2040" spans="5:7" x14ac:dyDescent="0.75">
      <c r="E2040" t="s">
        <v>87</v>
      </c>
      <c r="F2040">
        <v>2019</v>
      </c>
      <c r="G2040">
        <v>596.68773999999996</v>
      </c>
    </row>
    <row r="2041" spans="5:7" x14ac:dyDescent="0.75">
      <c r="E2041" t="s">
        <v>87</v>
      </c>
      <c r="F2041">
        <v>2020</v>
      </c>
      <c r="G2041">
        <v>566.66660000000002</v>
      </c>
    </row>
    <row r="2042" spans="5:7" x14ac:dyDescent="0.75">
      <c r="E2042" t="s">
        <v>87</v>
      </c>
      <c r="F2042">
        <v>2021</v>
      </c>
      <c r="G2042">
        <v>540.26215000000002</v>
      </c>
    </row>
    <row r="2043" spans="5:7" x14ac:dyDescent="0.75">
      <c r="E2043" t="s">
        <v>87</v>
      </c>
      <c r="F2043">
        <v>2022</v>
      </c>
      <c r="G2043">
        <v>539.21136000000001</v>
      </c>
    </row>
    <row r="2044" spans="5:7" x14ac:dyDescent="0.75">
      <c r="E2044" t="s">
        <v>88</v>
      </c>
      <c r="F2044">
        <v>2000</v>
      </c>
      <c r="G2044">
        <v>781.17737</v>
      </c>
    </row>
    <row r="2045" spans="5:7" x14ac:dyDescent="0.75">
      <c r="E2045" t="s">
        <v>88</v>
      </c>
      <c r="F2045">
        <v>2001</v>
      </c>
      <c r="G2045">
        <v>783.49585000000002</v>
      </c>
    </row>
    <row r="2046" spans="5:7" x14ac:dyDescent="0.75">
      <c r="E2046" t="s">
        <v>88</v>
      </c>
      <c r="F2046">
        <v>2002</v>
      </c>
      <c r="G2046">
        <v>775.24429999999995</v>
      </c>
    </row>
    <row r="2047" spans="5:7" x14ac:dyDescent="0.75">
      <c r="E2047" t="s">
        <v>88</v>
      </c>
      <c r="F2047">
        <v>2003</v>
      </c>
      <c r="G2047">
        <v>793.76760000000002</v>
      </c>
    </row>
    <row r="2048" spans="5:7" x14ac:dyDescent="0.75">
      <c r="E2048" t="s">
        <v>88</v>
      </c>
      <c r="F2048">
        <v>2004</v>
      </c>
      <c r="G2048">
        <v>812.84540000000004</v>
      </c>
    </row>
    <row r="2049" spans="5:7" x14ac:dyDescent="0.75">
      <c r="E2049" t="s">
        <v>88</v>
      </c>
      <c r="F2049">
        <v>2005</v>
      </c>
      <c r="G2049">
        <v>811.54296999999997</v>
      </c>
    </row>
    <row r="2050" spans="5:7" x14ac:dyDescent="0.75">
      <c r="E2050" t="s">
        <v>88</v>
      </c>
      <c r="F2050">
        <v>2006</v>
      </c>
      <c r="G2050">
        <v>804.63292999999999</v>
      </c>
    </row>
    <row r="2051" spans="5:7" x14ac:dyDescent="0.75">
      <c r="E2051" t="s">
        <v>88</v>
      </c>
      <c r="F2051">
        <v>2007</v>
      </c>
      <c r="G2051">
        <v>802.53200000000004</v>
      </c>
    </row>
    <row r="2052" spans="5:7" x14ac:dyDescent="0.75">
      <c r="E2052" t="s">
        <v>88</v>
      </c>
      <c r="F2052">
        <v>2008</v>
      </c>
      <c r="G2052">
        <v>832.10955999999999</v>
      </c>
    </row>
    <row r="2053" spans="5:7" x14ac:dyDescent="0.75">
      <c r="E2053" t="s">
        <v>88</v>
      </c>
      <c r="F2053">
        <v>2009</v>
      </c>
      <c r="G2053">
        <v>848.59640000000002</v>
      </c>
    </row>
    <row r="2054" spans="5:7" x14ac:dyDescent="0.75">
      <c r="E2054" t="s">
        <v>88</v>
      </c>
      <c r="F2054">
        <v>2010</v>
      </c>
      <c r="G2054">
        <v>835.45074</v>
      </c>
    </row>
    <row r="2055" spans="5:7" x14ac:dyDescent="0.75">
      <c r="E2055" t="s">
        <v>88</v>
      </c>
      <c r="F2055">
        <v>2011</v>
      </c>
      <c r="G2055">
        <v>841.41832999999997</v>
      </c>
    </row>
    <row r="2056" spans="5:7" x14ac:dyDescent="0.75">
      <c r="E2056" t="s">
        <v>88</v>
      </c>
      <c r="F2056">
        <v>2012</v>
      </c>
      <c r="G2056">
        <v>852.35040000000004</v>
      </c>
    </row>
    <row r="2057" spans="5:7" x14ac:dyDescent="0.75">
      <c r="E2057" t="s">
        <v>88</v>
      </c>
      <c r="F2057">
        <v>2013</v>
      </c>
      <c r="G2057">
        <v>854.55133000000001</v>
      </c>
    </row>
    <row r="2058" spans="5:7" x14ac:dyDescent="0.75">
      <c r="E2058" t="s">
        <v>88</v>
      </c>
      <c r="F2058">
        <v>2014</v>
      </c>
      <c r="G2058">
        <v>852.47810000000004</v>
      </c>
    </row>
    <row r="2059" spans="5:7" x14ac:dyDescent="0.75">
      <c r="E2059" t="s">
        <v>88</v>
      </c>
      <c r="F2059">
        <v>2015</v>
      </c>
      <c r="G2059">
        <v>837.07989999999995</v>
      </c>
    </row>
    <row r="2060" spans="5:7" x14ac:dyDescent="0.75">
      <c r="E2060" t="s">
        <v>88</v>
      </c>
      <c r="F2060">
        <v>2016</v>
      </c>
      <c r="G2060">
        <v>815.51139999999998</v>
      </c>
    </row>
    <row r="2061" spans="5:7" x14ac:dyDescent="0.75">
      <c r="E2061" t="s">
        <v>88</v>
      </c>
      <c r="F2061">
        <v>2017</v>
      </c>
      <c r="G2061">
        <v>833.68889999999999</v>
      </c>
    </row>
    <row r="2062" spans="5:7" x14ac:dyDescent="0.75">
      <c r="E2062" t="s">
        <v>88</v>
      </c>
      <c r="F2062">
        <v>2018</v>
      </c>
      <c r="G2062">
        <v>842.91974000000005</v>
      </c>
    </row>
    <row r="2063" spans="5:7" x14ac:dyDescent="0.75">
      <c r="E2063" t="s">
        <v>88</v>
      </c>
      <c r="F2063">
        <v>2019</v>
      </c>
      <c r="G2063">
        <v>841.26984000000004</v>
      </c>
    </row>
    <row r="2064" spans="5:7" x14ac:dyDescent="0.75">
      <c r="E2064" t="s">
        <v>88</v>
      </c>
      <c r="F2064">
        <v>2020</v>
      </c>
      <c r="G2064">
        <v>838.16629999999998</v>
      </c>
    </row>
    <row r="2065" spans="5:7" x14ac:dyDescent="0.75">
      <c r="E2065" t="s">
        <v>88</v>
      </c>
      <c r="F2065">
        <v>2021</v>
      </c>
      <c r="G2065">
        <v>833.85469999999998</v>
      </c>
    </row>
    <row r="2066" spans="5:7" x14ac:dyDescent="0.75">
      <c r="E2066" t="s">
        <v>88</v>
      </c>
      <c r="F2066">
        <v>2022</v>
      </c>
      <c r="G2066">
        <v>831.5557</v>
      </c>
    </row>
    <row r="2067" spans="5:7" x14ac:dyDescent="0.75">
      <c r="E2067" t="s">
        <v>88</v>
      </c>
      <c r="F2067">
        <v>2023</v>
      </c>
      <c r="G2067">
        <v>821.89959999999996</v>
      </c>
    </row>
    <row r="2068" spans="5:7" x14ac:dyDescent="0.75">
      <c r="E2068" t="s">
        <v>88</v>
      </c>
      <c r="F2068">
        <v>2024</v>
      </c>
      <c r="G2068">
        <v>801.94830000000002</v>
      </c>
    </row>
    <row r="2069" spans="5:7" x14ac:dyDescent="0.75">
      <c r="E2069" t="s">
        <v>89</v>
      </c>
      <c r="F2069">
        <v>2000</v>
      </c>
      <c r="G2069">
        <v>403.71230000000003</v>
      </c>
    </row>
    <row r="2070" spans="5:7" x14ac:dyDescent="0.75">
      <c r="E2070" t="s">
        <v>89</v>
      </c>
      <c r="F2070">
        <v>2001</v>
      </c>
      <c r="G2070">
        <v>282.74430000000001</v>
      </c>
    </row>
    <row r="2071" spans="5:7" x14ac:dyDescent="0.75">
      <c r="E2071" t="s">
        <v>89</v>
      </c>
      <c r="F2071">
        <v>2002</v>
      </c>
      <c r="G2071">
        <v>188.34952000000001</v>
      </c>
    </row>
    <row r="2072" spans="5:7" x14ac:dyDescent="0.75">
      <c r="E2072" t="s">
        <v>89</v>
      </c>
      <c r="F2072">
        <v>2003</v>
      </c>
      <c r="G2072">
        <v>156.93431000000001</v>
      </c>
    </row>
    <row r="2073" spans="5:7" x14ac:dyDescent="0.75">
      <c r="E2073" t="s">
        <v>89</v>
      </c>
      <c r="F2073">
        <v>2004</v>
      </c>
      <c r="G2073">
        <v>228.89609999999999</v>
      </c>
    </row>
    <row r="2074" spans="5:7" x14ac:dyDescent="0.75">
      <c r="E2074" t="s">
        <v>89</v>
      </c>
      <c r="F2074">
        <v>2005</v>
      </c>
      <c r="G2074">
        <v>250.74626000000001</v>
      </c>
    </row>
    <row r="2075" spans="5:7" x14ac:dyDescent="0.75">
      <c r="E2075" t="s">
        <v>89</v>
      </c>
      <c r="F2075">
        <v>2006</v>
      </c>
      <c r="G2075">
        <v>274.30090000000001</v>
      </c>
    </row>
    <row r="2076" spans="5:7" x14ac:dyDescent="0.75">
      <c r="E2076" t="s">
        <v>89</v>
      </c>
      <c r="F2076">
        <v>2007</v>
      </c>
      <c r="G2076">
        <v>203.89805999999999</v>
      </c>
    </row>
    <row r="2077" spans="5:7" x14ac:dyDescent="0.75">
      <c r="E2077" t="s">
        <v>89</v>
      </c>
      <c r="F2077">
        <v>2008</v>
      </c>
      <c r="G2077">
        <v>214.63416000000001</v>
      </c>
    </row>
    <row r="2078" spans="5:7" x14ac:dyDescent="0.75">
      <c r="E2078" t="s">
        <v>89</v>
      </c>
      <c r="F2078">
        <v>2009</v>
      </c>
      <c r="G2078">
        <v>290.07632000000001</v>
      </c>
    </row>
    <row r="2079" spans="5:7" x14ac:dyDescent="0.75">
      <c r="E2079" t="s">
        <v>89</v>
      </c>
      <c r="F2079">
        <v>2010</v>
      </c>
      <c r="G2079">
        <v>199.72067000000001</v>
      </c>
    </row>
    <row r="2080" spans="5:7" x14ac:dyDescent="0.75">
      <c r="E2080" t="s">
        <v>89</v>
      </c>
      <c r="F2080">
        <v>2011</v>
      </c>
      <c r="G2080">
        <v>233.71647999999999</v>
      </c>
    </row>
    <row r="2081" spans="5:7" x14ac:dyDescent="0.75">
      <c r="E2081" t="s">
        <v>89</v>
      </c>
      <c r="F2081">
        <v>2012</v>
      </c>
      <c r="G2081">
        <v>179.92655999999999</v>
      </c>
    </row>
    <row r="2082" spans="5:7" x14ac:dyDescent="0.75">
      <c r="E2082" t="s">
        <v>89</v>
      </c>
      <c r="F2082">
        <v>2013</v>
      </c>
      <c r="G2082">
        <v>174.50494</v>
      </c>
    </row>
    <row r="2083" spans="5:7" x14ac:dyDescent="0.75">
      <c r="E2083" t="s">
        <v>89</v>
      </c>
      <c r="F2083">
        <v>2014</v>
      </c>
      <c r="G2083">
        <v>188.04348999999999</v>
      </c>
    </row>
    <row r="2084" spans="5:7" x14ac:dyDescent="0.75">
      <c r="E2084" t="s">
        <v>89</v>
      </c>
      <c r="F2084">
        <v>2015</v>
      </c>
      <c r="G2084">
        <v>103.97553000000001</v>
      </c>
    </row>
    <row r="2085" spans="5:7" x14ac:dyDescent="0.75">
      <c r="E2085" t="s">
        <v>89</v>
      </c>
      <c r="F2085">
        <v>2016</v>
      </c>
      <c r="G2085">
        <v>108.47107</v>
      </c>
    </row>
    <row r="2086" spans="5:7" x14ac:dyDescent="0.75">
      <c r="E2086" t="s">
        <v>89</v>
      </c>
      <c r="F2086">
        <v>2017</v>
      </c>
      <c r="G2086">
        <v>163.4349</v>
      </c>
    </row>
    <row r="2087" spans="5:7" x14ac:dyDescent="0.75">
      <c r="E2087" t="s">
        <v>89</v>
      </c>
      <c r="F2087">
        <v>2018</v>
      </c>
      <c r="G2087">
        <v>117.69911999999999</v>
      </c>
    </row>
    <row r="2088" spans="5:7" x14ac:dyDescent="0.75">
      <c r="E2088" t="s">
        <v>89</v>
      </c>
      <c r="F2088">
        <v>2019</v>
      </c>
      <c r="G2088">
        <v>102.94118</v>
      </c>
    </row>
    <row r="2089" spans="5:7" x14ac:dyDescent="0.75">
      <c r="E2089" t="s">
        <v>89</v>
      </c>
      <c r="F2089">
        <v>2020</v>
      </c>
      <c r="G2089">
        <v>71.9178</v>
      </c>
    </row>
    <row r="2090" spans="5:7" x14ac:dyDescent="0.75">
      <c r="E2090" t="s">
        <v>89</v>
      </c>
      <c r="F2090">
        <v>2021</v>
      </c>
      <c r="G2090">
        <v>96.122780000000006</v>
      </c>
    </row>
    <row r="2091" spans="5:7" x14ac:dyDescent="0.75">
      <c r="E2091" t="s">
        <v>89</v>
      </c>
      <c r="F2091">
        <v>2022</v>
      </c>
      <c r="G2091">
        <v>109.567894</v>
      </c>
    </row>
    <row r="2092" spans="5:7" x14ac:dyDescent="0.75">
      <c r="E2092" t="s">
        <v>89</v>
      </c>
      <c r="F2092">
        <v>2023</v>
      </c>
      <c r="G2092">
        <v>96.950744999999998</v>
      </c>
    </row>
    <row r="2093" spans="5:7" x14ac:dyDescent="0.75">
      <c r="E2093" t="s">
        <v>89</v>
      </c>
      <c r="F2093">
        <v>2024</v>
      </c>
      <c r="G2093">
        <v>84.824905000000001</v>
      </c>
    </row>
    <row r="2094" spans="5:7" x14ac:dyDescent="0.75">
      <c r="E2094" t="s">
        <v>90</v>
      </c>
      <c r="F2094">
        <v>2000</v>
      </c>
      <c r="G2094">
        <v>653.8818</v>
      </c>
    </row>
    <row r="2095" spans="5:7" x14ac:dyDescent="0.75">
      <c r="E2095" t="s">
        <v>90</v>
      </c>
      <c r="F2095">
        <v>2001</v>
      </c>
      <c r="G2095">
        <v>653.93589999999995</v>
      </c>
    </row>
    <row r="2096" spans="5:7" x14ac:dyDescent="0.75">
      <c r="E2096" t="s">
        <v>90</v>
      </c>
      <c r="F2096">
        <v>2002</v>
      </c>
      <c r="G2096">
        <v>655.21029999999996</v>
      </c>
    </row>
    <row r="2097" spans="5:7" x14ac:dyDescent="0.75">
      <c r="E2097" t="s">
        <v>90</v>
      </c>
      <c r="F2097">
        <v>2003</v>
      </c>
      <c r="G2097">
        <v>654.77386000000001</v>
      </c>
    </row>
    <row r="2098" spans="5:7" x14ac:dyDescent="0.75">
      <c r="E2098" t="s">
        <v>90</v>
      </c>
      <c r="F2098">
        <v>2004</v>
      </c>
      <c r="G2098">
        <v>654.38684000000001</v>
      </c>
    </row>
    <row r="2099" spans="5:7" x14ac:dyDescent="0.75">
      <c r="E2099" t="s">
        <v>90</v>
      </c>
      <c r="F2099">
        <v>2005</v>
      </c>
      <c r="G2099">
        <v>654.69929999999999</v>
      </c>
    </row>
    <row r="2100" spans="5:7" x14ac:dyDescent="0.75">
      <c r="E2100" t="s">
        <v>90</v>
      </c>
      <c r="F2100">
        <v>2006</v>
      </c>
      <c r="G2100">
        <v>653.78156000000001</v>
      </c>
    </row>
    <row r="2101" spans="5:7" x14ac:dyDescent="0.75">
      <c r="E2101" t="s">
        <v>90</v>
      </c>
      <c r="F2101">
        <v>2007</v>
      </c>
      <c r="G2101">
        <v>653.74360000000001</v>
      </c>
    </row>
    <row r="2102" spans="5:7" x14ac:dyDescent="0.75">
      <c r="E2102" t="s">
        <v>90</v>
      </c>
      <c r="F2102">
        <v>2008</v>
      </c>
      <c r="G2102">
        <v>653.14009999999996</v>
      </c>
    </row>
    <row r="2103" spans="5:7" x14ac:dyDescent="0.75">
      <c r="E2103" t="s">
        <v>90</v>
      </c>
      <c r="F2103">
        <v>2009</v>
      </c>
      <c r="G2103">
        <v>654.26530000000002</v>
      </c>
    </row>
    <row r="2104" spans="5:7" x14ac:dyDescent="0.75">
      <c r="E2104" t="s">
        <v>90</v>
      </c>
      <c r="F2104">
        <v>2010</v>
      </c>
      <c r="G2104">
        <v>653.34032999999999</v>
      </c>
    </row>
    <row r="2105" spans="5:7" x14ac:dyDescent="0.75">
      <c r="E2105" t="s">
        <v>90</v>
      </c>
      <c r="F2105">
        <v>2011</v>
      </c>
      <c r="G2105">
        <v>652.62789999999995</v>
      </c>
    </row>
    <row r="2106" spans="5:7" x14ac:dyDescent="0.75">
      <c r="E2106" t="s">
        <v>90</v>
      </c>
      <c r="F2106">
        <v>2012</v>
      </c>
      <c r="G2106">
        <v>651.01440000000002</v>
      </c>
    </row>
    <row r="2107" spans="5:7" x14ac:dyDescent="0.75">
      <c r="E2107" t="s">
        <v>90</v>
      </c>
      <c r="F2107">
        <v>2013</v>
      </c>
      <c r="G2107">
        <v>651.91010000000006</v>
      </c>
    </row>
    <row r="2108" spans="5:7" x14ac:dyDescent="0.75">
      <c r="E2108" t="s">
        <v>90</v>
      </c>
      <c r="F2108">
        <v>2014</v>
      </c>
      <c r="G2108">
        <v>650.95929999999998</v>
      </c>
    </row>
    <row r="2109" spans="5:7" x14ac:dyDescent="0.75">
      <c r="E2109" t="s">
        <v>90</v>
      </c>
      <c r="F2109">
        <v>2015</v>
      </c>
      <c r="G2109">
        <v>650.51239999999996</v>
      </c>
    </row>
    <row r="2110" spans="5:7" x14ac:dyDescent="0.75">
      <c r="E2110" t="s">
        <v>90</v>
      </c>
      <c r="F2110">
        <v>2016</v>
      </c>
      <c r="G2110">
        <v>650.07135000000005</v>
      </c>
    </row>
    <row r="2111" spans="5:7" x14ac:dyDescent="0.75">
      <c r="E2111" t="s">
        <v>90</v>
      </c>
      <c r="F2111">
        <v>2017</v>
      </c>
      <c r="G2111">
        <v>650.60239999999999</v>
      </c>
    </row>
    <row r="2112" spans="5:7" x14ac:dyDescent="0.75">
      <c r="E2112" t="s">
        <v>90</v>
      </c>
      <c r="F2112">
        <v>2018</v>
      </c>
      <c r="G2112">
        <v>650.07420000000002</v>
      </c>
    </row>
    <row r="2113" spans="5:7" x14ac:dyDescent="0.75">
      <c r="E2113" t="s">
        <v>90</v>
      </c>
      <c r="F2113">
        <v>2019</v>
      </c>
      <c r="G2113">
        <v>649.52026000000001</v>
      </c>
    </row>
    <row r="2114" spans="5:7" x14ac:dyDescent="0.75">
      <c r="E2114" t="s">
        <v>90</v>
      </c>
      <c r="F2114">
        <v>2020</v>
      </c>
      <c r="G2114">
        <v>650.18755999999996</v>
      </c>
    </row>
    <row r="2115" spans="5:7" x14ac:dyDescent="0.75">
      <c r="E2115" t="s">
        <v>90</v>
      </c>
      <c r="F2115">
        <v>2021</v>
      </c>
      <c r="G2115">
        <v>649.62869999999998</v>
      </c>
    </row>
    <row r="2116" spans="5:7" x14ac:dyDescent="0.75">
      <c r="E2116" t="s">
        <v>90</v>
      </c>
      <c r="F2116">
        <v>2022</v>
      </c>
      <c r="G2116">
        <v>636.88589999999999</v>
      </c>
    </row>
    <row r="2117" spans="5:7" x14ac:dyDescent="0.75">
      <c r="E2117" t="s">
        <v>90</v>
      </c>
      <c r="F2117">
        <v>2023</v>
      </c>
      <c r="G2117">
        <v>636.90545999999995</v>
      </c>
    </row>
    <row r="2118" spans="5:7" x14ac:dyDescent="0.75">
      <c r="E2118" t="s">
        <v>90</v>
      </c>
      <c r="F2118">
        <v>2024</v>
      </c>
      <c r="G2118">
        <v>637.23473999999999</v>
      </c>
    </row>
    <row r="2119" spans="5:7" x14ac:dyDescent="0.75">
      <c r="E2119" t="s">
        <v>91</v>
      </c>
      <c r="F2119">
        <v>2000</v>
      </c>
      <c r="G2119">
        <v>101.577286</v>
      </c>
    </row>
    <row r="2120" spans="5:7" x14ac:dyDescent="0.75">
      <c r="E2120" t="s">
        <v>91</v>
      </c>
      <c r="F2120">
        <v>2001</v>
      </c>
      <c r="G2120">
        <v>110.735985</v>
      </c>
    </row>
    <row r="2121" spans="5:7" x14ac:dyDescent="0.75">
      <c r="E2121" t="s">
        <v>91</v>
      </c>
      <c r="F2121">
        <v>2002</v>
      </c>
      <c r="G2121">
        <v>107.08783</v>
      </c>
    </row>
    <row r="2122" spans="5:7" x14ac:dyDescent="0.75">
      <c r="E2122" t="s">
        <v>91</v>
      </c>
      <c r="F2122">
        <v>2003</v>
      </c>
      <c r="G2122">
        <v>89.378240000000005</v>
      </c>
    </row>
    <row r="2123" spans="5:7" x14ac:dyDescent="0.75">
      <c r="E2123" t="s">
        <v>91</v>
      </c>
      <c r="F2123">
        <v>2004</v>
      </c>
      <c r="G2123">
        <v>89.727729999999994</v>
      </c>
    </row>
    <row r="2124" spans="5:7" x14ac:dyDescent="0.75">
      <c r="E2124" t="s">
        <v>91</v>
      </c>
      <c r="F2124">
        <v>2005</v>
      </c>
      <c r="G2124">
        <v>132.34302</v>
      </c>
    </row>
    <row r="2125" spans="5:7" x14ac:dyDescent="0.75">
      <c r="E2125" t="s">
        <v>91</v>
      </c>
      <c r="F2125">
        <v>2006</v>
      </c>
      <c r="G2125">
        <v>135.39519000000001</v>
      </c>
    </row>
    <row r="2126" spans="5:7" x14ac:dyDescent="0.75">
      <c r="E2126" t="s">
        <v>91</v>
      </c>
      <c r="F2126">
        <v>2007</v>
      </c>
      <c r="G2126">
        <v>138.09524999999999</v>
      </c>
    </row>
    <row r="2127" spans="5:7" x14ac:dyDescent="0.75">
      <c r="E2127" t="s">
        <v>91</v>
      </c>
      <c r="F2127">
        <v>2008</v>
      </c>
      <c r="G2127">
        <v>142.00171</v>
      </c>
    </row>
    <row r="2128" spans="5:7" x14ac:dyDescent="0.75">
      <c r="E2128" t="s">
        <v>91</v>
      </c>
      <c r="F2128">
        <v>2009</v>
      </c>
      <c r="G2128">
        <v>81.967219999999998</v>
      </c>
    </row>
    <row r="2129" spans="5:7" x14ac:dyDescent="0.75">
      <c r="E2129" t="s">
        <v>91</v>
      </c>
      <c r="F2129">
        <v>2010</v>
      </c>
      <c r="G2129">
        <v>85.904920000000004</v>
      </c>
    </row>
    <row r="2130" spans="5:7" x14ac:dyDescent="0.75">
      <c r="E2130" t="s">
        <v>91</v>
      </c>
      <c r="F2130">
        <v>2011</v>
      </c>
      <c r="G2130">
        <v>75.283140000000003</v>
      </c>
    </row>
    <row r="2131" spans="5:7" x14ac:dyDescent="0.75">
      <c r="E2131" t="s">
        <v>91</v>
      </c>
      <c r="F2131">
        <v>2012</v>
      </c>
      <c r="G2131">
        <v>78.509640000000005</v>
      </c>
    </row>
    <row r="2132" spans="5:7" x14ac:dyDescent="0.75">
      <c r="E2132" t="s">
        <v>91</v>
      </c>
      <c r="F2132">
        <v>2013</v>
      </c>
      <c r="G2132">
        <v>82.614940000000004</v>
      </c>
    </row>
    <row r="2133" spans="5:7" x14ac:dyDescent="0.75">
      <c r="E2133" t="s">
        <v>91</v>
      </c>
      <c r="F2133">
        <v>2014</v>
      </c>
      <c r="G2133">
        <v>98.406090000000006</v>
      </c>
    </row>
    <row r="2134" spans="5:7" x14ac:dyDescent="0.75">
      <c r="E2134" t="s">
        <v>91</v>
      </c>
      <c r="F2134">
        <v>2015</v>
      </c>
      <c r="G2134">
        <v>154.79876999999999</v>
      </c>
    </row>
    <row r="2135" spans="5:7" x14ac:dyDescent="0.75">
      <c r="E2135" t="s">
        <v>91</v>
      </c>
      <c r="F2135">
        <v>2016</v>
      </c>
      <c r="G2135">
        <v>139.1635</v>
      </c>
    </row>
    <row r="2136" spans="5:7" x14ac:dyDescent="0.75">
      <c r="E2136" t="s">
        <v>91</v>
      </c>
      <c r="F2136">
        <v>2017</v>
      </c>
      <c r="G2136">
        <v>97.592709999999997</v>
      </c>
    </row>
    <row r="2137" spans="5:7" x14ac:dyDescent="0.75">
      <c r="E2137" t="s">
        <v>91</v>
      </c>
      <c r="F2137">
        <v>2018</v>
      </c>
      <c r="G2137">
        <v>95.268960000000007</v>
      </c>
    </row>
    <row r="2138" spans="5:7" x14ac:dyDescent="0.75">
      <c r="E2138" t="s">
        <v>91</v>
      </c>
      <c r="F2138">
        <v>2019</v>
      </c>
      <c r="G2138">
        <v>98.196395999999993</v>
      </c>
    </row>
    <row r="2139" spans="5:7" x14ac:dyDescent="0.75">
      <c r="E2139" t="s">
        <v>91</v>
      </c>
      <c r="F2139">
        <v>2020</v>
      </c>
      <c r="G2139">
        <v>105.19481</v>
      </c>
    </row>
    <row r="2140" spans="5:7" x14ac:dyDescent="0.75">
      <c r="E2140" t="s">
        <v>91</v>
      </c>
      <c r="F2140">
        <v>2021</v>
      </c>
      <c r="G2140">
        <v>151.25494</v>
      </c>
    </row>
    <row r="2141" spans="5:7" x14ac:dyDescent="0.75">
      <c r="E2141" t="s">
        <v>91</v>
      </c>
      <c r="F2141">
        <v>2022</v>
      </c>
      <c r="G2141">
        <v>146.88856999999999</v>
      </c>
    </row>
    <row r="2142" spans="5:7" x14ac:dyDescent="0.75">
      <c r="E2142" t="s">
        <v>91</v>
      </c>
      <c r="F2142">
        <v>2023</v>
      </c>
      <c r="G2142">
        <v>150.76476</v>
      </c>
    </row>
    <row r="2143" spans="5:7" x14ac:dyDescent="0.75">
      <c r="E2143" t="s">
        <v>91</v>
      </c>
      <c r="F2143">
        <v>2024</v>
      </c>
      <c r="G2143">
        <v>163.70106999999999</v>
      </c>
    </row>
    <row r="2144" spans="5:7" x14ac:dyDescent="0.75">
      <c r="E2144" t="s">
        <v>92</v>
      </c>
      <c r="F2144">
        <v>2000</v>
      </c>
      <c r="G2144">
        <v>87.671229999999994</v>
      </c>
    </row>
    <row r="2145" spans="5:7" x14ac:dyDescent="0.75">
      <c r="E2145" t="s">
        <v>92</v>
      </c>
      <c r="F2145">
        <v>2001</v>
      </c>
      <c r="G2145">
        <v>87.193460000000002</v>
      </c>
    </row>
    <row r="2146" spans="5:7" x14ac:dyDescent="0.75">
      <c r="E2146" t="s">
        <v>92</v>
      </c>
      <c r="F2146">
        <v>2002</v>
      </c>
      <c r="G2146">
        <v>89.635859999999994</v>
      </c>
    </row>
    <row r="2147" spans="5:7" x14ac:dyDescent="0.75">
      <c r="E2147" t="s">
        <v>92</v>
      </c>
      <c r="F2147">
        <v>2003</v>
      </c>
      <c r="G2147">
        <v>88.888885000000002</v>
      </c>
    </row>
    <row r="2148" spans="5:7" x14ac:dyDescent="0.75">
      <c r="E2148" t="s">
        <v>92</v>
      </c>
      <c r="F2148">
        <v>2004</v>
      </c>
      <c r="G2148">
        <v>23.333334000000001</v>
      </c>
    </row>
    <row r="2149" spans="5:7" x14ac:dyDescent="0.75">
      <c r="E2149" t="s">
        <v>92</v>
      </c>
      <c r="F2149">
        <v>2005</v>
      </c>
      <c r="G2149">
        <v>22.792023</v>
      </c>
    </row>
    <row r="2150" spans="5:7" x14ac:dyDescent="0.75">
      <c r="E2150" t="s">
        <v>92</v>
      </c>
      <c r="F2150">
        <v>2006</v>
      </c>
      <c r="G2150">
        <v>25.000001999999999</v>
      </c>
    </row>
    <row r="2151" spans="5:7" x14ac:dyDescent="0.75">
      <c r="E2151" t="s">
        <v>92</v>
      </c>
      <c r="F2151">
        <v>2007</v>
      </c>
      <c r="G2151">
        <v>23.738873000000002</v>
      </c>
    </row>
    <row r="2152" spans="5:7" x14ac:dyDescent="0.75">
      <c r="E2152" t="s">
        <v>92</v>
      </c>
      <c r="F2152">
        <v>2008</v>
      </c>
      <c r="G2152">
        <v>24.193549999999998</v>
      </c>
    </row>
    <row r="2153" spans="5:7" x14ac:dyDescent="0.75">
      <c r="E2153" t="s">
        <v>92</v>
      </c>
      <c r="F2153">
        <v>2009</v>
      </c>
      <c r="G2153">
        <v>23.738873000000002</v>
      </c>
    </row>
    <row r="2154" spans="5:7" x14ac:dyDescent="0.75">
      <c r="E2154" t="s">
        <v>92</v>
      </c>
      <c r="F2154">
        <v>2010</v>
      </c>
      <c r="G2154">
        <v>23.923446999999999</v>
      </c>
    </row>
    <row r="2155" spans="5:7" x14ac:dyDescent="0.75">
      <c r="E2155" t="s">
        <v>92</v>
      </c>
      <c r="F2155">
        <v>2011</v>
      </c>
      <c r="G2155">
        <v>24.143303</v>
      </c>
    </row>
    <row r="2156" spans="5:7" x14ac:dyDescent="0.75">
      <c r="E2156" t="s">
        <v>92</v>
      </c>
      <c r="F2156">
        <v>2012</v>
      </c>
      <c r="G2156">
        <v>23.975249999999999</v>
      </c>
    </row>
    <row r="2157" spans="5:7" x14ac:dyDescent="0.75">
      <c r="E2157" t="s">
        <v>92</v>
      </c>
      <c r="F2157">
        <v>2013</v>
      </c>
      <c r="G2157">
        <v>23.437501999999999</v>
      </c>
    </row>
    <row r="2158" spans="5:7" x14ac:dyDescent="0.75">
      <c r="E2158" t="s">
        <v>92</v>
      </c>
      <c r="F2158">
        <v>2014</v>
      </c>
      <c r="G2158">
        <v>23.809525000000001</v>
      </c>
    </row>
    <row r="2159" spans="5:7" x14ac:dyDescent="0.75">
      <c r="E2159" t="s">
        <v>92</v>
      </c>
      <c r="F2159">
        <v>2015</v>
      </c>
      <c r="G2159">
        <v>148.51486</v>
      </c>
    </row>
    <row r="2160" spans="5:7" x14ac:dyDescent="0.75">
      <c r="E2160" t="s">
        <v>92</v>
      </c>
      <c r="F2160">
        <v>2016</v>
      </c>
      <c r="G2160">
        <v>302.86385999999999</v>
      </c>
    </row>
    <row r="2161" spans="5:7" x14ac:dyDescent="0.75">
      <c r="E2161" t="s">
        <v>92</v>
      </c>
      <c r="F2161">
        <v>2017</v>
      </c>
      <c r="G2161">
        <v>338.59030000000001</v>
      </c>
    </row>
    <row r="2162" spans="5:7" x14ac:dyDescent="0.75">
      <c r="E2162" t="s">
        <v>92</v>
      </c>
      <c r="F2162">
        <v>2018</v>
      </c>
      <c r="G2162">
        <v>336.14177999999998</v>
      </c>
    </row>
    <row r="2163" spans="5:7" x14ac:dyDescent="0.75">
      <c r="E2163" t="s">
        <v>92</v>
      </c>
      <c r="F2163">
        <v>2019</v>
      </c>
      <c r="G2163">
        <v>350.51215000000002</v>
      </c>
    </row>
    <row r="2164" spans="5:7" x14ac:dyDescent="0.75">
      <c r="E2164" t="s">
        <v>92</v>
      </c>
      <c r="F2164">
        <v>2020</v>
      </c>
      <c r="G2164">
        <v>278.02800000000002</v>
      </c>
    </row>
    <row r="2165" spans="5:7" x14ac:dyDescent="0.75">
      <c r="E2165" t="s">
        <v>92</v>
      </c>
      <c r="F2165">
        <v>2021</v>
      </c>
      <c r="G2165">
        <v>260.35631999999998</v>
      </c>
    </row>
    <row r="2166" spans="5:7" x14ac:dyDescent="0.75">
      <c r="E2166" t="s">
        <v>92</v>
      </c>
      <c r="F2166">
        <v>2022</v>
      </c>
      <c r="G2166">
        <v>237.26488000000001</v>
      </c>
    </row>
    <row r="2167" spans="5:7" x14ac:dyDescent="0.75">
      <c r="E2167" t="s">
        <v>92</v>
      </c>
      <c r="F2167">
        <v>2023</v>
      </c>
      <c r="G2167">
        <v>232.12237999999999</v>
      </c>
    </row>
    <row r="2168" spans="5:7" x14ac:dyDescent="0.75">
      <c r="E2168" t="s">
        <v>93</v>
      </c>
      <c r="F2168">
        <v>2000</v>
      </c>
      <c r="G2168">
        <v>147.34299999999999</v>
      </c>
    </row>
    <row r="2169" spans="5:7" x14ac:dyDescent="0.75">
      <c r="E2169" t="s">
        <v>93</v>
      </c>
      <c r="F2169">
        <v>2001</v>
      </c>
      <c r="G2169">
        <v>147.54098999999999</v>
      </c>
    </row>
    <row r="2170" spans="5:7" x14ac:dyDescent="0.75">
      <c r="E2170" t="s">
        <v>93</v>
      </c>
      <c r="F2170">
        <v>2002</v>
      </c>
      <c r="G2170">
        <v>166.24686</v>
      </c>
    </row>
    <row r="2171" spans="5:7" x14ac:dyDescent="0.75">
      <c r="E2171" t="s">
        <v>93</v>
      </c>
      <c r="F2171">
        <v>2003</v>
      </c>
      <c r="G2171">
        <v>171.28464</v>
      </c>
    </row>
    <row r="2172" spans="5:7" x14ac:dyDescent="0.75">
      <c r="E2172" t="s">
        <v>93</v>
      </c>
      <c r="F2172">
        <v>2004</v>
      </c>
      <c r="G2172">
        <v>136.46055999999999</v>
      </c>
    </row>
    <row r="2173" spans="5:7" x14ac:dyDescent="0.75">
      <c r="E2173" t="s">
        <v>93</v>
      </c>
      <c r="F2173">
        <v>2005</v>
      </c>
      <c r="G2173">
        <v>130.0813</v>
      </c>
    </row>
    <row r="2174" spans="5:7" x14ac:dyDescent="0.75">
      <c r="E2174" t="s">
        <v>93</v>
      </c>
      <c r="F2174">
        <v>2006</v>
      </c>
      <c r="G2174">
        <v>171.77914000000001</v>
      </c>
    </row>
    <row r="2175" spans="5:7" x14ac:dyDescent="0.75">
      <c r="E2175" t="s">
        <v>93</v>
      </c>
      <c r="F2175">
        <v>2007</v>
      </c>
      <c r="G2175">
        <v>163.86554000000001</v>
      </c>
    </row>
    <row r="2176" spans="5:7" x14ac:dyDescent="0.75">
      <c r="E2176" t="s">
        <v>93</v>
      </c>
      <c r="F2176">
        <v>2008</v>
      </c>
      <c r="G2176">
        <v>157.49525</v>
      </c>
    </row>
    <row r="2177" spans="5:7" x14ac:dyDescent="0.75">
      <c r="E2177" t="s">
        <v>93</v>
      </c>
      <c r="F2177">
        <v>2009</v>
      </c>
      <c r="G2177">
        <v>147.21722</v>
      </c>
    </row>
    <row r="2178" spans="5:7" x14ac:dyDescent="0.75">
      <c r="E2178" t="s">
        <v>93</v>
      </c>
      <c r="F2178">
        <v>2010</v>
      </c>
      <c r="G2178">
        <v>179.48718</v>
      </c>
    </row>
    <row r="2179" spans="5:7" x14ac:dyDescent="0.75">
      <c r="E2179" t="s">
        <v>93</v>
      </c>
      <c r="F2179">
        <v>2011</v>
      </c>
      <c r="G2179">
        <v>197.04434000000001</v>
      </c>
    </row>
    <row r="2180" spans="5:7" x14ac:dyDescent="0.75">
      <c r="E2180" t="s">
        <v>93</v>
      </c>
      <c r="F2180">
        <v>2012</v>
      </c>
      <c r="G2180">
        <v>145.86709999999999</v>
      </c>
    </row>
    <row r="2181" spans="5:7" x14ac:dyDescent="0.75">
      <c r="E2181" t="s">
        <v>93</v>
      </c>
      <c r="F2181">
        <v>2013</v>
      </c>
      <c r="G2181">
        <v>187.09676999999999</v>
      </c>
    </row>
    <row r="2182" spans="5:7" x14ac:dyDescent="0.75">
      <c r="E2182" t="s">
        <v>93</v>
      </c>
      <c r="F2182">
        <v>2014</v>
      </c>
      <c r="G2182">
        <v>202.33463</v>
      </c>
    </row>
    <row r="2183" spans="5:7" x14ac:dyDescent="0.75">
      <c r="E2183" t="s">
        <v>93</v>
      </c>
      <c r="F2183">
        <v>2015</v>
      </c>
      <c r="G2183">
        <v>220.21661</v>
      </c>
    </row>
    <row r="2184" spans="5:7" x14ac:dyDescent="0.75">
      <c r="E2184" t="s">
        <v>93</v>
      </c>
      <c r="F2184">
        <v>2016</v>
      </c>
      <c r="G2184">
        <v>204.04983999999999</v>
      </c>
    </row>
    <row r="2185" spans="5:7" x14ac:dyDescent="0.75">
      <c r="E2185" t="s">
        <v>93</v>
      </c>
      <c r="F2185">
        <v>2017</v>
      </c>
      <c r="G2185">
        <v>140.77025</v>
      </c>
    </row>
    <row r="2186" spans="5:7" x14ac:dyDescent="0.75">
      <c r="E2186" t="s">
        <v>93</v>
      </c>
      <c r="F2186">
        <v>2018</v>
      </c>
      <c r="G2186">
        <v>215.77382</v>
      </c>
    </row>
    <row r="2187" spans="5:7" x14ac:dyDescent="0.75">
      <c r="E2187" t="s">
        <v>93</v>
      </c>
      <c r="F2187">
        <v>2019</v>
      </c>
      <c r="G2187">
        <v>223.60249999999999</v>
      </c>
    </row>
    <row r="2188" spans="5:7" x14ac:dyDescent="0.75">
      <c r="E2188" t="s">
        <v>93</v>
      </c>
      <c r="F2188">
        <v>2020</v>
      </c>
      <c r="G2188">
        <v>176.57343</v>
      </c>
    </row>
    <row r="2189" spans="5:7" x14ac:dyDescent="0.75">
      <c r="E2189" t="s">
        <v>93</v>
      </c>
      <c r="F2189">
        <v>2021</v>
      </c>
      <c r="G2189">
        <v>176.06836999999999</v>
      </c>
    </row>
    <row r="2190" spans="5:7" x14ac:dyDescent="0.75">
      <c r="E2190" t="s">
        <v>93</v>
      </c>
      <c r="F2190">
        <v>2022</v>
      </c>
      <c r="G2190">
        <v>135.18886000000001</v>
      </c>
    </row>
    <row r="2191" spans="5:7" x14ac:dyDescent="0.75">
      <c r="E2191" t="s">
        <v>93</v>
      </c>
      <c r="F2191">
        <v>2023</v>
      </c>
      <c r="G2191">
        <v>119.309265</v>
      </c>
    </row>
    <row r="2192" spans="5:7" x14ac:dyDescent="0.75">
      <c r="E2192" t="s">
        <v>93</v>
      </c>
      <c r="F2192">
        <v>2024</v>
      </c>
      <c r="G2192">
        <v>136.22291999999999</v>
      </c>
    </row>
    <row r="2193" spans="5:7" x14ac:dyDescent="0.75">
      <c r="E2193" t="s">
        <v>94</v>
      </c>
      <c r="F2193">
        <v>2000</v>
      </c>
      <c r="G2193">
        <v>630.15075999999999</v>
      </c>
    </row>
    <row r="2194" spans="5:7" x14ac:dyDescent="0.75">
      <c r="E2194" t="s">
        <v>94</v>
      </c>
      <c r="F2194">
        <v>2001</v>
      </c>
      <c r="G2194">
        <v>637.18600000000004</v>
      </c>
    </row>
    <row r="2195" spans="5:7" x14ac:dyDescent="0.75">
      <c r="E2195" t="s">
        <v>94</v>
      </c>
      <c r="F2195">
        <v>2002</v>
      </c>
      <c r="G2195">
        <v>621.64499999999998</v>
      </c>
    </row>
    <row r="2196" spans="5:7" x14ac:dyDescent="0.75">
      <c r="E2196" t="s">
        <v>94</v>
      </c>
      <c r="F2196">
        <v>2003</v>
      </c>
      <c r="G2196">
        <v>591.64733999999999</v>
      </c>
    </row>
    <row r="2197" spans="5:7" x14ac:dyDescent="0.75">
      <c r="E2197" t="s">
        <v>94</v>
      </c>
      <c r="F2197">
        <v>2004</v>
      </c>
      <c r="G2197">
        <v>597.02800000000002</v>
      </c>
    </row>
    <row r="2198" spans="5:7" x14ac:dyDescent="0.75">
      <c r="E2198" t="s">
        <v>94</v>
      </c>
      <c r="F2198">
        <v>2005</v>
      </c>
      <c r="G2198">
        <v>601.0231</v>
      </c>
    </row>
    <row r="2199" spans="5:7" x14ac:dyDescent="0.75">
      <c r="E2199" t="s">
        <v>94</v>
      </c>
      <c r="F2199">
        <v>2006</v>
      </c>
      <c r="G2199">
        <v>619.59400000000005</v>
      </c>
    </row>
    <row r="2200" spans="5:7" x14ac:dyDescent="0.75">
      <c r="E2200" t="s">
        <v>94</v>
      </c>
      <c r="F2200">
        <v>2007</v>
      </c>
      <c r="G2200">
        <v>622.51653999999996</v>
      </c>
    </row>
    <row r="2201" spans="5:7" x14ac:dyDescent="0.75">
      <c r="E2201" t="s">
        <v>94</v>
      </c>
      <c r="F2201">
        <v>2008</v>
      </c>
      <c r="G2201">
        <v>639.35739999999998</v>
      </c>
    </row>
    <row r="2202" spans="5:7" x14ac:dyDescent="0.75">
      <c r="E2202" t="s">
        <v>94</v>
      </c>
      <c r="F2202">
        <v>2009</v>
      </c>
      <c r="G2202">
        <v>626.34826999999996</v>
      </c>
    </row>
    <row r="2203" spans="5:7" x14ac:dyDescent="0.75">
      <c r="E2203" t="s">
        <v>94</v>
      </c>
      <c r="F2203">
        <v>2010</v>
      </c>
      <c r="G2203">
        <v>619.98724000000004</v>
      </c>
    </row>
    <row r="2204" spans="5:7" x14ac:dyDescent="0.75">
      <c r="E2204" t="s">
        <v>94</v>
      </c>
      <c r="F2204">
        <v>2011</v>
      </c>
      <c r="G2204">
        <v>626.99390000000005</v>
      </c>
    </row>
    <row r="2205" spans="5:7" x14ac:dyDescent="0.75">
      <c r="E2205" t="s">
        <v>94</v>
      </c>
      <c r="F2205">
        <v>2012</v>
      </c>
      <c r="G2205">
        <v>619.07654000000002</v>
      </c>
    </row>
    <row r="2206" spans="5:7" x14ac:dyDescent="0.75">
      <c r="E2206" t="s">
        <v>94</v>
      </c>
      <c r="F2206">
        <v>2013</v>
      </c>
      <c r="G2206">
        <v>615.42553999999996</v>
      </c>
    </row>
    <row r="2207" spans="5:7" x14ac:dyDescent="0.75">
      <c r="E2207" t="s">
        <v>94</v>
      </c>
      <c r="F2207">
        <v>2014</v>
      </c>
      <c r="G2207">
        <v>650.52869999999996</v>
      </c>
    </row>
    <row r="2208" spans="5:7" x14ac:dyDescent="0.75">
      <c r="E2208" t="s">
        <v>94</v>
      </c>
      <c r="F2208">
        <v>2015</v>
      </c>
      <c r="G2208">
        <v>641.09439999999995</v>
      </c>
    </row>
    <row r="2209" spans="5:7" x14ac:dyDescent="0.75">
      <c r="E2209" t="s">
        <v>94</v>
      </c>
      <c r="F2209">
        <v>2016</v>
      </c>
      <c r="G2209">
        <v>643.99789999999996</v>
      </c>
    </row>
    <row r="2210" spans="5:7" x14ac:dyDescent="0.75">
      <c r="E2210" t="s">
        <v>94</v>
      </c>
      <c r="F2210">
        <v>2017</v>
      </c>
      <c r="G2210">
        <v>643.76469999999995</v>
      </c>
    </row>
    <row r="2211" spans="5:7" x14ac:dyDescent="0.75">
      <c r="E2211" t="s">
        <v>94</v>
      </c>
      <c r="F2211">
        <v>2018</v>
      </c>
      <c r="G2211">
        <v>644.26689999999996</v>
      </c>
    </row>
    <row r="2212" spans="5:7" x14ac:dyDescent="0.75">
      <c r="E2212" t="s">
        <v>94</v>
      </c>
      <c r="F2212">
        <v>2019</v>
      </c>
      <c r="G2212">
        <v>625.7527</v>
      </c>
    </row>
    <row r="2213" spans="5:7" x14ac:dyDescent="0.75">
      <c r="E2213" t="s">
        <v>94</v>
      </c>
      <c r="F2213">
        <v>2020</v>
      </c>
      <c r="G2213">
        <v>615.8904</v>
      </c>
    </row>
    <row r="2214" spans="5:7" x14ac:dyDescent="0.75">
      <c r="E2214" t="s">
        <v>94</v>
      </c>
      <c r="F2214">
        <v>2021</v>
      </c>
      <c r="G2214">
        <v>599.61310000000003</v>
      </c>
    </row>
    <row r="2215" spans="5:7" x14ac:dyDescent="0.75">
      <c r="E2215" t="s">
        <v>94</v>
      </c>
      <c r="F2215">
        <v>2022</v>
      </c>
      <c r="G2215">
        <v>379.86270000000002</v>
      </c>
    </row>
    <row r="2216" spans="5:7" x14ac:dyDescent="0.75">
      <c r="E2216" t="s">
        <v>94</v>
      </c>
      <c r="F2216">
        <v>2023</v>
      </c>
      <c r="G2216">
        <v>369.46902</v>
      </c>
    </row>
    <row r="2217" spans="5:7" x14ac:dyDescent="0.75">
      <c r="E2217" t="s">
        <v>95</v>
      </c>
      <c r="F2217">
        <v>2000</v>
      </c>
      <c r="G2217">
        <v>34.482757999999997</v>
      </c>
    </row>
    <row r="2218" spans="5:7" x14ac:dyDescent="0.75">
      <c r="E2218" t="s">
        <v>95</v>
      </c>
      <c r="F2218">
        <v>2001</v>
      </c>
      <c r="G2218">
        <v>35.714283000000002</v>
      </c>
    </row>
    <row r="2219" spans="5:7" x14ac:dyDescent="0.75">
      <c r="E2219" t="s">
        <v>95</v>
      </c>
      <c r="F2219">
        <v>2002</v>
      </c>
      <c r="G2219">
        <v>32.258063999999997</v>
      </c>
    </row>
    <row r="2220" spans="5:7" x14ac:dyDescent="0.75">
      <c r="E2220" t="s">
        <v>95</v>
      </c>
      <c r="F2220">
        <v>2003</v>
      </c>
      <c r="G2220">
        <v>31.25</v>
      </c>
    </row>
    <row r="2221" spans="5:7" x14ac:dyDescent="0.75">
      <c r="E2221" t="s">
        <v>95</v>
      </c>
      <c r="F2221">
        <v>2004</v>
      </c>
      <c r="G2221">
        <v>33.333331999999999</v>
      </c>
    </row>
    <row r="2222" spans="5:7" x14ac:dyDescent="0.75">
      <c r="E2222" t="s">
        <v>95</v>
      </c>
      <c r="F2222">
        <v>2005</v>
      </c>
      <c r="G2222">
        <v>21.739129999999999</v>
      </c>
    </row>
    <row r="2223" spans="5:7" x14ac:dyDescent="0.75">
      <c r="E2223" t="s">
        <v>95</v>
      </c>
      <c r="F2223">
        <v>2006</v>
      </c>
      <c r="G2223">
        <v>19.23077</v>
      </c>
    </row>
    <row r="2224" spans="5:7" x14ac:dyDescent="0.75">
      <c r="E2224" t="s">
        <v>95</v>
      </c>
      <c r="F2224">
        <v>2007</v>
      </c>
      <c r="G2224">
        <v>18.181818</v>
      </c>
    </row>
    <row r="2225" spans="5:7" x14ac:dyDescent="0.75">
      <c r="E2225" t="s">
        <v>95</v>
      </c>
      <c r="F2225">
        <v>2008</v>
      </c>
      <c r="G2225">
        <v>17.241378999999998</v>
      </c>
    </row>
    <row r="2226" spans="5:7" x14ac:dyDescent="0.75">
      <c r="E2226" t="s">
        <v>95</v>
      </c>
      <c r="F2226">
        <v>2009</v>
      </c>
      <c r="G2226">
        <v>30.769231999999999</v>
      </c>
    </row>
    <row r="2227" spans="5:7" x14ac:dyDescent="0.75">
      <c r="E2227" t="s">
        <v>95</v>
      </c>
      <c r="F2227">
        <v>2010</v>
      </c>
      <c r="G2227">
        <v>28.985506000000001</v>
      </c>
    </row>
    <row r="2228" spans="5:7" x14ac:dyDescent="0.75">
      <c r="E2228" t="s">
        <v>95</v>
      </c>
      <c r="F2228">
        <v>2011</v>
      </c>
      <c r="G2228">
        <v>20.408162999999998</v>
      </c>
    </row>
    <row r="2229" spans="5:7" x14ac:dyDescent="0.75">
      <c r="E2229" t="s">
        <v>95</v>
      </c>
      <c r="F2229">
        <v>2012</v>
      </c>
      <c r="G2229">
        <v>20.408162999999998</v>
      </c>
    </row>
    <row r="2230" spans="5:7" x14ac:dyDescent="0.75">
      <c r="E2230" t="s">
        <v>95</v>
      </c>
      <c r="F2230">
        <v>2013</v>
      </c>
      <c r="G2230">
        <v>19.607842999999999</v>
      </c>
    </row>
    <row r="2231" spans="5:7" x14ac:dyDescent="0.75">
      <c r="E2231" t="s">
        <v>95</v>
      </c>
      <c r="F2231">
        <v>2014</v>
      </c>
      <c r="G2231">
        <v>19.23077</v>
      </c>
    </row>
    <row r="2232" spans="5:7" x14ac:dyDescent="0.75">
      <c r="E2232" t="s">
        <v>95</v>
      </c>
      <c r="F2232">
        <v>2015</v>
      </c>
      <c r="G2232">
        <v>18.867926000000001</v>
      </c>
    </row>
    <row r="2233" spans="5:7" x14ac:dyDescent="0.75">
      <c r="E2233" t="s">
        <v>95</v>
      </c>
      <c r="F2233">
        <v>2016</v>
      </c>
      <c r="G2233">
        <v>19.23077</v>
      </c>
    </row>
    <row r="2234" spans="5:7" x14ac:dyDescent="0.75">
      <c r="E2234" t="s">
        <v>95</v>
      </c>
      <c r="F2234">
        <v>2017</v>
      </c>
      <c r="G2234">
        <v>18.518516999999999</v>
      </c>
    </row>
    <row r="2235" spans="5:7" x14ac:dyDescent="0.75">
      <c r="E2235" t="s">
        <v>95</v>
      </c>
      <c r="F2235">
        <v>2018</v>
      </c>
      <c r="G2235">
        <v>19.23077</v>
      </c>
    </row>
    <row r="2236" spans="5:7" x14ac:dyDescent="0.75">
      <c r="E2236" t="s">
        <v>95</v>
      </c>
      <c r="F2236">
        <v>2019</v>
      </c>
      <c r="G2236">
        <v>25.641026</v>
      </c>
    </row>
    <row r="2237" spans="5:7" x14ac:dyDescent="0.75">
      <c r="E2237" t="s">
        <v>95</v>
      </c>
      <c r="F2237">
        <v>2020</v>
      </c>
      <c r="G2237">
        <v>23.255814000000001</v>
      </c>
    </row>
    <row r="2238" spans="5:7" x14ac:dyDescent="0.75">
      <c r="E2238" t="s">
        <v>95</v>
      </c>
      <c r="F2238">
        <v>2021</v>
      </c>
      <c r="G2238">
        <v>18.867926000000001</v>
      </c>
    </row>
    <row r="2239" spans="5:7" x14ac:dyDescent="0.75">
      <c r="E2239" t="s">
        <v>95</v>
      </c>
      <c r="F2239">
        <v>2022</v>
      </c>
      <c r="G2239">
        <v>20.833334000000001</v>
      </c>
    </row>
    <row r="2240" spans="5:7" x14ac:dyDescent="0.75">
      <c r="E2240" t="s">
        <v>96</v>
      </c>
      <c r="F2240">
        <v>2000</v>
      </c>
      <c r="G2240">
        <v>649.99994000000004</v>
      </c>
    </row>
    <row r="2241" spans="5:7" x14ac:dyDescent="0.75">
      <c r="E2241" t="s">
        <v>96</v>
      </c>
      <c r="F2241">
        <v>2001</v>
      </c>
      <c r="G2241">
        <v>649.99994000000004</v>
      </c>
    </row>
    <row r="2242" spans="5:7" x14ac:dyDescent="0.75">
      <c r="E2242" t="s">
        <v>96</v>
      </c>
      <c r="F2242">
        <v>2002</v>
      </c>
      <c r="G2242">
        <v>649.99994000000004</v>
      </c>
    </row>
    <row r="2243" spans="5:7" x14ac:dyDescent="0.75">
      <c r="E2243" t="s">
        <v>96</v>
      </c>
      <c r="F2243">
        <v>2003</v>
      </c>
      <c r="G2243">
        <v>649.99994000000004</v>
      </c>
    </row>
    <row r="2244" spans="5:7" x14ac:dyDescent="0.75">
      <c r="E2244" t="s">
        <v>96</v>
      </c>
      <c r="F2244">
        <v>2004</v>
      </c>
      <c r="G2244">
        <v>649.99994000000004</v>
      </c>
    </row>
    <row r="2245" spans="5:7" x14ac:dyDescent="0.75">
      <c r="E2245" t="s">
        <v>96</v>
      </c>
      <c r="F2245">
        <v>2005</v>
      </c>
      <c r="G2245">
        <v>649.99994000000004</v>
      </c>
    </row>
    <row r="2246" spans="5:7" x14ac:dyDescent="0.75">
      <c r="E2246" t="s">
        <v>96</v>
      </c>
      <c r="F2246">
        <v>2006</v>
      </c>
      <c r="G2246">
        <v>649.99994000000004</v>
      </c>
    </row>
    <row r="2247" spans="5:7" x14ac:dyDescent="0.75">
      <c r="E2247" t="s">
        <v>96</v>
      </c>
      <c r="F2247">
        <v>2007</v>
      </c>
      <c r="G2247">
        <v>640</v>
      </c>
    </row>
    <row r="2248" spans="5:7" x14ac:dyDescent="0.75">
      <c r="E2248" t="s">
        <v>96</v>
      </c>
      <c r="F2248">
        <v>2008</v>
      </c>
      <c r="G2248">
        <v>640</v>
      </c>
    </row>
    <row r="2249" spans="5:7" x14ac:dyDescent="0.75">
      <c r="E2249" t="s">
        <v>96</v>
      </c>
      <c r="F2249">
        <v>2009</v>
      </c>
      <c r="G2249">
        <v>640</v>
      </c>
    </row>
    <row r="2250" spans="5:7" x14ac:dyDescent="0.75">
      <c r="E2250" t="s">
        <v>96</v>
      </c>
      <c r="F2250">
        <v>2010</v>
      </c>
      <c r="G2250">
        <v>640</v>
      </c>
    </row>
    <row r="2251" spans="5:7" x14ac:dyDescent="0.75">
      <c r="E2251" t="s">
        <v>96</v>
      </c>
      <c r="F2251">
        <v>2011</v>
      </c>
      <c r="G2251">
        <v>666.66660000000002</v>
      </c>
    </row>
    <row r="2252" spans="5:7" x14ac:dyDescent="0.75">
      <c r="E2252" t="s">
        <v>96</v>
      </c>
      <c r="F2252">
        <v>2012</v>
      </c>
      <c r="G2252">
        <v>666.66660000000002</v>
      </c>
    </row>
    <row r="2253" spans="5:7" x14ac:dyDescent="0.75">
      <c r="E2253" t="s">
        <v>96</v>
      </c>
      <c r="F2253">
        <v>2013</v>
      </c>
      <c r="G2253">
        <v>666.66660000000002</v>
      </c>
    </row>
    <row r="2254" spans="5:7" x14ac:dyDescent="0.75">
      <c r="E2254" t="s">
        <v>96</v>
      </c>
      <c r="F2254">
        <v>2014</v>
      </c>
      <c r="G2254">
        <v>666.66660000000002</v>
      </c>
    </row>
    <row r="2255" spans="5:7" x14ac:dyDescent="0.75">
      <c r="E2255" t="s">
        <v>96</v>
      </c>
      <c r="F2255">
        <v>2015</v>
      </c>
      <c r="G2255">
        <v>645.16129999999998</v>
      </c>
    </row>
    <row r="2256" spans="5:7" x14ac:dyDescent="0.75">
      <c r="E2256" t="s">
        <v>96</v>
      </c>
      <c r="F2256">
        <v>2016</v>
      </c>
      <c r="G2256">
        <v>666.66660000000002</v>
      </c>
    </row>
    <row r="2257" spans="5:7" x14ac:dyDescent="0.75">
      <c r="E2257" t="s">
        <v>96</v>
      </c>
      <c r="F2257">
        <v>2017</v>
      </c>
      <c r="G2257">
        <v>657.14290000000005</v>
      </c>
    </row>
    <row r="2258" spans="5:7" x14ac:dyDescent="0.75">
      <c r="E2258" t="s">
        <v>96</v>
      </c>
      <c r="F2258">
        <v>2018</v>
      </c>
      <c r="G2258">
        <v>439.02440000000001</v>
      </c>
    </row>
    <row r="2259" spans="5:7" x14ac:dyDescent="0.75">
      <c r="E2259" t="s">
        <v>96</v>
      </c>
      <c r="F2259">
        <v>2019</v>
      </c>
      <c r="G2259">
        <v>452.38094999999998</v>
      </c>
    </row>
    <row r="2260" spans="5:7" x14ac:dyDescent="0.75">
      <c r="E2260" t="s">
        <v>96</v>
      </c>
      <c r="F2260">
        <v>2020</v>
      </c>
      <c r="G2260">
        <v>466.66665999999998</v>
      </c>
    </row>
    <row r="2261" spans="5:7" x14ac:dyDescent="0.75">
      <c r="E2261" t="s">
        <v>96</v>
      </c>
      <c r="F2261">
        <v>2021</v>
      </c>
      <c r="G2261">
        <v>421.05259999999998</v>
      </c>
    </row>
    <row r="2262" spans="5:7" x14ac:dyDescent="0.75">
      <c r="E2262" t="s">
        <v>96</v>
      </c>
      <c r="F2262">
        <v>2022</v>
      </c>
      <c r="G2262">
        <v>435.89746000000002</v>
      </c>
    </row>
    <row r="2263" spans="5:7" x14ac:dyDescent="0.75">
      <c r="E2263" t="s">
        <v>96</v>
      </c>
      <c r="F2263">
        <v>2023</v>
      </c>
      <c r="G2263">
        <v>435.89746000000002</v>
      </c>
    </row>
    <row r="2264" spans="5:7" x14ac:dyDescent="0.75">
      <c r="E2264" t="s">
        <v>97</v>
      </c>
      <c r="F2264">
        <v>2000</v>
      </c>
      <c r="G2264">
        <v>707.74194</v>
      </c>
    </row>
    <row r="2265" spans="5:7" x14ac:dyDescent="0.75">
      <c r="E2265" t="s">
        <v>97</v>
      </c>
      <c r="F2265">
        <v>2001</v>
      </c>
      <c r="G2265">
        <v>707.63495</v>
      </c>
    </row>
    <row r="2266" spans="5:7" x14ac:dyDescent="0.75">
      <c r="E2266" t="s">
        <v>97</v>
      </c>
      <c r="F2266">
        <v>2002</v>
      </c>
      <c r="G2266">
        <v>705.64739999999995</v>
      </c>
    </row>
    <row r="2267" spans="5:7" x14ac:dyDescent="0.75">
      <c r="E2267" t="s">
        <v>97</v>
      </c>
      <c r="F2267">
        <v>2003</v>
      </c>
      <c r="G2267">
        <v>704.4855</v>
      </c>
    </row>
    <row r="2268" spans="5:7" x14ac:dyDescent="0.75">
      <c r="E2268" t="s">
        <v>97</v>
      </c>
      <c r="F2268">
        <v>2004</v>
      </c>
      <c r="G2268">
        <v>700.99005</v>
      </c>
    </row>
    <row r="2269" spans="5:7" x14ac:dyDescent="0.75">
      <c r="E2269" t="s">
        <v>97</v>
      </c>
      <c r="F2269">
        <v>2005</v>
      </c>
      <c r="G2269">
        <v>718.63806</v>
      </c>
    </row>
    <row r="2270" spans="5:7" x14ac:dyDescent="0.75">
      <c r="E2270" t="s">
        <v>97</v>
      </c>
      <c r="F2270">
        <v>2006</v>
      </c>
      <c r="G2270">
        <v>747.87879999999996</v>
      </c>
    </row>
    <row r="2271" spans="5:7" x14ac:dyDescent="0.75">
      <c r="E2271" t="s">
        <v>97</v>
      </c>
      <c r="F2271">
        <v>2007</v>
      </c>
      <c r="G2271">
        <v>757.91076999999996</v>
      </c>
    </row>
    <row r="2272" spans="5:7" x14ac:dyDescent="0.75">
      <c r="E2272" t="s">
        <v>97</v>
      </c>
      <c r="F2272">
        <v>2008</v>
      </c>
      <c r="G2272">
        <v>750.95920000000001</v>
      </c>
    </row>
    <row r="2273" spans="5:7" x14ac:dyDescent="0.75">
      <c r="E2273" t="s">
        <v>97</v>
      </c>
      <c r="F2273">
        <v>2009</v>
      </c>
      <c r="G2273">
        <v>746.87300000000005</v>
      </c>
    </row>
    <row r="2274" spans="5:7" x14ac:dyDescent="0.75">
      <c r="E2274" t="s">
        <v>97</v>
      </c>
      <c r="F2274">
        <v>2010</v>
      </c>
      <c r="G2274">
        <v>764.4348</v>
      </c>
    </row>
    <row r="2275" spans="5:7" x14ac:dyDescent="0.75">
      <c r="E2275" t="s">
        <v>97</v>
      </c>
      <c r="F2275">
        <v>2011</v>
      </c>
      <c r="G2275">
        <v>793.54089999999997</v>
      </c>
    </row>
    <row r="2276" spans="5:7" x14ac:dyDescent="0.75">
      <c r="E2276" t="s">
        <v>97</v>
      </c>
      <c r="F2276">
        <v>2012</v>
      </c>
      <c r="G2276">
        <v>794.98395000000005</v>
      </c>
    </row>
    <row r="2277" spans="5:7" x14ac:dyDescent="0.75">
      <c r="E2277" t="s">
        <v>97</v>
      </c>
      <c r="F2277">
        <v>2013</v>
      </c>
      <c r="G2277">
        <v>790.13969999999995</v>
      </c>
    </row>
    <row r="2278" spans="5:7" x14ac:dyDescent="0.75">
      <c r="E2278" t="s">
        <v>97</v>
      </c>
      <c r="F2278">
        <v>2014</v>
      </c>
      <c r="G2278">
        <v>779.75085000000001</v>
      </c>
    </row>
    <row r="2279" spans="5:7" x14ac:dyDescent="0.75">
      <c r="E2279" t="s">
        <v>97</v>
      </c>
      <c r="F2279">
        <v>2015</v>
      </c>
      <c r="G2279">
        <v>780.32529999999997</v>
      </c>
    </row>
    <row r="2280" spans="5:7" x14ac:dyDescent="0.75">
      <c r="E2280" t="s">
        <v>97</v>
      </c>
      <c r="F2280">
        <v>2016</v>
      </c>
      <c r="G2280">
        <v>822.72437000000002</v>
      </c>
    </row>
    <row r="2281" spans="5:7" x14ac:dyDescent="0.75">
      <c r="E2281" t="s">
        <v>97</v>
      </c>
      <c r="F2281">
        <v>2017</v>
      </c>
      <c r="G2281">
        <v>813.40150000000006</v>
      </c>
    </row>
    <row r="2282" spans="5:7" x14ac:dyDescent="0.75">
      <c r="E2282" t="s">
        <v>97</v>
      </c>
      <c r="F2282">
        <v>2018</v>
      </c>
      <c r="G2282">
        <v>806.61206000000004</v>
      </c>
    </row>
    <row r="2283" spans="5:7" x14ac:dyDescent="0.75">
      <c r="E2283" t="s">
        <v>97</v>
      </c>
      <c r="F2283">
        <v>2019</v>
      </c>
      <c r="G2283">
        <v>809.99130000000002</v>
      </c>
    </row>
    <row r="2284" spans="5:7" x14ac:dyDescent="0.75">
      <c r="E2284" t="s">
        <v>97</v>
      </c>
      <c r="F2284">
        <v>2020</v>
      </c>
      <c r="G2284">
        <v>824.06775000000005</v>
      </c>
    </row>
    <row r="2285" spans="5:7" x14ac:dyDescent="0.75">
      <c r="E2285" t="s">
        <v>97</v>
      </c>
      <c r="F2285">
        <v>2021</v>
      </c>
      <c r="G2285">
        <v>831.56079999999997</v>
      </c>
    </row>
    <row r="2286" spans="5:7" x14ac:dyDescent="0.75">
      <c r="E2286" t="s">
        <v>97</v>
      </c>
      <c r="F2286">
        <v>2022</v>
      </c>
      <c r="G2286">
        <v>830.5326</v>
      </c>
    </row>
    <row r="2287" spans="5:7" x14ac:dyDescent="0.75">
      <c r="E2287" t="s">
        <v>97</v>
      </c>
      <c r="F2287">
        <v>2023</v>
      </c>
      <c r="G2287">
        <v>830.5326</v>
      </c>
    </row>
    <row r="2288" spans="5:7" x14ac:dyDescent="0.75">
      <c r="E2288" t="s">
        <v>99</v>
      </c>
      <c r="F2288">
        <v>2000</v>
      </c>
      <c r="G2288">
        <v>103.32435</v>
      </c>
    </row>
    <row r="2289" spans="5:7" x14ac:dyDescent="0.75">
      <c r="E2289" t="s">
        <v>99</v>
      </c>
      <c r="F2289">
        <v>2001</v>
      </c>
      <c r="G2289">
        <v>89.83287</v>
      </c>
    </row>
    <row r="2290" spans="5:7" x14ac:dyDescent="0.75">
      <c r="E2290" t="s">
        <v>99</v>
      </c>
      <c r="F2290">
        <v>2002</v>
      </c>
      <c r="G2290">
        <v>76.923069999999996</v>
      </c>
    </row>
    <row r="2291" spans="5:7" x14ac:dyDescent="0.75">
      <c r="E2291" t="s">
        <v>99</v>
      </c>
      <c r="F2291">
        <v>2003</v>
      </c>
      <c r="G2291">
        <v>71.732200000000006</v>
      </c>
    </row>
    <row r="2292" spans="5:7" x14ac:dyDescent="0.75">
      <c r="E2292" t="s">
        <v>99</v>
      </c>
      <c r="F2292">
        <v>2004</v>
      </c>
      <c r="G2292">
        <v>77.333336000000003</v>
      </c>
    </row>
    <row r="2293" spans="5:7" x14ac:dyDescent="0.75">
      <c r="E2293" t="s">
        <v>99</v>
      </c>
      <c r="F2293">
        <v>2005</v>
      </c>
      <c r="G2293">
        <v>110.26353</v>
      </c>
    </row>
    <row r="2294" spans="5:7" x14ac:dyDescent="0.75">
      <c r="E2294" t="s">
        <v>99</v>
      </c>
      <c r="F2294">
        <v>2006</v>
      </c>
      <c r="G2294">
        <v>110.19056</v>
      </c>
    </row>
    <row r="2295" spans="5:7" x14ac:dyDescent="0.75">
      <c r="E2295" t="s">
        <v>99</v>
      </c>
      <c r="F2295">
        <v>2007</v>
      </c>
      <c r="G2295">
        <v>104.75483</v>
      </c>
    </row>
    <row r="2296" spans="5:7" x14ac:dyDescent="0.75">
      <c r="E2296" t="s">
        <v>99</v>
      </c>
      <c r="F2296">
        <v>2008</v>
      </c>
      <c r="G2296">
        <v>103.52588</v>
      </c>
    </row>
    <row r="2297" spans="5:7" x14ac:dyDescent="0.75">
      <c r="E2297" t="s">
        <v>99</v>
      </c>
      <c r="F2297">
        <v>2009</v>
      </c>
      <c r="G2297">
        <v>104.508194</v>
      </c>
    </row>
    <row r="2298" spans="5:7" x14ac:dyDescent="0.75">
      <c r="E2298" t="s">
        <v>99</v>
      </c>
      <c r="F2298">
        <v>2010</v>
      </c>
      <c r="G2298">
        <v>368</v>
      </c>
    </row>
    <row r="2299" spans="5:7" x14ac:dyDescent="0.75">
      <c r="E2299" t="s">
        <v>99</v>
      </c>
      <c r="F2299">
        <v>2011</v>
      </c>
      <c r="G2299">
        <v>322.35293999999999</v>
      </c>
    </row>
    <row r="2300" spans="5:7" x14ac:dyDescent="0.75">
      <c r="E2300" t="s">
        <v>99</v>
      </c>
      <c r="F2300">
        <v>2012</v>
      </c>
      <c r="G2300">
        <v>322.22223000000002</v>
      </c>
    </row>
    <row r="2301" spans="5:7" x14ac:dyDescent="0.75">
      <c r="E2301" t="s">
        <v>99</v>
      </c>
      <c r="F2301">
        <v>2013</v>
      </c>
      <c r="G2301">
        <v>293.55610000000001</v>
      </c>
    </row>
    <row r="2302" spans="5:7" x14ac:dyDescent="0.75">
      <c r="E2302" t="s">
        <v>99</v>
      </c>
      <c r="F2302">
        <v>2014</v>
      </c>
      <c r="G2302">
        <v>284.55282999999997</v>
      </c>
    </row>
    <row r="2303" spans="5:7" x14ac:dyDescent="0.75">
      <c r="E2303" t="s">
        <v>99</v>
      </c>
      <c r="F2303">
        <v>2015</v>
      </c>
      <c r="G2303">
        <v>295.50826999999998</v>
      </c>
    </row>
    <row r="2304" spans="5:7" x14ac:dyDescent="0.75">
      <c r="E2304" t="s">
        <v>99</v>
      </c>
      <c r="F2304">
        <v>2016</v>
      </c>
      <c r="G2304">
        <v>234.15977000000001</v>
      </c>
    </row>
    <row r="2305" spans="5:7" x14ac:dyDescent="0.75">
      <c r="E2305" t="s">
        <v>99</v>
      </c>
      <c r="F2305">
        <v>2017</v>
      </c>
      <c r="G2305">
        <v>182.58426</v>
      </c>
    </row>
    <row r="2306" spans="5:7" x14ac:dyDescent="0.75">
      <c r="E2306" t="s">
        <v>99</v>
      </c>
      <c r="F2306">
        <v>2018</v>
      </c>
      <c r="G2306">
        <v>178.08217999999999</v>
      </c>
    </row>
    <row r="2307" spans="5:7" x14ac:dyDescent="0.75">
      <c r="E2307" t="s">
        <v>99</v>
      </c>
      <c r="F2307">
        <v>2019</v>
      </c>
      <c r="G2307">
        <v>170.65869000000001</v>
      </c>
    </row>
    <row r="2308" spans="5:7" x14ac:dyDescent="0.75">
      <c r="E2308" t="s">
        <v>99</v>
      </c>
      <c r="F2308">
        <v>2020</v>
      </c>
      <c r="G2308">
        <v>231.91492</v>
      </c>
    </row>
    <row r="2309" spans="5:7" x14ac:dyDescent="0.75">
      <c r="E2309" t="s">
        <v>99</v>
      </c>
      <c r="F2309">
        <v>2021</v>
      </c>
      <c r="G2309">
        <v>220.93021999999999</v>
      </c>
    </row>
    <row r="2310" spans="5:7" x14ac:dyDescent="0.75">
      <c r="E2310" t="s">
        <v>99</v>
      </c>
      <c r="F2310">
        <v>2022</v>
      </c>
      <c r="G2310">
        <v>180.69307000000001</v>
      </c>
    </row>
    <row r="2311" spans="5:7" x14ac:dyDescent="0.75">
      <c r="E2311" t="s">
        <v>99</v>
      </c>
      <c r="F2311">
        <v>2023</v>
      </c>
      <c r="G2311">
        <v>120.9213</v>
      </c>
    </row>
    <row r="2312" spans="5:7" x14ac:dyDescent="0.75">
      <c r="E2312" t="s">
        <v>99</v>
      </c>
      <c r="F2312">
        <v>2024</v>
      </c>
      <c r="G2312">
        <v>139.34424999999999</v>
      </c>
    </row>
    <row r="2313" spans="5:7" x14ac:dyDescent="0.75">
      <c r="E2313" t="s">
        <v>100</v>
      </c>
      <c r="F2313">
        <v>2000</v>
      </c>
      <c r="G2313">
        <v>225</v>
      </c>
    </row>
    <row r="2314" spans="5:7" x14ac:dyDescent="0.75">
      <c r="E2314" t="s">
        <v>100</v>
      </c>
      <c r="F2314">
        <v>2001</v>
      </c>
      <c r="G2314">
        <v>287.35631999999998</v>
      </c>
    </row>
    <row r="2315" spans="5:7" x14ac:dyDescent="0.75">
      <c r="E2315" t="s">
        <v>100</v>
      </c>
      <c r="F2315">
        <v>2002</v>
      </c>
      <c r="G2315">
        <v>317.85714999999999</v>
      </c>
    </row>
    <row r="2316" spans="5:7" x14ac:dyDescent="0.75">
      <c r="E2316" t="s">
        <v>100</v>
      </c>
      <c r="F2316">
        <v>2003</v>
      </c>
      <c r="G2316">
        <v>318.99642999999998</v>
      </c>
    </row>
    <row r="2317" spans="5:7" x14ac:dyDescent="0.75">
      <c r="E2317" t="s">
        <v>100</v>
      </c>
      <c r="F2317">
        <v>2004</v>
      </c>
      <c r="G2317">
        <v>314.54003999999998</v>
      </c>
    </row>
    <row r="2318" spans="5:7" x14ac:dyDescent="0.75">
      <c r="E2318" t="s">
        <v>100</v>
      </c>
      <c r="F2318">
        <v>2005</v>
      </c>
      <c r="G2318">
        <v>313.43283000000002</v>
      </c>
    </row>
    <row r="2319" spans="5:7" x14ac:dyDescent="0.75">
      <c r="E2319" t="s">
        <v>100</v>
      </c>
      <c r="F2319">
        <v>2006</v>
      </c>
      <c r="G2319">
        <v>313.55932999999999</v>
      </c>
    </row>
    <row r="2320" spans="5:7" x14ac:dyDescent="0.75">
      <c r="E2320" t="s">
        <v>100</v>
      </c>
      <c r="F2320">
        <v>2007</v>
      </c>
      <c r="G2320">
        <v>310.34482000000003</v>
      </c>
    </row>
    <row r="2321" spans="5:7" x14ac:dyDescent="0.75">
      <c r="E2321" t="s">
        <v>100</v>
      </c>
      <c r="F2321">
        <v>2008</v>
      </c>
      <c r="G2321">
        <v>308.82351999999997</v>
      </c>
    </row>
    <row r="2322" spans="5:7" x14ac:dyDescent="0.75">
      <c r="E2322" t="s">
        <v>100</v>
      </c>
      <c r="F2322">
        <v>2009</v>
      </c>
      <c r="G2322">
        <v>311.11110000000002</v>
      </c>
    </row>
    <row r="2323" spans="5:7" x14ac:dyDescent="0.75">
      <c r="E2323" t="s">
        <v>100</v>
      </c>
      <c r="F2323">
        <v>2010</v>
      </c>
      <c r="G2323">
        <v>311.72840000000002</v>
      </c>
    </row>
    <row r="2324" spans="5:7" x14ac:dyDescent="0.75">
      <c r="E2324" t="s">
        <v>100</v>
      </c>
      <c r="F2324">
        <v>2011</v>
      </c>
      <c r="G2324">
        <v>314.39391999999998</v>
      </c>
    </row>
    <row r="2325" spans="5:7" x14ac:dyDescent="0.75">
      <c r="E2325" t="s">
        <v>100</v>
      </c>
      <c r="F2325">
        <v>2012</v>
      </c>
      <c r="G2325">
        <v>304.34780000000001</v>
      </c>
    </row>
    <row r="2326" spans="5:7" x14ac:dyDescent="0.75">
      <c r="E2326" t="s">
        <v>100</v>
      </c>
      <c r="F2326">
        <v>2013</v>
      </c>
      <c r="G2326">
        <v>288.04345999999998</v>
      </c>
    </row>
    <row r="2327" spans="5:7" x14ac:dyDescent="0.75">
      <c r="E2327" t="s">
        <v>100</v>
      </c>
      <c r="F2327">
        <v>2014</v>
      </c>
      <c r="G2327">
        <v>287.95812999999998</v>
      </c>
    </row>
    <row r="2328" spans="5:7" x14ac:dyDescent="0.75">
      <c r="E2328" t="s">
        <v>100</v>
      </c>
      <c r="F2328">
        <v>2015</v>
      </c>
      <c r="G2328">
        <v>268.6567</v>
      </c>
    </row>
    <row r="2329" spans="5:7" x14ac:dyDescent="0.75">
      <c r="E2329" t="s">
        <v>100</v>
      </c>
      <c r="F2329">
        <v>2016</v>
      </c>
      <c r="G2329">
        <v>215.18987000000001</v>
      </c>
    </row>
    <row r="2330" spans="5:7" x14ac:dyDescent="0.75">
      <c r="E2330" t="s">
        <v>100</v>
      </c>
      <c r="F2330">
        <v>2017</v>
      </c>
      <c r="G2330">
        <v>188.88890000000001</v>
      </c>
    </row>
    <row r="2331" spans="5:7" x14ac:dyDescent="0.75">
      <c r="E2331" t="s">
        <v>100</v>
      </c>
      <c r="F2331">
        <v>2018</v>
      </c>
      <c r="G2331">
        <v>187.50002000000001</v>
      </c>
    </row>
    <row r="2332" spans="5:7" x14ac:dyDescent="0.75">
      <c r="E2332" t="s">
        <v>100</v>
      </c>
      <c r="F2332">
        <v>2019</v>
      </c>
      <c r="G2332">
        <v>168.2243</v>
      </c>
    </row>
    <row r="2333" spans="5:7" x14ac:dyDescent="0.75">
      <c r="E2333" t="s">
        <v>100</v>
      </c>
      <c r="F2333">
        <v>2020</v>
      </c>
      <c r="G2333">
        <v>163.93441999999999</v>
      </c>
    </row>
    <row r="2334" spans="5:7" x14ac:dyDescent="0.75">
      <c r="E2334" t="s">
        <v>100</v>
      </c>
      <c r="F2334">
        <v>2021</v>
      </c>
      <c r="G2334">
        <v>162.60162</v>
      </c>
    </row>
    <row r="2335" spans="5:7" x14ac:dyDescent="0.75">
      <c r="E2335" t="s">
        <v>100</v>
      </c>
      <c r="F2335">
        <v>2022</v>
      </c>
      <c r="G2335">
        <v>141.66666000000001</v>
      </c>
    </row>
    <row r="2336" spans="5:7" x14ac:dyDescent="0.75">
      <c r="E2336" t="s">
        <v>100</v>
      </c>
      <c r="F2336">
        <v>2023</v>
      </c>
      <c r="G2336">
        <v>122.30216</v>
      </c>
    </row>
    <row r="2337" spans="5:7" x14ac:dyDescent="0.75">
      <c r="E2337" t="s">
        <v>100</v>
      </c>
      <c r="F2337">
        <v>2024</v>
      </c>
      <c r="G2337">
        <v>134.61538999999999</v>
      </c>
    </row>
    <row r="2338" spans="5:7" x14ac:dyDescent="0.75">
      <c r="E2338" t="s">
        <v>101</v>
      </c>
      <c r="F2338">
        <v>2000</v>
      </c>
      <c r="G2338">
        <v>244.18603999999999</v>
      </c>
    </row>
    <row r="2339" spans="5:7" x14ac:dyDescent="0.75">
      <c r="E2339" t="s">
        <v>101</v>
      </c>
      <c r="F2339">
        <v>2001</v>
      </c>
      <c r="G2339">
        <v>261.36365000000001</v>
      </c>
    </row>
    <row r="2340" spans="5:7" x14ac:dyDescent="0.75">
      <c r="E2340" t="s">
        <v>101</v>
      </c>
      <c r="F2340">
        <v>2002</v>
      </c>
      <c r="G2340">
        <v>244.18603999999999</v>
      </c>
    </row>
    <row r="2341" spans="5:7" x14ac:dyDescent="0.75">
      <c r="E2341" t="s">
        <v>101</v>
      </c>
      <c r="F2341">
        <v>2003</v>
      </c>
      <c r="G2341">
        <v>250</v>
      </c>
    </row>
    <row r="2342" spans="5:7" x14ac:dyDescent="0.75">
      <c r="E2342" t="s">
        <v>101</v>
      </c>
      <c r="F2342">
        <v>2004</v>
      </c>
      <c r="G2342">
        <v>266.66669999999999</v>
      </c>
    </row>
    <row r="2343" spans="5:7" x14ac:dyDescent="0.75">
      <c r="E2343" t="s">
        <v>101</v>
      </c>
      <c r="F2343">
        <v>2005</v>
      </c>
      <c r="G2343">
        <v>273.5849</v>
      </c>
    </row>
    <row r="2344" spans="5:7" x14ac:dyDescent="0.75">
      <c r="E2344" t="s">
        <v>101</v>
      </c>
      <c r="F2344">
        <v>2006</v>
      </c>
      <c r="G2344">
        <v>271.02800000000002</v>
      </c>
    </row>
    <row r="2345" spans="5:7" x14ac:dyDescent="0.75">
      <c r="E2345" t="s">
        <v>101</v>
      </c>
      <c r="F2345">
        <v>2007</v>
      </c>
      <c r="G2345">
        <v>250</v>
      </c>
    </row>
    <row r="2346" spans="5:7" x14ac:dyDescent="0.75">
      <c r="E2346" t="s">
        <v>101</v>
      </c>
      <c r="F2346">
        <v>2008</v>
      </c>
      <c r="G2346">
        <v>288.13562000000002</v>
      </c>
    </row>
    <row r="2347" spans="5:7" x14ac:dyDescent="0.75">
      <c r="E2347" t="s">
        <v>101</v>
      </c>
      <c r="F2347">
        <v>2009</v>
      </c>
      <c r="G2347">
        <v>268.90753000000001</v>
      </c>
    </row>
    <row r="2348" spans="5:7" x14ac:dyDescent="0.75">
      <c r="E2348" t="s">
        <v>101</v>
      </c>
      <c r="F2348">
        <v>2010</v>
      </c>
      <c r="G2348">
        <v>315.38459999999998</v>
      </c>
    </row>
    <row r="2349" spans="5:7" x14ac:dyDescent="0.75">
      <c r="E2349" t="s">
        <v>101</v>
      </c>
      <c r="F2349">
        <v>2011</v>
      </c>
      <c r="G2349">
        <v>367.34694999999999</v>
      </c>
    </row>
    <row r="2350" spans="5:7" x14ac:dyDescent="0.75">
      <c r="E2350" t="s">
        <v>101</v>
      </c>
      <c r="F2350">
        <v>2012</v>
      </c>
      <c r="G2350">
        <v>358.97437000000002</v>
      </c>
    </row>
    <row r="2351" spans="5:7" x14ac:dyDescent="0.75">
      <c r="E2351" t="s">
        <v>101</v>
      </c>
      <c r="F2351">
        <v>2013</v>
      </c>
      <c r="G2351">
        <v>351.51513999999997</v>
      </c>
    </row>
    <row r="2352" spans="5:7" x14ac:dyDescent="0.75">
      <c r="E2352" t="s">
        <v>101</v>
      </c>
      <c r="F2352">
        <v>2014</v>
      </c>
      <c r="G2352">
        <v>331.39532000000003</v>
      </c>
    </row>
    <row r="2353" spans="5:7" x14ac:dyDescent="0.75">
      <c r="E2353" t="s">
        <v>101</v>
      </c>
      <c r="F2353">
        <v>2015</v>
      </c>
      <c r="G2353">
        <v>324.02233999999999</v>
      </c>
    </row>
    <row r="2354" spans="5:7" x14ac:dyDescent="0.75">
      <c r="E2354" t="s">
        <v>101</v>
      </c>
      <c r="F2354">
        <v>2016</v>
      </c>
      <c r="G2354">
        <v>357.89474000000001</v>
      </c>
    </row>
    <row r="2355" spans="5:7" x14ac:dyDescent="0.75">
      <c r="E2355" t="s">
        <v>101</v>
      </c>
      <c r="F2355">
        <v>2017</v>
      </c>
      <c r="G2355">
        <v>409.09089999999998</v>
      </c>
    </row>
    <row r="2356" spans="5:7" x14ac:dyDescent="0.75">
      <c r="E2356" t="s">
        <v>101</v>
      </c>
      <c r="F2356">
        <v>2018</v>
      </c>
      <c r="G2356">
        <v>424.36971999999997</v>
      </c>
    </row>
    <row r="2357" spans="5:7" x14ac:dyDescent="0.75">
      <c r="E2357" t="s">
        <v>101</v>
      </c>
      <c r="F2357">
        <v>2019</v>
      </c>
      <c r="G2357">
        <v>449.39269999999999</v>
      </c>
    </row>
    <row r="2358" spans="5:7" x14ac:dyDescent="0.75">
      <c r="E2358" t="s">
        <v>101</v>
      </c>
      <c r="F2358">
        <v>2020</v>
      </c>
      <c r="G2358">
        <v>416.66663</v>
      </c>
    </row>
    <row r="2359" spans="5:7" x14ac:dyDescent="0.75">
      <c r="E2359" t="s">
        <v>101</v>
      </c>
      <c r="F2359">
        <v>2021</v>
      </c>
      <c r="G2359">
        <v>486.16602</v>
      </c>
    </row>
    <row r="2360" spans="5:7" x14ac:dyDescent="0.75">
      <c r="E2360" t="s">
        <v>101</v>
      </c>
      <c r="F2360">
        <v>2022</v>
      </c>
      <c r="G2360">
        <v>477.27269999999999</v>
      </c>
    </row>
    <row r="2361" spans="5:7" x14ac:dyDescent="0.75">
      <c r="E2361" t="s">
        <v>102</v>
      </c>
      <c r="F2361">
        <v>2000</v>
      </c>
      <c r="G2361">
        <v>99.173546000000002</v>
      </c>
    </row>
    <row r="2362" spans="5:7" x14ac:dyDescent="0.75">
      <c r="E2362" t="s">
        <v>102</v>
      </c>
      <c r="F2362">
        <v>2001</v>
      </c>
      <c r="G2362">
        <v>90.163929999999993</v>
      </c>
    </row>
    <row r="2363" spans="5:7" x14ac:dyDescent="0.75">
      <c r="E2363" t="s">
        <v>102</v>
      </c>
      <c r="F2363">
        <v>2002</v>
      </c>
      <c r="G2363">
        <v>101.5625</v>
      </c>
    </row>
    <row r="2364" spans="5:7" x14ac:dyDescent="0.75">
      <c r="E2364" t="s">
        <v>102</v>
      </c>
      <c r="F2364">
        <v>2003</v>
      </c>
      <c r="G2364">
        <v>91.603059999999999</v>
      </c>
    </row>
    <row r="2365" spans="5:7" x14ac:dyDescent="0.75">
      <c r="E2365" t="s">
        <v>102</v>
      </c>
      <c r="F2365">
        <v>2004</v>
      </c>
      <c r="G2365">
        <v>95.23809</v>
      </c>
    </row>
    <row r="2366" spans="5:7" x14ac:dyDescent="0.75">
      <c r="E2366" t="s">
        <v>102</v>
      </c>
      <c r="F2366">
        <v>2005</v>
      </c>
      <c r="G2366">
        <v>98.03922</v>
      </c>
    </row>
    <row r="2367" spans="5:7" x14ac:dyDescent="0.75">
      <c r="E2367" t="s">
        <v>102</v>
      </c>
      <c r="F2367">
        <v>2006</v>
      </c>
      <c r="G2367">
        <v>95.541404999999997</v>
      </c>
    </row>
    <row r="2368" spans="5:7" x14ac:dyDescent="0.75">
      <c r="E2368" t="s">
        <v>102</v>
      </c>
      <c r="F2368">
        <v>2007</v>
      </c>
      <c r="G2368">
        <v>88.607590000000002</v>
      </c>
    </row>
    <row r="2369" spans="5:7" x14ac:dyDescent="0.75">
      <c r="E2369" t="s">
        <v>102</v>
      </c>
      <c r="F2369">
        <v>2008</v>
      </c>
      <c r="G2369">
        <v>76.470579999999998</v>
      </c>
    </row>
    <row r="2370" spans="5:7" x14ac:dyDescent="0.75">
      <c r="E2370" t="s">
        <v>102</v>
      </c>
      <c r="F2370">
        <v>2009</v>
      </c>
      <c r="G2370">
        <v>77.844309999999993</v>
      </c>
    </row>
    <row r="2371" spans="5:7" x14ac:dyDescent="0.75">
      <c r="E2371" t="s">
        <v>102</v>
      </c>
      <c r="F2371">
        <v>2010</v>
      </c>
      <c r="G2371">
        <v>67.708336000000003</v>
      </c>
    </row>
    <row r="2372" spans="5:7" x14ac:dyDescent="0.75">
      <c r="E2372" t="s">
        <v>102</v>
      </c>
      <c r="F2372">
        <v>2011</v>
      </c>
      <c r="G2372">
        <v>65.989845000000003</v>
      </c>
    </row>
    <row r="2373" spans="5:7" x14ac:dyDescent="0.75">
      <c r="E2373" t="s">
        <v>102</v>
      </c>
      <c r="F2373">
        <v>2012</v>
      </c>
      <c r="G2373">
        <v>68.292689999999993</v>
      </c>
    </row>
    <row r="2374" spans="5:7" x14ac:dyDescent="0.75">
      <c r="E2374" t="s">
        <v>102</v>
      </c>
      <c r="F2374">
        <v>2013</v>
      </c>
      <c r="G2374">
        <v>68.292689999999993</v>
      </c>
    </row>
    <row r="2375" spans="5:7" x14ac:dyDescent="0.75">
      <c r="E2375" t="s">
        <v>102</v>
      </c>
      <c r="F2375">
        <v>2014</v>
      </c>
      <c r="G2375">
        <v>64.516130000000004</v>
      </c>
    </row>
    <row r="2376" spans="5:7" x14ac:dyDescent="0.75">
      <c r="E2376" t="s">
        <v>102</v>
      </c>
      <c r="F2376">
        <v>2015</v>
      </c>
      <c r="G2376">
        <v>69.124430000000004</v>
      </c>
    </row>
    <row r="2377" spans="5:7" x14ac:dyDescent="0.75">
      <c r="E2377" t="s">
        <v>102</v>
      </c>
      <c r="F2377">
        <v>2016</v>
      </c>
      <c r="G2377">
        <v>69.767439999999993</v>
      </c>
    </row>
    <row r="2378" spans="5:7" x14ac:dyDescent="0.75">
      <c r="E2378" t="s">
        <v>102</v>
      </c>
      <c r="F2378">
        <v>2017</v>
      </c>
      <c r="G2378">
        <v>26.17801</v>
      </c>
    </row>
    <row r="2379" spans="5:7" x14ac:dyDescent="0.75">
      <c r="E2379" t="s">
        <v>102</v>
      </c>
      <c r="F2379">
        <v>2018</v>
      </c>
      <c r="G2379">
        <v>143.64641</v>
      </c>
    </row>
    <row r="2380" spans="5:7" x14ac:dyDescent="0.75">
      <c r="E2380" t="s">
        <v>102</v>
      </c>
      <c r="F2380">
        <v>2019</v>
      </c>
      <c r="G2380">
        <v>55.555557</v>
      </c>
    </row>
    <row r="2381" spans="5:7" x14ac:dyDescent="0.75">
      <c r="E2381" t="s">
        <v>102</v>
      </c>
      <c r="F2381">
        <v>2020</v>
      </c>
      <c r="G2381">
        <v>34.285713000000001</v>
      </c>
    </row>
    <row r="2382" spans="5:7" x14ac:dyDescent="0.75">
      <c r="E2382" t="s">
        <v>102</v>
      </c>
      <c r="F2382">
        <v>2021</v>
      </c>
      <c r="G2382">
        <v>54.64481</v>
      </c>
    </row>
    <row r="2383" spans="5:7" x14ac:dyDescent="0.75">
      <c r="E2383" t="s">
        <v>102</v>
      </c>
      <c r="F2383">
        <v>2022</v>
      </c>
      <c r="G2383">
        <v>54.64481</v>
      </c>
    </row>
    <row r="2384" spans="5:7" x14ac:dyDescent="0.75">
      <c r="E2384" t="s">
        <v>103</v>
      </c>
      <c r="F2384">
        <v>2000</v>
      </c>
      <c r="G2384">
        <v>581.83119999999997</v>
      </c>
    </row>
    <row r="2385" spans="5:7" x14ac:dyDescent="0.75">
      <c r="E2385" t="s">
        <v>103</v>
      </c>
      <c r="F2385">
        <v>2001</v>
      </c>
      <c r="G2385">
        <v>600.02639999999997</v>
      </c>
    </row>
    <row r="2386" spans="5:7" x14ac:dyDescent="0.75">
      <c r="E2386" t="s">
        <v>103</v>
      </c>
      <c r="F2386">
        <v>2002</v>
      </c>
      <c r="G2386">
        <v>618.27625</v>
      </c>
    </row>
    <row r="2387" spans="5:7" x14ac:dyDescent="0.75">
      <c r="E2387" t="s">
        <v>103</v>
      </c>
      <c r="F2387">
        <v>2003</v>
      </c>
      <c r="G2387">
        <v>631.13679999999999</v>
      </c>
    </row>
    <row r="2388" spans="5:7" x14ac:dyDescent="0.75">
      <c r="E2388" t="s">
        <v>103</v>
      </c>
      <c r="F2388">
        <v>2004</v>
      </c>
      <c r="G2388">
        <v>649.80219999999997</v>
      </c>
    </row>
    <row r="2389" spans="5:7" x14ac:dyDescent="0.75">
      <c r="E2389" t="s">
        <v>103</v>
      </c>
      <c r="F2389">
        <v>2005</v>
      </c>
      <c r="G2389">
        <v>652.45569999999998</v>
      </c>
    </row>
    <row r="2390" spans="5:7" x14ac:dyDescent="0.75">
      <c r="E2390" t="s">
        <v>103</v>
      </c>
      <c r="F2390">
        <v>2006</v>
      </c>
      <c r="G2390">
        <v>652.65894000000003</v>
      </c>
    </row>
    <row r="2391" spans="5:7" x14ac:dyDescent="0.75">
      <c r="E2391" t="s">
        <v>103</v>
      </c>
      <c r="F2391">
        <v>2007</v>
      </c>
      <c r="G2391">
        <v>662.27544999999998</v>
      </c>
    </row>
    <row r="2392" spans="5:7" x14ac:dyDescent="0.75">
      <c r="E2392" t="s">
        <v>103</v>
      </c>
      <c r="F2392">
        <v>2008</v>
      </c>
      <c r="G2392">
        <v>651.05859999999996</v>
      </c>
    </row>
    <row r="2393" spans="5:7" x14ac:dyDescent="0.75">
      <c r="E2393" t="s">
        <v>103</v>
      </c>
      <c r="F2393">
        <v>2009</v>
      </c>
      <c r="G2393">
        <v>666.60924999999997</v>
      </c>
    </row>
    <row r="2394" spans="5:7" x14ac:dyDescent="0.75">
      <c r="E2394" t="s">
        <v>103</v>
      </c>
      <c r="F2394">
        <v>2010</v>
      </c>
      <c r="G2394">
        <v>688.97955000000002</v>
      </c>
    </row>
    <row r="2395" spans="5:7" x14ac:dyDescent="0.75">
      <c r="E2395" t="s">
        <v>103</v>
      </c>
      <c r="F2395">
        <v>2011</v>
      </c>
      <c r="G2395">
        <v>685.68506000000002</v>
      </c>
    </row>
    <row r="2396" spans="5:7" x14ac:dyDescent="0.75">
      <c r="E2396" t="s">
        <v>103</v>
      </c>
      <c r="F2396">
        <v>2012</v>
      </c>
      <c r="G2396">
        <v>682.72675000000004</v>
      </c>
    </row>
    <row r="2397" spans="5:7" x14ac:dyDescent="0.75">
      <c r="E2397" t="s">
        <v>103</v>
      </c>
      <c r="F2397">
        <v>2013</v>
      </c>
      <c r="G2397">
        <v>666.02819999999997</v>
      </c>
    </row>
    <row r="2398" spans="5:7" x14ac:dyDescent="0.75">
      <c r="E2398" t="s">
        <v>103</v>
      </c>
      <c r="F2398">
        <v>2014</v>
      </c>
      <c r="G2398">
        <v>662.30420000000004</v>
      </c>
    </row>
    <row r="2399" spans="5:7" x14ac:dyDescent="0.75">
      <c r="E2399" t="s">
        <v>103</v>
      </c>
      <c r="F2399">
        <v>2015</v>
      </c>
      <c r="G2399">
        <v>669.17589999999996</v>
      </c>
    </row>
    <row r="2400" spans="5:7" x14ac:dyDescent="0.75">
      <c r="E2400" t="s">
        <v>103</v>
      </c>
      <c r="F2400">
        <v>2016</v>
      </c>
      <c r="G2400">
        <v>649.28186000000005</v>
      </c>
    </row>
    <row r="2401" spans="5:7" x14ac:dyDescent="0.75">
      <c r="E2401" t="s">
        <v>103</v>
      </c>
      <c r="F2401">
        <v>2017</v>
      </c>
      <c r="G2401">
        <v>620.58019999999999</v>
      </c>
    </row>
    <row r="2402" spans="5:7" x14ac:dyDescent="0.75">
      <c r="E2402" t="s">
        <v>103</v>
      </c>
      <c r="F2402">
        <v>2018</v>
      </c>
      <c r="G2402">
        <v>630.32006999999999</v>
      </c>
    </row>
    <row r="2403" spans="5:7" x14ac:dyDescent="0.75">
      <c r="E2403" t="s">
        <v>103</v>
      </c>
      <c r="F2403">
        <v>2019</v>
      </c>
      <c r="G2403">
        <v>626.05039999999997</v>
      </c>
    </row>
    <row r="2404" spans="5:7" x14ac:dyDescent="0.75">
      <c r="E2404" t="s">
        <v>103</v>
      </c>
      <c r="F2404">
        <v>2020</v>
      </c>
      <c r="G2404">
        <v>633.69920000000002</v>
      </c>
    </row>
    <row r="2405" spans="5:7" x14ac:dyDescent="0.75">
      <c r="E2405" t="s">
        <v>103</v>
      </c>
      <c r="F2405">
        <v>2021</v>
      </c>
      <c r="G2405">
        <v>611.43769999999995</v>
      </c>
    </row>
    <row r="2406" spans="5:7" x14ac:dyDescent="0.75">
      <c r="E2406" t="s">
        <v>103</v>
      </c>
      <c r="F2406">
        <v>2022</v>
      </c>
      <c r="G2406">
        <v>604.04070000000002</v>
      </c>
    </row>
    <row r="2407" spans="5:7" x14ac:dyDescent="0.75">
      <c r="E2407" t="s">
        <v>103</v>
      </c>
      <c r="F2407">
        <v>2023</v>
      </c>
      <c r="G2407">
        <v>607.88073999999995</v>
      </c>
    </row>
    <row r="2408" spans="5:7" x14ac:dyDescent="0.75">
      <c r="E2408" t="s">
        <v>103</v>
      </c>
      <c r="F2408">
        <v>2024</v>
      </c>
      <c r="G2408">
        <v>604.42939999999999</v>
      </c>
    </row>
    <row r="2409" spans="5:7" x14ac:dyDescent="0.75">
      <c r="E2409" t="s">
        <v>104</v>
      </c>
      <c r="F2409">
        <v>2000</v>
      </c>
      <c r="G2409">
        <v>666.66660000000002</v>
      </c>
    </row>
    <row r="2410" spans="5:7" x14ac:dyDescent="0.75">
      <c r="E2410" t="s">
        <v>104</v>
      </c>
      <c r="F2410">
        <v>2001</v>
      </c>
      <c r="G2410">
        <v>687.5</v>
      </c>
    </row>
    <row r="2411" spans="5:7" x14ac:dyDescent="0.75">
      <c r="E2411" t="s">
        <v>104</v>
      </c>
      <c r="F2411">
        <v>2002</v>
      </c>
      <c r="G2411">
        <v>684.21050000000002</v>
      </c>
    </row>
    <row r="2412" spans="5:7" x14ac:dyDescent="0.75">
      <c r="E2412" t="s">
        <v>104</v>
      </c>
      <c r="F2412">
        <v>2003</v>
      </c>
      <c r="G2412">
        <v>636.36365000000001</v>
      </c>
    </row>
    <row r="2413" spans="5:7" x14ac:dyDescent="0.75">
      <c r="E2413" t="s">
        <v>104</v>
      </c>
      <c r="F2413">
        <v>2004</v>
      </c>
      <c r="G2413">
        <v>666.66669999999999</v>
      </c>
    </row>
    <row r="2414" spans="5:7" x14ac:dyDescent="0.75">
      <c r="E2414" t="s">
        <v>104</v>
      </c>
      <c r="F2414">
        <v>2005</v>
      </c>
      <c r="G2414">
        <v>666.66669999999999</v>
      </c>
    </row>
    <row r="2415" spans="5:7" x14ac:dyDescent="0.75">
      <c r="E2415" t="s">
        <v>104</v>
      </c>
      <c r="F2415">
        <v>2006</v>
      </c>
      <c r="G2415">
        <v>645.16129999999998</v>
      </c>
    </row>
    <row r="2416" spans="5:7" x14ac:dyDescent="0.75">
      <c r="E2416" t="s">
        <v>104</v>
      </c>
      <c r="F2416">
        <v>2007</v>
      </c>
      <c r="G2416">
        <v>657.14290000000005</v>
      </c>
    </row>
    <row r="2417" spans="5:7" x14ac:dyDescent="0.75">
      <c r="E2417" t="s">
        <v>104</v>
      </c>
      <c r="F2417">
        <v>2008</v>
      </c>
      <c r="G2417">
        <v>658.53660000000002</v>
      </c>
    </row>
    <row r="2418" spans="5:7" x14ac:dyDescent="0.75">
      <c r="E2418" t="s">
        <v>104</v>
      </c>
      <c r="F2418">
        <v>2009</v>
      </c>
      <c r="G2418">
        <v>666.66669999999999</v>
      </c>
    </row>
    <row r="2419" spans="5:7" x14ac:dyDescent="0.75">
      <c r="E2419" t="s">
        <v>104</v>
      </c>
      <c r="F2419">
        <v>2010</v>
      </c>
      <c r="G2419">
        <v>657.14290000000005</v>
      </c>
    </row>
    <row r="2420" spans="5:7" x14ac:dyDescent="0.75">
      <c r="E2420" t="s">
        <v>104</v>
      </c>
      <c r="F2420">
        <v>2011</v>
      </c>
      <c r="G2420">
        <v>657.89480000000003</v>
      </c>
    </row>
    <row r="2421" spans="5:7" x14ac:dyDescent="0.75">
      <c r="E2421" t="s">
        <v>104</v>
      </c>
      <c r="F2421">
        <v>2012</v>
      </c>
      <c r="G2421">
        <v>649.99994000000004</v>
      </c>
    </row>
    <row r="2422" spans="5:7" x14ac:dyDescent="0.75">
      <c r="E2422" t="s">
        <v>104</v>
      </c>
      <c r="F2422">
        <v>2013</v>
      </c>
      <c r="G2422">
        <v>666.66669999999999</v>
      </c>
    </row>
    <row r="2423" spans="5:7" x14ac:dyDescent="0.75">
      <c r="E2423" t="s">
        <v>104</v>
      </c>
      <c r="F2423">
        <v>2014</v>
      </c>
      <c r="G2423">
        <v>648.14813000000004</v>
      </c>
    </row>
    <row r="2424" spans="5:7" x14ac:dyDescent="0.75">
      <c r="E2424" t="s">
        <v>104</v>
      </c>
      <c r="F2424">
        <v>2015</v>
      </c>
      <c r="G2424">
        <v>645.16129999999998</v>
      </c>
    </row>
    <row r="2425" spans="5:7" x14ac:dyDescent="0.75">
      <c r="E2425" t="s">
        <v>104</v>
      </c>
      <c r="F2425">
        <v>2016</v>
      </c>
      <c r="G2425">
        <v>641.79100000000005</v>
      </c>
    </row>
    <row r="2426" spans="5:7" x14ac:dyDescent="0.75">
      <c r="E2426" t="s">
        <v>104</v>
      </c>
      <c r="F2426">
        <v>2017</v>
      </c>
      <c r="G2426">
        <v>643.8356</v>
      </c>
    </row>
    <row r="2427" spans="5:7" x14ac:dyDescent="0.75">
      <c r="E2427" t="s">
        <v>104</v>
      </c>
      <c r="F2427">
        <v>2018</v>
      </c>
      <c r="G2427">
        <v>632.91139999999996</v>
      </c>
    </row>
    <row r="2428" spans="5:7" x14ac:dyDescent="0.75">
      <c r="E2428" t="s">
        <v>104</v>
      </c>
      <c r="F2428">
        <v>2019</v>
      </c>
      <c r="G2428">
        <v>629.62963999999999</v>
      </c>
    </row>
    <row r="2429" spans="5:7" x14ac:dyDescent="0.75">
      <c r="E2429" t="s">
        <v>104</v>
      </c>
      <c r="F2429">
        <v>2020</v>
      </c>
      <c r="G2429">
        <v>621.95123000000001</v>
      </c>
    </row>
    <row r="2430" spans="5:7" x14ac:dyDescent="0.75">
      <c r="E2430" t="s">
        <v>104</v>
      </c>
      <c r="F2430">
        <v>2021</v>
      </c>
      <c r="G2430">
        <v>619.04759999999999</v>
      </c>
    </row>
    <row r="2431" spans="5:7" x14ac:dyDescent="0.75">
      <c r="E2431" t="s">
        <v>104</v>
      </c>
      <c r="F2431">
        <v>2022</v>
      </c>
      <c r="G2431">
        <v>611.76464999999996</v>
      </c>
    </row>
    <row r="2432" spans="5:7" x14ac:dyDescent="0.75">
      <c r="E2432" t="s">
        <v>104</v>
      </c>
      <c r="F2432">
        <v>2023</v>
      </c>
      <c r="G2432">
        <v>611.76464999999996</v>
      </c>
    </row>
    <row r="2433" spans="5:7" x14ac:dyDescent="0.75">
      <c r="E2433" t="s">
        <v>105</v>
      </c>
      <c r="F2433">
        <v>2000</v>
      </c>
      <c r="G2433">
        <v>500</v>
      </c>
    </row>
    <row r="2434" spans="5:7" x14ac:dyDescent="0.75">
      <c r="E2434" t="s">
        <v>105</v>
      </c>
      <c r="F2434">
        <v>2001</v>
      </c>
      <c r="G2434">
        <v>504.67288000000002</v>
      </c>
    </row>
    <row r="2435" spans="5:7" x14ac:dyDescent="0.75">
      <c r="E2435" t="s">
        <v>105</v>
      </c>
      <c r="F2435">
        <v>2002</v>
      </c>
      <c r="G2435">
        <v>504.50450000000001</v>
      </c>
    </row>
    <row r="2436" spans="5:7" x14ac:dyDescent="0.75">
      <c r="E2436" t="s">
        <v>105</v>
      </c>
      <c r="F2436">
        <v>2003</v>
      </c>
      <c r="G2436">
        <v>513.51350000000002</v>
      </c>
    </row>
    <row r="2437" spans="5:7" x14ac:dyDescent="0.75">
      <c r="E2437" t="s">
        <v>105</v>
      </c>
      <c r="F2437">
        <v>2004</v>
      </c>
      <c r="G2437">
        <v>515.87300000000005</v>
      </c>
    </row>
    <row r="2438" spans="5:7" x14ac:dyDescent="0.75">
      <c r="E2438" t="s">
        <v>105</v>
      </c>
      <c r="F2438">
        <v>2005</v>
      </c>
      <c r="G2438">
        <v>449.66442999999998</v>
      </c>
    </row>
    <row r="2439" spans="5:7" x14ac:dyDescent="0.75">
      <c r="E2439" t="s">
        <v>105</v>
      </c>
      <c r="F2439">
        <v>2006</v>
      </c>
      <c r="G2439">
        <v>445.85986000000003</v>
      </c>
    </row>
    <row r="2440" spans="5:7" x14ac:dyDescent="0.75">
      <c r="E2440" t="s">
        <v>105</v>
      </c>
      <c r="F2440">
        <v>2007</v>
      </c>
      <c r="G2440">
        <v>455.69619999999998</v>
      </c>
    </row>
    <row r="2441" spans="5:7" x14ac:dyDescent="0.75">
      <c r="E2441" t="s">
        <v>105</v>
      </c>
      <c r="F2441">
        <v>2008</v>
      </c>
      <c r="G2441">
        <v>441.98898000000003</v>
      </c>
    </row>
    <row r="2442" spans="5:7" x14ac:dyDescent="0.75">
      <c r="E2442" t="s">
        <v>105</v>
      </c>
      <c r="F2442">
        <v>2009</v>
      </c>
      <c r="G2442">
        <v>371.79486000000003</v>
      </c>
    </row>
    <row r="2443" spans="5:7" x14ac:dyDescent="0.75">
      <c r="E2443" t="s">
        <v>105</v>
      </c>
      <c r="F2443">
        <v>2010</v>
      </c>
      <c r="G2443">
        <v>351.69492000000002</v>
      </c>
    </row>
    <row r="2444" spans="5:7" x14ac:dyDescent="0.75">
      <c r="E2444" t="s">
        <v>105</v>
      </c>
      <c r="F2444">
        <v>2011</v>
      </c>
      <c r="G2444">
        <v>305.55554000000001</v>
      </c>
    </row>
    <row r="2445" spans="5:7" x14ac:dyDescent="0.75">
      <c r="E2445" t="s">
        <v>105</v>
      </c>
      <c r="F2445">
        <v>2012</v>
      </c>
      <c r="G2445">
        <v>298.7013</v>
      </c>
    </row>
    <row r="2446" spans="5:7" x14ac:dyDescent="0.75">
      <c r="E2446" t="s">
        <v>105</v>
      </c>
      <c r="F2446">
        <v>2013</v>
      </c>
      <c r="G2446">
        <v>318.18180000000001</v>
      </c>
    </row>
    <row r="2447" spans="5:7" x14ac:dyDescent="0.75">
      <c r="E2447" t="s">
        <v>105</v>
      </c>
      <c r="F2447">
        <v>2014</v>
      </c>
      <c r="G2447">
        <v>290.83667000000003</v>
      </c>
    </row>
    <row r="2448" spans="5:7" x14ac:dyDescent="0.75">
      <c r="E2448" t="s">
        <v>105</v>
      </c>
      <c r="F2448">
        <v>2015</v>
      </c>
      <c r="G2448">
        <v>358.56572999999997</v>
      </c>
    </row>
    <row r="2449" spans="5:7" x14ac:dyDescent="0.75">
      <c r="E2449" t="s">
        <v>105</v>
      </c>
      <c r="F2449">
        <v>2016</v>
      </c>
      <c r="G2449">
        <v>331.12581999999998</v>
      </c>
    </row>
    <row r="2450" spans="5:7" x14ac:dyDescent="0.75">
      <c r="E2450" t="s">
        <v>105</v>
      </c>
      <c r="F2450">
        <v>2017</v>
      </c>
      <c r="G2450">
        <v>372.09302000000002</v>
      </c>
    </row>
    <row r="2451" spans="5:7" x14ac:dyDescent="0.75">
      <c r="E2451" t="s">
        <v>105</v>
      </c>
      <c r="F2451">
        <v>2018</v>
      </c>
      <c r="G2451">
        <v>404.43216000000001</v>
      </c>
    </row>
    <row r="2452" spans="5:7" x14ac:dyDescent="0.75">
      <c r="E2452" t="s">
        <v>105</v>
      </c>
      <c r="F2452">
        <v>2019</v>
      </c>
      <c r="G2452">
        <v>417.32285000000002</v>
      </c>
    </row>
    <row r="2453" spans="5:7" x14ac:dyDescent="0.75">
      <c r="E2453" t="s">
        <v>105</v>
      </c>
      <c r="F2453">
        <v>2020</v>
      </c>
      <c r="G2453">
        <v>401.01522999999997</v>
      </c>
    </row>
    <row r="2454" spans="5:7" x14ac:dyDescent="0.75">
      <c r="E2454" t="s">
        <v>105</v>
      </c>
      <c r="F2454">
        <v>2021</v>
      </c>
      <c r="G2454">
        <v>416.24365</v>
      </c>
    </row>
    <row r="2455" spans="5:7" x14ac:dyDescent="0.75">
      <c r="E2455" t="s">
        <v>105</v>
      </c>
      <c r="F2455">
        <v>2022</v>
      </c>
      <c r="G2455">
        <v>391.70508000000001</v>
      </c>
    </row>
    <row r="2456" spans="5:7" x14ac:dyDescent="0.75">
      <c r="E2456" t="s">
        <v>105</v>
      </c>
      <c r="F2456">
        <v>2023</v>
      </c>
      <c r="G2456">
        <v>394.49542000000002</v>
      </c>
    </row>
    <row r="2457" spans="5:7" x14ac:dyDescent="0.75">
      <c r="E2457" t="s">
        <v>106</v>
      </c>
      <c r="F2457">
        <v>2000</v>
      </c>
      <c r="G2457">
        <v>656.25</v>
      </c>
    </row>
    <row r="2458" spans="5:7" x14ac:dyDescent="0.75">
      <c r="E2458" t="s">
        <v>106</v>
      </c>
      <c r="F2458">
        <v>2001</v>
      </c>
      <c r="G2458">
        <v>659.79376000000002</v>
      </c>
    </row>
    <row r="2459" spans="5:7" x14ac:dyDescent="0.75">
      <c r="E2459" t="s">
        <v>106</v>
      </c>
      <c r="F2459">
        <v>2002</v>
      </c>
      <c r="G2459">
        <v>658.53660000000002</v>
      </c>
    </row>
    <row r="2460" spans="5:7" x14ac:dyDescent="0.75">
      <c r="E2460" t="s">
        <v>106</v>
      </c>
      <c r="F2460">
        <v>2003</v>
      </c>
      <c r="G2460">
        <v>656.25</v>
      </c>
    </row>
    <row r="2461" spans="5:7" x14ac:dyDescent="0.75">
      <c r="E2461" t="s">
        <v>106</v>
      </c>
      <c r="F2461">
        <v>2004</v>
      </c>
      <c r="G2461">
        <v>657.65764999999999</v>
      </c>
    </row>
    <row r="2462" spans="5:7" x14ac:dyDescent="0.75">
      <c r="E2462" t="s">
        <v>106</v>
      </c>
      <c r="F2462">
        <v>2005</v>
      </c>
      <c r="G2462">
        <v>656.25</v>
      </c>
    </row>
    <row r="2463" spans="5:7" x14ac:dyDescent="0.75">
      <c r="E2463" t="s">
        <v>106</v>
      </c>
      <c r="F2463">
        <v>2006</v>
      </c>
      <c r="G2463">
        <v>659.29205000000002</v>
      </c>
    </row>
    <row r="2464" spans="5:7" x14ac:dyDescent="0.75">
      <c r="E2464" t="s">
        <v>106</v>
      </c>
      <c r="F2464">
        <v>2007</v>
      </c>
      <c r="G2464">
        <v>656.52170000000001</v>
      </c>
    </row>
    <row r="2465" spans="5:7" x14ac:dyDescent="0.75">
      <c r="E2465" t="s">
        <v>106</v>
      </c>
      <c r="F2465">
        <v>2008</v>
      </c>
      <c r="G2465">
        <v>658.00867000000005</v>
      </c>
    </row>
    <row r="2466" spans="5:7" x14ac:dyDescent="0.75">
      <c r="E2466" t="s">
        <v>106</v>
      </c>
      <c r="F2466">
        <v>2009</v>
      </c>
      <c r="G2466">
        <v>658.98614999999995</v>
      </c>
    </row>
    <row r="2467" spans="5:7" x14ac:dyDescent="0.75">
      <c r="E2467" t="s">
        <v>106</v>
      </c>
      <c r="F2467">
        <v>2010</v>
      </c>
      <c r="G2467">
        <v>658.76779999999997</v>
      </c>
    </row>
    <row r="2468" spans="5:7" x14ac:dyDescent="0.75">
      <c r="E2468" t="s">
        <v>106</v>
      </c>
      <c r="F2468">
        <v>2011</v>
      </c>
      <c r="G2468">
        <v>658.98614999999995</v>
      </c>
    </row>
    <row r="2469" spans="5:7" x14ac:dyDescent="0.75">
      <c r="E2469" t="s">
        <v>106</v>
      </c>
      <c r="F2469">
        <v>2012</v>
      </c>
      <c r="G2469">
        <v>647.8261</v>
      </c>
    </row>
    <row r="2470" spans="5:7" x14ac:dyDescent="0.75">
      <c r="E2470" t="s">
        <v>106</v>
      </c>
      <c r="F2470">
        <v>2013</v>
      </c>
      <c r="G2470">
        <v>646.01769999999999</v>
      </c>
    </row>
    <row r="2471" spans="5:7" x14ac:dyDescent="0.75">
      <c r="E2471" t="s">
        <v>106</v>
      </c>
      <c r="F2471">
        <v>2014</v>
      </c>
      <c r="G2471">
        <v>635.55553999999995</v>
      </c>
    </row>
    <row r="2472" spans="5:7" x14ac:dyDescent="0.75">
      <c r="E2472" t="s">
        <v>106</v>
      </c>
      <c r="F2472">
        <v>2015</v>
      </c>
      <c r="G2472">
        <v>607.69230000000005</v>
      </c>
    </row>
    <row r="2473" spans="5:7" x14ac:dyDescent="0.75">
      <c r="E2473" t="s">
        <v>106</v>
      </c>
      <c r="F2473">
        <v>2016</v>
      </c>
      <c r="G2473">
        <v>558.1395</v>
      </c>
    </row>
    <row r="2474" spans="5:7" x14ac:dyDescent="0.75">
      <c r="E2474" t="s">
        <v>106</v>
      </c>
      <c r="F2474">
        <v>2017</v>
      </c>
      <c r="G2474">
        <v>527.27277000000004</v>
      </c>
    </row>
    <row r="2475" spans="5:7" x14ac:dyDescent="0.75">
      <c r="E2475" t="s">
        <v>106</v>
      </c>
      <c r="F2475">
        <v>2018</v>
      </c>
      <c r="G2475">
        <v>512.69037000000003</v>
      </c>
    </row>
    <row r="2476" spans="5:7" x14ac:dyDescent="0.75">
      <c r="E2476" t="s">
        <v>106</v>
      </c>
      <c r="F2476">
        <v>2019</v>
      </c>
      <c r="G2476">
        <v>516.90826000000004</v>
      </c>
    </row>
    <row r="2477" spans="5:7" x14ac:dyDescent="0.75">
      <c r="E2477" t="s">
        <v>106</v>
      </c>
      <c r="F2477">
        <v>2020</v>
      </c>
      <c r="G2477">
        <v>506.97674999999998</v>
      </c>
    </row>
    <row r="2478" spans="5:7" x14ac:dyDescent="0.75">
      <c r="E2478" t="s">
        <v>106</v>
      </c>
      <c r="F2478">
        <v>2021</v>
      </c>
      <c r="G2478">
        <v>504.50450000000001</v>
      </c>
    </row>
    <row r="2479" spans="5:7" x14ac:dyDescent="0.75">
      <c r="E2479" t="s">
        <v>106</v>
      </c>
      <c r="F2479">
        <v>2022</v>
      </c>
      <c r="G2479">
        <v>500</v>
      </c>
    </row>
    <row r="2480" spans="5:7" x14ac:dyDescent="0.75">
      <c r="E2480" t="s">
        <v>106</v>
      </c>
      <c r="F2480">
        <v>2023</v>
      </c>
      <c r="G2480">
        <v>493.61703</v>
      </c>
    </row>
    <row r="2481" spans="5:7" x14ac:dyDescent="0.75">
      <c r="E2481" t="s">
        <v>106</v>
      </c>
      <c r="F2481">
        <v>2024</v>
      </c>
      <c r="G2481">
        <v>484.16289999999998</v>
      </c>
    </row>
    <row r="2482" spans="5:7" x14ac:dyDescent="0.75">
      <c r="E2482" t="s">
        <v>107</v>
      </c>
      <c r="F2482">
        <v>2000</v>
      </c>
      <c r="G2482">
        <v>619.04759999999999</v>
      </c>
    </row>
    <row r="2483" spans="5:7" x14ac:dyDescent="0.75">
      <c r="E2483" t="s">
        <v>107</v>
      </c>
      <c r="F2483">
        <v>2001</v>
      </c>
      <c r="G2483">
        <v>617.02124000000003</v>
      </c>
    </row>
    <row r="2484" spans="5:7" x14ac:dyDescent="0.75">
      <c r="E2484" t="s">
        <v>107</v>
      </c>
      <c r="F2484">
        <v>2002</v>
      </c>
      <c r="G2484">
        <v>622.64153999999996</v>
      </c>
    </row>
    <row r="2485" spans="5:7" x14ac:dyDescent="0.75">
      <c r="E2485" t="s">
        <v>107</v>
      </c>
      <c r="F2485">
        <v>2003</v>
      </c>
      <c r="G2485">
        <v>600</v>
      </c>
    </row>
    <row r="2486" spans="5:7" x14ac:dyDescent="0.75">
      <c r="E2486" t="s">
        <v>107</v>
      </c>
      <c r="F2486">
        <v>2004</v>
      </c>
      <c r="G2486">
        <v>611.11109999999996</v>
      </c>
    </row>
    <row r="2487" spans="5:7" x14ac:dyDescent="0.75">
      <c r="E2487" t="s">
        <v>107</v>
      </c>
      <c r="F2487">
        <v>2005</v>
      </c>
      <c r="G2487">
        <v>603.77359999999999</v>
      </c>
    </row>
    <row r="2488" spans="5:7" x14ac:dyDescent="0.75">
      <c r="E2488" t="s">
        <v>107</v>
      </c>
      <c r="F2488">
        <v>2006</v>
      </c>
      <c r="G2488">
        <v>612.90319999999997</v>
      </c>
    </row>
    <row r="2489" spans="5:7" x14ac:dyDescent="0.75">
      <c r="E2489" t="s">
        <v>107</v>
      </c>
      <c r="F2489">
        <v>2007</v>
      </c>
      <c r="G2489">
        <v>609.375</v>
      </c>
    </row>
    <row r="2490" spans="5:7" x14ac:dyDescent="0.75">
      <c r="E2490" t="s">
        <v>107</v>
      </c>
      <c r="F2490">
        <v>2008</v>
      </c>
      <c r="G2490">
        <v>597.22220000000004</v>
      </c>
    </row>
    <row r="2491" spans="5:7" x14ac:dyDescent="0.75">
      <c r="E2491" t="s">
        <v>107</v>
      </c>
      <c r="F2491">
        <v>2009</v>
      </c>
      <c r="G2491">
        <v>558.44159999999999</v>
      </c>
    </row>
    <row r="2492" spans="5:7" x14ac:dyDescent="0.75">
      <c r="E2492" t="s">
        <v>107</v>
      </c>
      <c r="F2492">
        <v>2010</v>
      </c>
      <c r="G2492">
        <v>564.70590000000004</v>
      </c>
    </row>
    <row r="2493" spans="5:7" x14ac:dyDescent="0.75">
      <c r="E2493" t="s">
        <v>107</v>
      </c>
      <c r="F2493">
        <v>2011</v>
      </c>
      <c r="G2493">
        <v>563.21839999999997</v>
      </c>
    </row>
    <row r="2494" spans="5:7" x14ac:dyDescent="0.75">
      <c r="E2494" t="s">
        <v>107</v>
      </c>
      <c r="F2494">
        <v>2012</v>
      </c>
      <c r="G2494">
        <v>562.50005999999996</v>
      </c>
    </row>
    <row r="2495" spans="5:7" x14ac:dyDescent="0.75">
      <c r="E2495" t="s">
        <v>107</v>
      </c>
      <c r="F2495">
        <v>2013</v>
      </c>
      <c r="G2495">
        <v>520.40814</v>
      </c>
    </row>
    <row r="2496" spans="5:7" x14ac:dyDescent="0.75">
      <c r="E2496" t="s">
        <v>107</v>
      </c>
      <c r="F2496">
        <v>2014</v>
      </c>
      <c r="G2496">
        <v>514.56309999999996</v>
      </c>
    </row>
    <row r="2497" spans="5:7" x14ac:dyDescent="0.75">
      <c r="E2497" t="s">
        <v>107</v>
      </c>
      <c r="F2497">
        <v>2015</v>
      </c>
      <c r="G2497">
        <v>474.13797</v>
      </c>
    </row>
    <row r="2498" spans="5:7" x14ac:dyDescent="0.75">
      <c r="E2498" t="s">
        <v>107</v>
      </c>
      <c r="F2498">
        <v>2016</v>
      </c>
      <c r="G2498">
        <v>491.37932999999998</v>
      </c>
    </row>
    <row r="2499" spans="5:7" x14ac:dyDescent="0.75">
      <c r="E2499" t="s">
        <v>107</v>
      </c>
      <c r="F2499">
        <v>2017</v>
      </c>
      <c r="G2499">
        <v>496.29629999999997</v>
      </c>
    </row>
    <row r="2500" spans="5:7" x14ac:dyDescent="0.75">
      <c r="E2500" t="s">
        <v>107</v>
      </c>
      <c r="F2500">
        <v>2018</v>
      </c>
      <c r="G2500">
        <v>465.75342000000001</v>
      </c>
    </row>
    <row r="2501" spans="5:7" x14ac:dyDescent="0.75">
      <c r="E2501" t="s">
        <v>107</v>
      </c>
      <c r="F2501">
        <v>2019</v>
      </c>
      <c r="G2501">
        <v>464.96814000000001</v>
      </c>
    </row>
    <row r="2502" spans="5:7" x14ac:dyDescent="0.75">
      <c r="E2502" t="s">
        <v>107</v>
      </c>
      <c r="F2502">
        <v>2020</v>
      </c>
      <c r="G2502">
        <v>472.39263999999997</v>
      </c>
    </row>
    <row r="2503" spans="5:7" x14ac:dyDescent="0.75">
      <c r="E2503" t="s">
        <v>107</v>
      </c>
      <c r="F2503">
        <v>2021</v>
      </c>
      <c r="G2503">
        <v>474.68353000000002</v>
      </c>
    </row>
    <row r="2504" spans="5:7" x14ac:dyDescent="0.75">
      <c r="E2504" t="s">
        <v>107</v>
      </c>
      <c r="F2504">
        <v>2022</v>
      </c>
      <c r="G2504">
        <v>481.70733999999999</v>
      </c>
    </row>
    <row r="2505" spans="5:7" x14ac:dyDescent="0.75">
      <c r="E2505" t="s">
        <v>108</v>
      </c>
      <c r="F2505">
        <v>2000</v>
      </c>
      <c r="G2505">
        <v>559.322</v>
      </c>
    </row>
    <row r="2506" spans="5:7" x14ac:dyDescent="0.75">
      <c r="E2506" t="s">
        <v>108</v>
      </c>
      <c r="F2506">
        <v>2001</v>
      </c>
      <c r="G2506">
        <v>567.70839999999998</v>
      </c>
    </row>
    <row r="2507" spans="5:7" x14ac:dyDescent="0.75">
      <c r="E2507" t="s">
        <v>108</v>
      </c>
      <c r="F2507">
        <v>2002</v>
      </c>
      <c r="G2507">
        <v>581.63260000000002</v>
      </c>
    </row>
    <row r="2508" spans="5:7" x14ac:dyDescent="0.75">
      <c r="E2508" t="s">
        <v>108</v>
      </c>
      <c r="F2508">
        <v>2003</v>
      </c>
      <c r="G2508">
        <v>574.16269999999997</v>
      </c>
    </row>
    <row r="2509" spans="5:7" x14ac:dyDescent="0.75">
      <c r="E2509" t="s">
        <v>108</v>
      </c>
      <c r="F2509">
        <v>2004</v>
      </c>
      <c r="G2509">
        <v>564.81479999999999</v>
      </c>
    </row>
    <row r="2510" spans="5:7" x14ac:dyDescent="0.75">
      <c r="E2510" t="s">
        <v>108</v>
      </c>
      <c r="F2510">
        <v>2005</v>
      </c>
      <c r="G2510">
        <v>592.92034999999998</v>
      </c>
    </row>
    <row r="2511" spans="5:7" x14ac:dyDescent="0.75">
      <c r="E2511" t="s">
        <v>108</v>
      </c>
      <c r="F2511">
        <v>2006</v>
      </c>
      <c r="G2511">
        <v>622.88139999999999</v>
      </c>
    </row>
    <row r="2512" spans="5:7" x14ac:dyDescent="0.75">
      <c r="E2512" t="s">
        <v>108</v>
      </c>
      <c r="F2512">
        <v>2007</v>
      </c>
      <c r="G2512">
        <v>634.1463</v>
      </c>
    </row>
    <row r="2513" spans="5:7" x14ac:dyDescent="0.75">
      <c r="E2513" t="s">
        <v>108</v>
      </c>
      <c r="F2513">
        <v>2008</v>
      </c>
      <c r="G2513">
        <v>636.71875</v>
      </c>
    </row>
    <row r="2514" spans="5:7" x14ac:dyDescent="0.75">
      <c r="E2514" t="s">
        <v>108</v>
      </c>
      <c r="F2514">
        <v>2009</v>
      </c>
      <c r="G2514">
        <v>626.45916999999997</v>
      </c>
    </row>
    <row r="2515" spans="5:7" x14ac:dyDescent="0.75">
      <c r="E2515" t="s">
        <v>108</v>
      </c>
      <c r="F2515">
        <v>2010</v>
      </c>
      <c r="G2515">
        <v>620.81780000000003</v>
      </c>
    </row>
    <row r="2516" spans="5:7" x14ac:dyDescent="0.75">
      <c r="E2516" t="s">
        <v>108</v>
      </c>
      <c r="F2516">
        <v>2011</v>
      </c>
      <c r="G2516">
        <v>648.35159999999996</v>
      </c>
    </row>
    <row r="2517" spans="5:7" x14ac:dyDescent="0.75">
      <c r="E2517" t="s">
        <v>108</v>
      </c>
      <c r="F2517">
        <v>2012</v>
      </c>
      <c r="G2517">
        <v>645.16125</v>
      </c>
    </row>
    <row r="2518" spans="5:7" x14ac:dyDescent="0.75">
      <c r="E2518" t="s">
        <v>108</v>
      </c>
      <c r="F2518">
        <v>2013</v>
      </c>
      <c r="G2518">
        <v>646.85315000000003</v>
      </c>
    </row>
    <row r="2519" spans="5:7" x14ac:dyDescent="0.75">
      <c r="E2519" t="s">
        <v>108</v>
      </c>
      <c r="F2519">
        <v>2014</v>
      </c>
      <c r="G2519">
        <v>642.85709999999995</v>
      </c>
    </row>
    <row r="2520" spans="5:7" x14ac:dyDescent="0.75">
      <c r="E2520" t="s">
        <v>108</v>
      </c>
      <c r="F2520">
        <v>2015</v>
      </c>
      <c r="G2520">
        <v>622.07360000000006</v>
      </c>
    </row>
    <row r="2521" spans="5:7" x14ac:dyDescent="0.75">
      <c r="E2521" t="s">
        <v>108</v>
      </c>
      <c r="F2521">
        <v>2016</v>
      </c>
      <c r="G2521">
        <v>632.78687000000002</v>
      </c>
    </row>
    <row r="2522" spans="5:7" x14ac:dyDescent="0.75">
      <c r="E2522" t="s">
        <v>108</v>
      </c>
      <c r="F2522">
        <v>2017</v>
      </c>
      <c r="G2522">
        <v>643.08685000000003</v>
      </c>
    </row>
    <row r="2523" spans="5:7" x14ac:dyDescent="0.75">
      <c r="E2523" t="s">
        <v>108</v>
      </c>
      <c r="F2523">
        <v>2018</v>
      </c>
      <c r="G2523">
        <v>634.61540000000002</v>
      </c>
    </row>
    <row r="2524" spans="5:7" x14ac:dyDescent="0.75">
      <c r="E2524" t="s">
        <v>108</v>
      </c>
      <c r="F2524">
        <v>2019</v>
      </c>
      <c r="G2524">
        <v>619.19506999999999</v>
      </c>
    </row>
    <row r="2525" spans="5:7" x14ac:dyDescent="0.75">
      <c r="E2525" t="s">
        <v>108</v>
      </c>
      <c r="F2525">
        <v>2020</v>
      </c>
      <c r="G2525">
        <v>613.79309999999998</v>
      </c>
    </row>
    <row r="2526" spans="5:7" x14ac:dyDescent="0.75">
      <c r="E2526" t="s">
        <v>108</v>
      </c>
      <c r="F2526">
        <v>2021</v>
      </c>
      <c r="G2526">
        <v>628.76250000000005</v>
      </c>
    </row>
    <row r="2527" spans="5:7" x14ac:dyDescent="0.75">
      <c r="E2527" t="s">
        <v>108</v>
      </c>
      <c r="F2527">
        <v>2022</v>
      </c>
      <c r="G2527">
        <v>615.38463999999999</v>
      </c>
    </row>
    <row r="2528" spans="5:7" x14ac:dyDescent="0.75">
      <c r="E2528" t="s">
        <v>108</v>
      </c>
      <c r="F2528">
        <v>2023</v>
      </c>
      <c r="G2528">
        <v>633.02750000000003</v>
      </c>
    </row>
    <row r="2529" spans="5:7" x14ac:dyDescent="0.75">
      <c r="E2529" t="s">
        <v>109</v>
      </c>
      <c r="F2529">
        <v>2000</v>
      </c>
      <c r="G2529">
        <v>525.39044000000001</v>
      </c>
    </row>
    <row r="2530" spans="5:7" x14ac:dyDescent="0.75">
      <c r="E2530" t="s">
        <v>109</v>
      </c>
      <c r="F2530">
        <v>2001</v>
      </c>
      <c r="G2530">
        <v>543.90639999999996</v>
      </c>
    </row>
    <row r="2531" spans="5:7" x14ac:dyDescent="0.75">
      <c r="E2531" t="s">
        <v>109</v>
      </c>
      <c r="F2531">
        <v>2002</v>
      </c>
      <c r="G2531">
        <v>553.42330000000004</v>
      </c>
    </row>
    <row r="2532" spans="5:7" x14ac:dyDescent="0.75">
      <c r="E2532" t="s">
        <v>109</v>
      </c>
      <c r="F2532">
        <v>2003</v>
      </c>
      <c r="G2532">
        <v>570.16449999999998</v>
      </c>
    </row>
    <row r="2533" spans="5:7" x14ac:dyDescent="0.75">
      <c r="E2533" t="s">
        <v>109</v>
      </c>
      <c r="F2533">
        <v>2004</v>
      </c>
      <c r="G2533">
        <v>553.93176000000005</v>
      </c>
    </row>
    <row r="2534" spans="5:7" x14ac:dyDescent="0.75">
      <c r="E2534" t="s">
        <v>109</v>
      </c>
      <c r="F2534">
        <v>2005</v>
      </c>
      <c r="G2534">
        <v>555.83339999999998</v>
      </c>
    </row>
    <row r="2535" spans="5:7" x14ac:dyDescent="0.75">
      <c r="E2535" t="s">
        <v>109</v>
      </c>
      <c r="F2535">
        <v>2006</v>
      </c>
      <c r="G2535">
        <v>546.80975000000001</v>
      </c>
    </row>
    <row r="2536" spans="5:7" x14ac:dyDescent="0.75">
      <c r="E2536" t="s">
        <v>109</v>
      </c>
      <c r="F2536">
        <v>2007</v>
      </c>
      <c r="G2536">
        <v>554.20489999999995</v>
      </c>
    </row>
    <row r="2537" spans="5:7" x14ac:dyDescent="0.75">
      <c r="E2537" t="s">
        <v>109</v>
      </c>
      <c r="F2537">
        <v>2008</v>
      </c>
      <c r="G2537">
        <v>522.0394</v>
      </c>
    </row>
    <row r="2538" spans="5:7" x14ac:dyDescent="0.75">
      <c r="E2538" t="s">
        <v>109</v>
      </c>
      <c r="F2538">
        <v>2009</v>
      </c>
      <c r="G2538">
        <v>554.07825000000003</v>
      </c>
    </row>
    <row r="2539" spans="5:7" x14ac:dyDescent="0.75">
      <c r="E2539" t="s">
        <v>109</v>
      </c>
      <c r="F2539">
        <v>2010</v>
      </c>
      <c r="G2539">
        <v>541.93119999999999</v>
      </c>
    </row>
    <row r="2540" spans="5:7" x14ac:dyDescent="0.75">
      <c r="E2540" t="s">
        <v>109</v>
      </c>
      <c r="F2540">
        <v>2011</v>
      </c>
      <c r="G2540">
        <v>539.7912</v>
      </c>
    </row>
    <row r="2541" spans="5:7" x14ac:dyDescent="0.75">
      <c r="E2541" t="s">
        <v>109</v>
      </c>
      <c r="F2541">
        <v>2012</v>
      </c>
      <c r="G2541">
        <v>550.25469999999996</v>
      </c>
    </row>
    <row r="2542" spans="5:7" x14ac:dyDescent="0.75">
      <c r="E2542" t="s">
        <v>109</v>
      </c>
      <c r="F2542">
        <v>2013</v>
      </c>
      <c r="G2542">
        <v>546.81610000000001</v>
      </c>
    </row>
    <row r="2543" spans="5:7" x14ac:dyDescent="0.75">
      <c r="E2543" t="s">
        <v>109</v>
      </c>
      <c r="F2543">
        <v>2014</v>
      </c>
      <c r="G2543">
        <v>525.5992</v>
      </c>
    </row>
    <row r="2544" spans="5:7" x14ac:dyDescent="0.75">
      <c r="E2544" t="s">
        <v>109</v>
      </c>
      <c r="F2544">
        <v>2015</v>
      </c>
      <c r="G2544">
        <v>533.89610000000005</v>
      </c>
    </row>
    <row r="2545" spans="5:7" x14ac:dyDescent="0.75">
      <c r="E2545" t="s">
        <v>109</v>
      </c>
      <c r="F2545">
        <v>2016</v>
      </c>
      <c r="G2545">
        <v>537.59950000000003</v>
      </c>
    </row>
    <row r="2546" spans="5:7" x14ac:dyDescent="0.75">
      <c r="E2546" t="s">
        <v>109</v>
      </c>
      <c r="F2546">
        <v>2017</v>
      </c>
      <c r="G2546">
        <v>533.68384000000003</v>
      </c>
    </row>
    <row r="2547" spans="5:7" x14ac:dyDescent="0.75">
      <c r="E2547" t="s">
        <v>109</v>
      </c>
      <c r="F2547">
        <v>2018</v>
      </c>
      <c r="G2547">
        <v>523.91989999999998</v>
      </c>
    </row>
    <row r="2548" spans="5:7" x14ac:dyDescent="0.75">
      <c r="E2548" t="s">
        <v>109</v>
      </c>
      <c r="F2548">
        <v>2019</v>
      </c>
      <c r="G2548">
        <v>525.72766000000001</v>
      </c>
    </row>
    <row r="2549" spans="5:7" x14ac:dyDescent="0.75">
      <c r="E2549" t="s">
        <v>109</v>
      </c>
      <c r="F2549">
        <v>2020</v>
      </c>
      <c r="G2549">
        <v>486.9221</v>
      </c>
    </row>
    <row r="2550" spans="5:7" x14ac:dyDescent="0.75">
      <c r="E2550" t="s">
        <v>109</v>
      </c>
      <c r="F2550">
        <v>2021</v>
      </c>
      <c r="G2550">
        <v>461.39391999999998</v>
      </c>
    </row>
    <row r="2551" spans="5:7" x14ac:dyDescent="0.75">
      <c r="E2551" t="s">
        <v>109</v>
      </c>
      <c r="F2551">
        <v>2022</v>
      </c>
      <c r="G2551">
        <v>472.58562999999998</v>
      </c>
    </row>
    <row r="2552" spans="5:7" x14ac:dyDescent="0.75">
      <c r="E2552" t="s">
        <v>109</v>
      </c>
      <c r="F2552">
        <v>2023</v>
      </c>
      <c r="G2552">
        <v>492.33505000000002</v>
      </c>
    </row>
    <row r="2553" spans="5:7" x14ac:dyDescent="0.75">
      <c r="E2553" t="s">
        <v>109</v>
      </c>
      <c r="F2553">
        <v>2024</v>
      </c>
      <c r="G2553">
        <v>484.83172999999999</v>
      </c>
    </row>
    <row r="2554" spans="5:7" x14ac:dyDescent="0.75">
      <c r="E2554" t="s">
        <v>110</v>
      </c>
      <c r="F2554">
        <v>2000</v>
      </c>
      <c r="G2554">
        <v>662.38530000000003</v>
      </c>
    </row>
    <row r="2555" spans="5:7" x14ac:dyDescent="0.75">
      <c r="E2555" t="s">
        <v>110</v>
      </c>
      <c r="F2555">
        <v>2001</v>
      </c>
      <c r="G2555">
        <v>670.08550000000002</v>
      </c>
    </row>
    <row r="2556" spans="5:7" x14ac:dyDescent="0.75">
      <c r="E2556" t="s">
        <v>110</v>
      </c>
      <c r="F2556">
        <v>2002</v>
      </c>
      <c r="G2556">
        <v>668.43975999999998</v>
      </c>
    </row>
    <row r="2557" spans="5:7" x14ac:dyDescent="0.75">
      <c r="E2557" t="s">
        <v>110</v>
      </c>
      <c r="F2557">
        <v>2003</v>
      </c>
      <c r="G2557">
        <v>668.97749999999996</v>
      </c>
    </row>
    <row r="2558" spans="5:7" x14ac:dyDescent="0.75">
      <c r="E2558" t="s">
        <v>110</v>
      </c>
      <c r="F2558">
        <v>2004</v>
      </c>
      <c r="G2558">
        <v>670.68964000000005</v>
      </c>
    </row>
    <row r="2559" spans="5:7" x14ac:dyDescent="0.75">
      <c r="E2559" t="s">
        <v>110</v>
      </c>
      <c r="F2559">
        <v>2005</v>
      </c>
      <c r="G2559">
        <v>671.69182999999998</v>
      </c>
    </row>
    <row r="2560" spans="5:7" x14ac:dyDescent="0.75">
      <c r="E2560" t="s">
        <v>110</v>
      </c>
      <c r="F2560">
        <v>2006</v>
      </c>
      <c r="G2560">
        <v>671.05259999999998</v>
      </c>
    </row>
    <row r="2561" spans="5:7" x14ac:dyDescent="0.75">
      <c r="E2561" t="s">
        <v>110</v>
      </c>
      <c r="F2561">
        <v>2007</v>
      </c>
      <c r="G2561">
        <v>671.20952999999997</v>
      </c>
    </row>
    <row r="2562" spans="5:7" x14ac:dyDescent="0.75">
      <c r="E2562" t="s">
        <v>110</v>
      </c>
      <c r="F2562">
        <v>2008</v>
      </c>
      <c r="G2562">
        <v>668.88520000000005</v>
      </c>
    </row>
    <row r="2563" spans="5:7" x14ac:dyDescent="0.75">
      <c r="E2563" t="s">
        <v>110</v>
      </c>
      <c r="F2563">
        <v>2009</v>
      </c>
      <c r="G2563">
        <v>672.05164000000002</v>
      </c>
    </row>
    <row r="2564" spans="5:7" x14ac:dyDescent="0.75">
      <c r="E2564" t="s">
        <v>110</v>
      </c>
      <c r="F2564">
        <v>2010</v>
      </c>
      <c r="G2564">
        <v>666.12114999999994</v>
      </c>
    </row>
    <row r="2565" spans="5:7" x14ac:dyDescent="0.75">
      <c r="E2565" t="s">
        <v>110</v>
      </c>
      <c r="F2565">
        <v>2011</v>
      </c>
      <c r="G2565">
        <v>669.55010000000004</v>
      </c>
    </row>
    <row r="2566" spans="5:7" x14ac:dyDescent="0.75">
      <c r="E2566" t="s">
        <v>110</v>
      </c>
      <c r="F2566">
        <v>2012</v>
      </c>
      <c r="G2566">
        <v>679.8623</v>
      </c>
    </row>
    <row r="2567" spans="5:7" x14ac:dyDescent="0.75">
      <c r="E2567" t="s">
        <v>110</v>
      </c>
      <c r="F2567">
        <v>2013</v>
      </c>
      <c r="G2567">
        <v>665.1884</v>
      </c>
    </row>
    <row r="2568" spans="5:7" x14ac:dyDescent="0.75">
      <c r="E2568" t="s">
        <v>110</v>
      </c>
      <c r="F2568">
        <v>2014</v>
      </c>
      <c r="G2568">
        <v>670.39104999999995</v>
      </c>
    </row>
    <row r="2569" spans="5:7" x14ac:dyDescent="0.75">
      <c r="E2569" t="s">
        <v>110</v>
      </c>
      <c r="F2569">
        <v>2015</v>
      </c>
      <c r="G2569">
        <v>682.11919999999998</v>
      </c>
    </row>
    <row r="2570" spans="5:7" x14ac:dyDescent="0.75">
      <c r="E2570" t="s">
        <v>110</v>
      </c>
      <c r="F2570">
        <v>2016</v>
      </c>
      <c r="G2570">
        <v>683.76070000000004</v>
      </c>
    </row>
    <row r="2571" spans="5:7" x14ac:dyDescent="0.75">
      <c r="E2571" t="s">
        <v>110</v>
      </c>
      <c r="F2571">
        <v>2017</v>
      </c>
      <c r="G2571">
        <v>669.35479999999995</v>
      </c>
    </row>
    <row r="2572" spans="5:7" x14ac:dyDescent="0.75">
      <c r="E2572" t="s">
        <v>110</v>
      </c>
      <c r="F2572">
        <v>2018</v>
      </c>
      <c r="G2572">
        <v>672.86239999999998</v>
      </c>
    </row>
    <row r="2573" spans="5:7" x14ac:dyDescent="0.75">
      <c r="E2573" t="s">
        <v>110</v>
      </c>
      <c r="F2573">
        <v>2019</v>
      </c>
      <c r="G2573">
        <v>669.59576000000004</v>
      </c>
    </row>
    <row r="2574" spans="5:7" x14ac:dyDescent="0.75">
      <c r="E2574" t="s">
        <v>110</v>
      </c>
      <c r="F2574">
        <v>2020</v>
      </c>
      <c r="G2574">
        <v>673.13915999999995</v>
      </c>
    </row>
    <row r="2575" spans="5:7" x14ac:dyDescent="0.75">
      <c r="E2575" t="s">
        <v>110</v>
      </c>
      <c r="F2575">
        <v>2021</v>
      </c>
      <c r="G2575">
        <v>668.16814999999997</v>
      </c>
    </row>
    <row r="2576" spans="5:7" x14ac:dyDescent="0.75">
      <c r="E2576" t="s">
        <v>110</v>
      </c>
      <c r="F2576">
        <v>2022</v>
      </c>
      <c r="G2576">
        <v>647.27954</v>
      </c>
    </row>
    <row r="2577" spans="5:7" x14ac:dyDescent="0.75">
      <c r="E2577" t="s">
        <v>110</v>
      </c>
      <c r="F2577">
        <v>2023</v>
      </c>
      <c r="G2577">
        <v>625.74255000000005</v>
      </c>
    </row>
    <row r="2578" spans="5:7" x14ac:dyDescent="0.75">
      <c r="E2578" t="s">
        <v>110</v>
      </c>
      <c r="F2578">
        <v>2024</v>
      </c>
      <c r="G2578">
        <v>629.55853000000002</v>
      </c>
    </row>
    <row r="2579" spans="5:7" x14ac:dyDescent="0.75">
      <c r="E2579" t="s">
        <v>112</v>
      </c>
      <c r="F2579">
        <v>2000</v>
      </c>
      <c r="G2579">
        <v>872.41376000000002</v>
      </c>
    </row>
    <row r="2580" spans="5:7" x14ac:dyDescent="0.75">
      <c r="E2580" t="s">
        <v>112</v>
      </c>
      <c r="F2580">
        <v>2001</v>
      </c>
      <c r="G2580">
        <v>872.05382999999995</v>
      </c>
    </row>
    <row r="2581" spans="5:7" x14ac:dyDescent="0.75">
      <c r="E2581" t="s">
        <v>112</v>
      </c>
      <c r="F2581">
        <v>2002</v>
      </c>
      <c r="G2581">
        <v>873.78643999999997</v>
      </c>
    </row>
    <row r="2582" spans="5:7" x14ac:dyDescent="0.75">
      <c r="E2582" t="s">
        <v>112</v>
      </c>
      <c r="F2582">
        <v>2003</v>
      </c>
      <c r="G2582">
        <v>871.3827</v>
      </c>
    </row>
    <row r="2583" spans="5:7" x14ac:dyDescent="0.75">
      <c r="E2583" t="s">
        <v>112</v>
      </c>
      <c r="F2583">
        <v>2004</v>
      </c>
      <c r="G2583">
        <v>871.95119999999997</v>
      </c>
    </row>
    <row r="2584" spans="5:7" x14ac:dyDescent="0.75">
      <c r="E2584" t="s">
        <v>112</v>
      </c>
      <c r="F2584">
        <v>2005</v>
      </c>
      <c r="G2584">
        <v>870.58820000000003</v>
      </c>
    </row>
    <row r="2585" spans="5:7" x14ac:dyDescent="0.75">
      <c r="E2585" t="s">
        <v>112</v>
      </c>
      <c r="F2585">
        <v>2006</v>
      </c>
      <c r="G2585">
        <v>872.52124000000003</v>
      </c>
    </row>
    <row r="2586" spans="5:7" x14ac:dyDescent="0.75">
      <c r="E2586" t="s">
        <v>112</v>
      </c>
      <c r="F2586">
        <v>2007</v>
      </c>
      <c r="G2586">
        <v>867.92449999999997</v>
      </c>
    </row>
    <row r="2587" spans="5:7" x14ac:dyDescent="0.75">
      <c r="E2587" t="s">
        <v>112</v>
      </c>
      <c r="F2587">
        <v>2008</v>
      </c>
      <c r="G2587">
        <v>867.5</v>
      </c>
    </row>
    <row r="2588" spans="5:7" x14ac:dyDescent="0.75">
      <c r="E2588" t="s">
        <v>112</v>
      </c>
      <c r="F2588">
        <v>2009</v>
      </c>
      <c r="G2588">
        <v>861.38616999999999</v>
      </c>
    </row>
    <row r="2589" spans="5:7" x14ac:dyDescent="0.75">
      <c r="E2589" t="s">
        <v>112</v>
      </c>
      <c r="F2589">
        <v>2010</v>
      </c>
      <c r="G2589">
        <v>856.48145</v>
      </c>
    </row>
    <row r="2590" spans="5:7" x14ac:dyDescent="0.75">
      <c r="E2590" t="s">
        <v>112</v>
      </c>
      <c r="F2590">
        <v>2011</v>
      </c>
      <c r="G2590">
        <v>854.62559999999996</v>
      </c>
    </row>
    <row r="2591" spans="5:7" x14ac:dyDescent="0.75">
      <c r="E2591" t="s">
        <v>112</v>
      </c>
      <c r="F2591">
        <v>2012</v>
      </c>
      <c r="G2591">
        <v>852.39086999999995</v>
      </c>
    </row>
    <row r="2592" spans="5:7" x14ac:dyDescent="0.75">
      <c r="E2592" t="s">
        <v>112</v>
      </c>
      <c r="F2592">
        <v>2013</v>
      </c>
      <c r="G2592">
        <v>844.62145999999996</v>
      </c>
    </row>
    <row r="2593" spans="5:7" x14ac:dyDescent="0.75">
      <c r="E2593" t="s">
        <v>112</v>
      </c>
      <c r="F2593">
        <v>2014</v>
      </c>
      <c r="G2593">
        <v>832.71375</v>
      </c>
    </row>
    <row r="2594" spans="5:7" x14ac:dyDescent="0.75">
      <c r="E2594" t="s">
        <v>112</v>
      </c>
      <c r="F2594">
        <v>2015</v>
      </c>
      <c r="G2594">
        <v>831.21594000000005</v>
      </c>
    </row>
    <row r="2595" spans="5:7" x14ac:dyDescent="0.75">
      <c r="E2595" t="s">
        <v>112</v>
      </c>
      <c r="F2595">
        <v>2016</v>
      </c>
      <c r="G2595">
        <v>830.68780000000004</v>
      </c>
    </row>
    <row r="2596" spans="5:7" x14ac:dyDescent="0.75">
      <c r="E2596" t="s">
        <v>112</v>
      </c>
      <c r="F2596">
        <v>2017</v>
      </c>
      <c r="G2596">
        <v>829.18740000000003</v>
      </c>
    </row>
    <row r="2597" spans="5:7" x14ac:dyDescent="0.75">
      <c r="E2597" t="s">
        <v>112</v>
      </c>
      <c r="F2597">
        <v>2018</v>
      </c>
      <c r="G2597">
        <v>808.2192</v>
      </c>
    </row>
    <row r="2598" spans="5:7" x14ac:dyDescent="0.75">
      <c r="E2598" t="s">
        <v>112</v>
      </c>
      <c r="F2598">
        <v>2019</v>
      </c>
      <c r="G2598">
        <v>779.53890000000001</v>
      </c>
    </row>
    <row r="2599" spans="5:7" x14ac:dyDescent="0.75">
      <c r="E2599" t="s">
        <v>112</v>
      </c>
      <c r="F2599">
        <v>2020</v>
      </c>
      <c r="G2599">
        <v>777.10839999999996</v>
      </c>
    </row>
    <row r="2600" spans="5:7" x14ac:dyDescent="0.75">
      <c r="E2600" t="s">
        <v>112</v>
      </c>
      <c r="F2600">
        <v>2021</v>
      </c>
      <c r="G2600">
        <v>770.16129999999998</v>
      </c>
    </row>
    <row r="2601" spans="5:7" x14ac:dyDescent="0.75">
      <c r="E2601" t="s">
        <v>112</v>
      </c>
      <c r="F2601">
        <v>2022</v>
      </c>
      <c r="G2601">
        <v>781.93550000000005</v>
      </c>
    </row>
    <row r="2602" spans="5:7" x14ac:dyDescent="0.75">
      <c r="E2602" t="s">
        <v>112</v>
      </c>
      <c r="F2602">
        <v>2023</v>
      </c>
      <c r="G2602">
        <v>785.08219999999994</v>
      </c>
    </row>
    <row r="2603" spans="5:7" x14ac:dyDescent="0.75">
      <c r="E2603" t="s">
        <v>112</v>
      </c>
      <c r="F2603">
        <v>2024</v>
      </c>
      <c r="G2603">
        <v>784.00959999999998</v>
      </c>
    </row>
    <row r="2604" spans="5:7" x14ac:dyDescent="0.75">
      <c r="E2604" t="s">
        <v>113</v>
      </c>
      <c r="F2604">
        <v>2005</v>
      </c>
      <c r="G2604">
        <v>369.33798000000002</v>
      </c>
    </row>
    <row r="2605" spans="5:7" x14ac:dyDescent="0.75">
      <c r="E2605" t="s">
        <v>113</v>
      </c>
      <c r="F2605">
        <v>2006</v>
      </c>
      <c r="G2605">
        <v>427.11862000000002</v>
      </c>
    </row>
    <row r="2606" spans="5:7" x14ac:dyDescent="0.75">
      <c r="E2606" t="s">
        <v>113</v>
      </c>
      <c r="F2606">
        <v>2007</v>
      </c>
      <c r="G2606">
        <v>420.56072999999998</v>
      </c>
    </row>
    <row r="2607" spans="5:7" x14ac:dyDescent="0.75">
      <c r="E2607" t="s">
        <v>113</v>
      </c>
      <c r="F2607">
        <v>2008</v>
      </c>
      <c r="G2607">
        <v>477.03183000000001</v>
      </c>
    </row>
    <row r="2608" spans="5:7" x14ac:dyDescent="0.75">
      <c r="E2608" t="s">
        <v>113</v>
      </c>
      <c r="F2608">
        <v>2009</v>
      </c>
      <c r="G2608">
        <v>271.73914000000002</v>
      </c>
    </row>
    <row r="2609" spans="5:7" x14ac:dyDescent="0.75">
      <c r="E2609" t="s">
        <v>113</v>
      </c>
      <c r="F2609">
        <v>2010</v>
      </c>
      <c r="G2609">
        <v>338.30847</v>
      </c>
    </row>
    <row r="2610" spans="5:7" x14ac:dyDescent="0.75">
      <c r="E2610" t="s">
        <v>113</v>
      </c>
      <c r="F2610">
        <v>2011</v>
      </c>
      <c r="G2610">
        <v>566.03769999999997</v>
      </c>
    </row>
    <row r="2611" spans="5:7" x14ac:dyDescent="0.75">
      <c r="E2611" t="s">
        <v>113</v>
      </c>
      <c r="F2611">
        <v>2012</v>
      </c>
      <c r="G2611">
        <v>501.75439999999998</v>
      </c>
    </row>
    <row r="2612" spans="5:7" x14ac:dyDescent="0.75">
      <c r="E2612" t="s">
        <v>113</v>
      </c>
      <c r="F2612">
        <v>2013</v>
      </c>
      <c r="G2612">
        <v>385.78680000000003</v>
      </c>
    </row>
    <row r="2613" spans="5:7" x14ac:dyDescent="0.75">
      <c r="E2613" t="s">
        <v>113</v>
      </c>
      <c r="F2613">
        <v>2014</v>
      </c>
      <c r="G2613">
        <v>466.87695000000002</v>
      </c>
    </row>
    <row r="2614" spans="5:7" x14ac:dyDescent="0.75">
      <c r="E2614" t="s">
        <v>113</v>
      </c>
      <c r="F2614">
        <v>2015</v>
      </c>
      <c r="G2614">
        <v>523.33339999999998</v>
      </c>
    </row>
    <row r="2615" spans="5:7" x14ac:dyDescent="0.75">
      <c r="E2615" t="s">
        <v>113</v>
      </c>
      <c r="F2615">
        <v>2016</v>
      </c>
      <c r="G2615">
        <v>433.12099999999998</v>
      </c>
    </row>
    <row r="2616" spans="5:7" x14ac:dyDescent="0.75">
      <c r="E2616" t="s">
        <v>113</v>
      </c>
      <c r="F2616">
        <v>2017</v>
      </c>
      <c r="G2616">
        <v>564.51610000000005</v>
      </c>
    </row>
    <row r="2617" spans="5:7" x14ac:dyDescent="0.75">
      <c r="E2617" t="s">
        <v>113</v>
      </c>
      <c r="F2617">
        <v>2018</v>
      </c>
      <c r="G2617">
        <v>426.31580000000002</v>
      </c>
    </row>
    <row r="2618" spans="5:7" x14ac:dyDescent="0.75">
      <c r="E2618" t="s">
        <v>113</v>
      </c>
      <c r="F2618">
        <v>2019</v>
      </c>
      <c r="G2618">
        <v>454.81045999999998</v>
      </c>
    </row>
    <row r="2619" spans="5:7" x14ac:dyDescent="0.75">
      <c r="E2619" t="s">
        <v>113</v>
      </c>
      <c r="F2619">
        <v>2020</v>
      </c>
      <c r="G2619">
        <v>495.5752</v>
      </c>
    </row>
    <row r="2620" spans="5:7" x14ac:dyDescent="0.75">
      <c r="E2620" t="s">
        <v>113</v>
      </c>
      <c r="F2620">
        <v>2021</v>
      </c>
      <c r="G2620">
        <v>400.53052000000002</v>
      </c>
    </row>
    <row r="2621" spans="5:7" x14ac:dyDescent="0.75">
      <c r="E2621" t="s">
        <v>113</v>
      </c>
      <c r="F2621">
        <v>2022</v>
      </c>
      <c r="G2621">
        <v>483.38369999999998</v>
      </c>
    </row>
    <row r="2622" spans="5:7" x14ac:dyDescent="0.75">
      <c r="E2622" t="s">
        <v>113</v>
      </c>
      <c r="F2622">
        <v>2023</v>
      </c>
      <c r="G2622">
        <v>407.58298000000002</v>
      </c>
    </row>
    <row r="2623" spans="5:7" x14ac:dyDescent="0.75">
      <c r="E2623" t="s">
        <v>113</v>
      </c>
      <c r="F2623">
        <v>2024</v>
      </c>
      <c r="G2623">
        <v>413.51350000000002</v>
      </c>
    </row>
    <row r="2624" spans="5:7" x14ac:dyDescent="0.75">
      <c r="E2624" t="s">
        <v>114</v>
      </c>
      <c r="F2624">
        <v>2000</v>
      </c>
      <c r="G2624">
        <v>759.1241</v>
      </c>
    </row>
    <row r="2625" spans="5:7" x14ac:dyDescent="0.75">
      <c r="E2625" t="s">
        <v>114</v>
      </c>
      <c r="F2625">
        <v>2001</v>
      </c>
      <c r="G2625">
        <v>769.23080000000004</v>
      </c>
    </row>
    <row r="2626" spans="5:7" x14ac:dyDescent="0.75">
      <c r="E2626" t="s">
        <v>114</v>
      </c>
      <c r="F2626">
        <v>2002</v>
      </c>
      <c r="G2626">
        <v>765.56290000000001</v>
      </c>
    </row>
    <row r="2627" spans="5:7" x14ac:dyDescent="0.75">
      <c r="E2627" t="s">
        <v>114</v>
      </c>
      <c r="F2627">
        <v>2003</v>
      </c>
      <c r="G2627">
        <v>735.00609999999995</v>
      </c>
    </row>
    <row r="2628" spans="5:7" x14ac:dyDescent="0.75">
      <c r="E2628" t="s">
        <v>114</v>
      </c>
      <c r="F2628">
        <v>2004</v>
      </c>
      <c r="G2628">
        <v>732.68462999999997</v>
      </c>
    </row>
    <row r="2629" spans="5:7" x14ac:dyDescent="0.75">
      <c r="E2629" t="s">
        <v>114</v>
      </c>
      <c r="F2629">
        <v>2005</v>
      </c>
      <c r="G2629">
        <v>717.03015000000005</v>
      </c>
    </row>
    <row r="2630" spans="5:7" x14ac:dyDescent="0.75">
      <c r="E2630" t="s">
        <v>114</v>
      </c>
      <c r="F2630">
        <v>2006</v>
      </c>
      <c r="G2630">
        <v>708.60590000000002</v>
      </c>
    </row>
    <row r="2631" spans="5:7" x14ac:dyDescent="0.75">
      <c r="E2631" t="s">
        <v>114</v>
      </c>
      <c r="F2631">
        <v>2007</v>
      </c>
      <c r="G2631">
        <v>707.46569999999997</v>
      </c>
    </row>
    <row r="2632" spans="5:7" x14ac:dyDescent="0.75">
      <c r="E2632" t="s">
        <v>114</v>
      </c>
      <c r="F2632">
        <v>2008</v>
      </c>
      <c r="G2632">
        <v>695.82306000000005</v>
      </c>
    </row>
    <row r="2633" spans="5:7" x14ac:dyDescent="0.75">
      <c r="E2633" t="s">
        <v>114</v>
      </c>
      <c r="F2633">
        <v>2009</v>
      </c>
      <c r="G2633">
        <v>635.45150000000001</v>
      </c>
    </row>
    <row r="2634" spans="5:7" x14ac:dyDescent="0.75">
      <c r="E2634" t="s">
        <v>114</v>
      </c>
      <c r="F2634">
        <v>2010</v>
      </c>
      <c r="G2634">
        <v>610.50323000000003</v>
      </c>
    </row>
    <row r="2635" spans="5:7" x14ac:dyDescent="0.75">
      <c r="E2635" t="s">
        <v>114</v>
      </c>
      <c r="F2635">
        <v>2011</v>
      </c>
      <c r="G2635">
        <v>652.70934999999997</v>
      </c>
    </row>
    <row r="2636" spans="5:7" x14ac:dyDescent="0.75">
      <c r="E2636" t="s">
        <v>114</v>
      </c>
      <c r="F2636">
        <v>2012</v>
      </c>
      <c r="G2636">
        <v>648.43460000000005</v>
      </c>
    </row>
    <row r="2637" spans="5:7" x14ac:dyDescent="0.75">
      <c r="E2637" t="s">
        <v>114</v>
      </c>
      <c r="F2637">
        <v>2013</v>
      </c>
      <c r="G2637">
        <v>612.47217000000001</v>
      </c>
    </row>
    <row r="2638" spans="5:7" x14ac:dyDescent="0.75">
      <c r="E2638" t="s">
        <v>114</v>
      </c>
      <c r="F2638">
        <v>2014</v>
      </c>
      <c r="G2638">
        <v>651.35333000000003</v>
      </c>
    </row>
    <row r="2639" spans="5:7" x14ac:dyDescent="0.75">
      <c r="E2639" t="s">
        <v>114</v>
      </c>
      <c r="F2639">
        <v>2015</v>
      </c>
      <c r="G2639">
        <v>639.91974000000005</v>
      </c>
    </row>
    <row r="2640" spans="5:7" x14ac:dyDescent="0.75">
      <c r="E2640" t="s">
        <v>114</v>
      </c>
      <c r="F2640">
        <v>2016</v>
      </c>
      <c r="G2640">
        <v>633.62480000000005</v>
      </c>
    </row>
    <row r="2641" spans="5:7" x14ac:dyDescent="0.75">
      <c r="E2641" t="s">
        <v>114</v>
      </c>
      <c r="F2641">
        <v>2017</v>
      </c>
      <c r="G2641">
        <v>637.4452</v>
      </c>
    </row>
    <row r="2642" spans="5:7" x14ac:dyDescent="0.75">
      <c r="E2642" t="s">
        <v>114</v>
      </c>
      <c r="F2642">
        <v>2018</v>
      </c>
      <c r="G2642">
        <v>621.52769999999998</v>
      </c>
    </row>
    <row r="2643" spans="5:7" x14ac:dyDescent="0.75">
      <c r="E2643" t="s">
        <v>114</v>
      </c>
      <c r="F2643">
        <v>2019</v>
      </c>
      <c r="G2643">
        <v>631.74834999999996</v>
      </c>
    </row>
    <row r="2644" spans="5:7" x14ac:dyDescent="0.75">
      <c r="E2644" t="s">
        <v>114</v>
      </c>
      <c r="F2644">
        <v>2020</v>
      </c>
      <c r="G2644">
        <v>645.61850000000004</v>
      </c>
    </row>
    <row r="2645" spans="5:7" x14ac:dyDescent="0.75">
      <c r="E2645" t="s">
        <v>114</v>
      </c>
      <c r="F2645">
        <v>2021</v>
      </c>
      <c r="G2645">
        <v>639.95159999999998</v>
      </c>
    </row>
    <row r="2646" spans="5:7" x14ac:dyDescent="0.75">
      <c r="E2646" t="s">
        <v>114</v>
      </c>
      <c r="F2646">
        <v>2022</v>
      </c>
      <c r="G2646">
        <v>662.64189999999996</v>
      </c>
    </row>
    <row r="2647" spans="5:7" x14ac:dyDescent="0.75">
      <c r="E2647" t="s">
        <v>114</v>
      </c>
      <c r="F2647">
        <v>2023</v>
      </c>
      <c r="G2647">
        <v>616.81586000000004</v>
      </c>
    </row>
    <row r="2648" spans="5:7" x14ac:dyDescent="0.75">
      <c r="E2648" t="s">
        <v>114</v>
      </c>
      <c r="F2648">
        <v>2024</v>
      </c>
      <c r="G2648">
        <v>577.65110000000004</v>
      </c>
    </row>
    <row r="2649" spans="5:7" x14ac:dyDescent="0.75">
      <c r="E2649" t="s">
        <v>115</v>
      </c>
      <c r="F2649">
        <v>2000</v>
      </c>
      <c r="G2649">
        <v>25.078371000000001</v>
      </c>
    </row>
    <row r="2650" spans="5:7" x14ac:dyDescent="0.75">
      <c r="E2650" t="s">
        <v>115</v>
      </c>
      <c r="F2650">
        <v>2001</v>
      </c>
      <c r="G2650">
        <v>26.360544000000001</v>
      </c>
    </row>
    <row r="2651" spans="5:7" x14ac:dyDescent="0.75">
      <c r="E2651" t="s">
        <v>115</v>
      </c>
      <c r="F2651">
        <v>2002</v>
      </c>
      <c r="G2651">
        <v>25.437200000000001</v>
      </c>
    </row>
    <row r="2652" spans="5:7" x14ac:dyDescent="0.75">
      <c r="E2652" t="s">
        <v>115</v>
      </c>
      <c r="F2652">
        <v>2003</v>
      </c>
      <c r="G2652">
        <v>25.949953000000001</v>
      </c>
    </row>
    <row r="2653" spans="5:7" x14ac:dyDescent="0.75">
      <c r="E2653" t="s">
        <v>115</v>
      </c>
      <c r="F2653">
        <v>2004</v>
      </c>
      <c r="G2653">
        <v>26.724136000000001</v>
      </c>
    </row>
    <row r="2654" spans="5:7" x14ac:dyDescent="0.75">
      <c r="E2654" t="s">
        <v>115</v>
      </c>
      <c r="F2654">
        <v>2005</v>
      </c>
      <c r="G2654">
        <v>25.095058000000002</v>
      </c>
    </row>
    <row r="2655" spans="5:7" x14ac:dyDescent="0.75">
      <c r="E2655" t="s">
        <v>115</v>
      </c>
      <c r="F2655">
        <v>2006</v>
      </c>
      <c r="G2655">
        <v>25.359835</v>
      </c>
    </row>
    <row r="2656" spans="5:7" x14ac:dyDescent="0.75">
      <c r="E2656" t="s">
        <v>115</v>
      </c>
      <c r="F2656">
        <v>2007</v>
      </c>
      <c r="G2656">
        <v>24.512884</v>
      </c>
    </row>
    <row r="2657" spans="5:7" x14ac:dyDescent="0.75">
      <c r="E2657" t="s">
        <v>115</v>
      </c>
      <c r="F2657">
        <v>2008</v>
      </c>
      <c r="G2657">
        <v>24.716099</v>
      </c>
    </row>
    <row r="2658" spans="5:7" x14ac:dyDescent="0.75">
      <c r="E2658" t="s">
        <v>115</v>
      </c>
      <c r="F2658">
        <v>2009</v>
      </c>
      <c r="G2658">
        <v>24.419295999999999</v>
      </c>
    </row>
    <row r="2659" spans="5:7" x14ac:dyDescent="0.75">
      <c r="E2659" t="s">
        <v>115</v>
      </c>
      <c r="F2659">
        <v>2010</v>
      </c>
      <c r="G2659">
        <v>24.595081</v>
      </c>
    </row>
    <row r="2660" spans="5:7" x14ac:dyDescent="0.75">
      <c r="E2660" t="s">
        <v>115</v>
      </c>
      <c r="F2660">
        <v>2011</v>
      </c>
      <c r="G2660">
        <v>27.727547000000001</v>
      </c>
    </row>
    <row r="2661" spans="5:7" x14ac:dyDescent="0.75">
      <c r="E2661" t="s">
        <v>115</v>
      </c>
      <c r="F2661">
        <v>2012</v>
      </c>
      <c r="G2661">
        <v>28.05611</v>
      </c>
    </row>
    <row r="2662" spans="5:7" x14ac:dyDescent="0.75">
      <c r="E2662" t="s">
        <v>115</v>
      </c>
      <c r="F2662">
        <v>2013</v>
      </c>
      <c r="G2662">
        <v>32.952255000000001</v>
      </c>
    </row>
    <row r="2663" spans="5:7" x14ac:dyDescent="0.75">
      <c r="E2663" t="s">
        <v>115</v>
      </c>
      <c r="F2663">
        <v>2014</v>
      </c>
      <c r="G2663">
        <v>32.317073999999998</v>
      </c>
    </row>
    <row r="2664" spans="5:7" x14ac:dyDescent="0.75">
      <c r="E2664" t="s">
        <v>115</v>
      </c>
      <c r="F2664">
        <v>2015</v>
      </c>
      <c r="G2664">
        <v>68.008705000000006</v>
      </c>
    </row>
    <row r="2665" spans="5:7" x14ac:dyDescent="0.75">
      <c r="E2665" t="s">
        <v>115</v>
      </c>
      <c r="F2665">
        <v>2016</v>
      </c>
      <c r="G2665">
        <v>132.55565999999999</v>
      </c>
    </row>
    <row r="2666" spans="5:7" x14ac:dyDescent="0.75">
      <c r="E2666" t="s">
        <v>115</v>
      </c>
      <c r="F2666">
        <v>2017</v>
      </c>
      <c r="G2666">
        <v>147.95918</v>
      </c>
    </row>
    <row r="2667" spans="5:7" x14ac:dyDescent="0.75">
      <c r="E2667" t="s">
        <v>115</v>
      </c>
      <c r="F2667">
        <v>2018</v>
      </c>
      <c r="G2667">
        <v>139.43991</v>
      </c>
    </row>
    <row r="2668" spans="5:7" x14ac:dyDescent="0.75">
      <c r="E2668" t="s">
        <v>115</v>
      </c>
      <c r="F2668">
        <v>2019</v>
      </c>
      <c r="G2668">
        <v>154.29173</v>
      </c>
    </row>
    <row r="2669" spans="5:7" x14ac:dyDescent="0.75">
      <c r="E2669" t="s">
        <v>115</v>
      </c>
      <c r="F2669">
        <v>2020</v>
      </c>
      <c r="G2669">
        <v>128.28601</v>
      </c>
    </row>
    <row r="2670" spans="5:7" x14ac:dyDescent="0.75">
      <c r="E2670" t="s">
        <v>115</v>
      </c>
      <c r="F2670">
        <v>2021</v>
      </c>
      <c r="G2670">
        <v>131.49521999999999</v>
      </c>
    </row>
    <row r="2671" spans="5:7" x14ac:dyDescent="0.75">
      <c r="E2671" t="s">
        <v>115</v>
      </c>
      <c r="F2671">
        <v>2022</v>
      </c>
      <c r="G2671">
        <v>127.81187</v>
      </c>
    </row>
    <row r="2672" spans="5:7" x14ac:dyDescent="0.75">
      <c r="E2672" t="s">
        <v>115</v>
      </c>
      <c r="F2672">
        <v>2023</v>
      </c>
      <c r="G2672">
        <v>127.81187</v>
      </c>
    </row>
    <row r="2673" spans="5:7" x14ac:dyDescent="0.75">
      <c r="E2673" t="s">
        <v>116</v>
      </c>
      <c r="F2673">
        <v>2000</v>
      </c>
      <c r="G2673">
        <v>568.62750000000005</v>
      </c>
    </row>
    <row r="2674" spans="5:7" x14ac:dyDescent="0.75">
      <c r="E2674" t="s">
        <v>116</v>
      </c>
      <c r="F2674">
        <v>2001</v>
      </c>
      <c r="G2674">
        <v>558.88649999999996</v>
      </c>
    </row>
    <row r="2675" spans="5:7" x14ac:dyDescent="0.75">
      <c r="E2675" t="s">
        <v>116</v>
      </c>
      <c r="F2675">
        <v>2002</v>
      </c>
      <c r="G2675">
        <v>550.29584</v>
      </c>
    </row>
    <row r="2676" spans="5:7" x14ac:dyDescent="0.75">
      <c r="E2676" t="s">
        <v>116</v>
      </c>
      <c r="F2676">
        <v>2003</v>
      </c>
      <c r="G2676">
        <v>581.18084999999996</v>
      </c>
    </row>
    <row r="2677" spans="5:7" x14ac:dyDescent="0.75">
      <c r="E2677" t="s">
        <v>116</v>
      </c>
      <c r="F2677">
        <v>2004</v>
      </c>
      <c r="G2677">
        <v>543.67200000000003</v>
      </c>
    </row>
    <row r="2678" spans="5:7" x14ac:dyDescent="0.75">
      <c r="E2678" t="s">
        <v>116</v>
      </c>
      <c r="F2678">
        <v>2005</v>
      </c>
      <c r="G2678">
        <v>478.40532999999999</v>
      </c>
    </row>
    <row r="2679" spans="5:7" x14ac:dyDescent="0.75">
      <c r="E2679" t="s">
        <v>116</v>
      </c>
      <c r="F2679">
        <v>2006</v>
      </c>
      <c r="G2679">
        <v>438.51134999999999</v>
      </c>
    </row>
    <row r="2680" spans="5:7" x14ac:dyDescent="0.75">
      <c r="E2680" t="s">
        <v>116</v>
      </c>
      <c r="F2680">
        <v>2007</v>
      </c>
      <c r="G2680">
        <v>412.5</v>
      </c>
    </row>
    <row r="2681" spans="5:7" x14ac:dyDescent="0.75">
      <c r="E2681" t="s">
        <v>116</v>
      </c>
      <c r="F2681">
        <v>2008</v>
      </c>
      <c r="G2681">
        <v>371.60122999999999</v>
      </c>
    </row>
    <row r="2682" spans="5:7" x14ac:dyDescent="0.75">
      <c r="E2682" t="s">
        <v>116</v>
      </c>
      <c r="F2682">
        <v>2009</v>
      </c>
      <c r="G2682">
        <v>243.90244999999999</v>
      </c>
    </row>
    <row r="2683" spans="5:7" x14ac:dyDescent="0.75">
      <c r="E2683" t="s">
        <v>116</v>
      </c>
      <c r="F2683">
        <v>2010</v>
      </c>
      <c r="G2683">
        <v>277.26220000000001</v>
      </c>
    </row>
    <row r="2684" spans="5:7" x14ac:dyDescent="0.75">
      <c r="E2684" t="s">
        <v>116</v>
      </c>
      <c r="F2684">
        <v>2011</v>
      </c>
      <c r="G2684">
        <v>275.16775999999999</v>
      </c>
    </row>
    <row r="2685" spans="5:7" x14ac:dyDescent="0.75">
      <c r="E2685" t="s">
        <v>116</v>
      </c>
      <c r="F2685">
        <v>2012</v>
      </c>
      <c r="G2685">
        <v>284.05020000000002</v>
      </c>
    </row>
    <row r="2686" spans="5:7" x14ac:dyDescent="0.75">
      <c r="E2686" t="s">
        <v>116</v>
      </c>
      <c r="F2686">
        <v>2013</v>
      </c>
      <c r="G2686">
        <v>276.08346999999998</v>
      </c>
    </row>
    <row r="2687" spans="5:7" x14ac:dyDescent="0.75">
      <c r="E2687" t="s">
        <v>116</v>
      </c>
      <c r="F2687">
        <v>2014</v>
      </c>
      <c r="G2687">
        <v>366.22653000000003</v>
      </c>
    </row>
    <row r="2688" spans="5:7" x14ac:dyDescent="0.75">
      <c r="E2688" t="s">
        <v>116</v>
      </c>
      <c r="F2688">
        <v>2015</v>
      </c>
      <c r="G2688">
        <v>398.14812999999998</v>
      </c>
    </row>
    <row r="2689" spans="5:7" x14ac:dyDescent="0.75">
      <c r="E2689" t="s">
        <v>116</v>
      </c>
      <c r="F2689">
        <v>2016</v>
      </c>
      <c r="G2689">
        <v>439.84543000000002</v>
      </c>
    </row>
    <row r="2690" spans="5:7" x14ac:dyDescent="0.75">
      <c r="E2690" t="s">
        <v>116</v>
      </c>
      <c r="F2690">
        <v>2017</v>
      </c>
      <c r="G2690">
        <v>451.04559999999998</v>
      </c>
    </row>
    <row r="2691" spans="5:7" x14ac:dyDescent="0.75">
      <c r="E2691" t="s">
        <v>116</v>
      </c>
      <c r="F2691">
        <v>2018</v>
      </c>
      <c r="G2691">
        <v>405.26807000000002</v>
      </c>
    </row>
    <row r="2692" spans="5:7" x14ac:dyDescent="0.75">
      <c r="E2692" t="s">
        <v>116</v>
      </c>
      <c r="F2692">
        <v>2019</v>
      </c>
      <c r="G2692">
        <v>419.25470000000001</v>
      </c>
    </row>
    <row r="2693" spans="5:7" x14ac:dyDescent="0.75">
      <c r="E2693" t="s">
        <v>116</v>
      </c>
      <c r="F2693">
        <v>2020</v>
      </c>
      <c r="G2693">
        <v>487.22039999999998</v>
      </c>
    </row>
    <row r="2694" spans="5:7" x14ac:dyDescent="0.75">
      <c r="E2694" t="s">
        <v>116</v>
      </c>
      <c r="F2694">
        <v>2021</v>
      </c>
      <c r="G2694">
        <v>484.48450000000003</v>
      </c>
    </row>
    <row r="2695" spans="5:7" x14ac:dyDescent="0.75">
      <c r="E2695" t="s">
        <v>116</v>
      </c>
      <c r="F2695">
        <v>2022</v>
      </c>
      <c r="G2695">
        <v>563.87099999999998</v>
      </c>
    </row>
    <row r="2696" spans="5:7" x14ac:dyDescent="0.75">
      <c r="E2696" t="s">
        <v>116</v>
      </c>
      <c r="F2696">
        <v>2023</v>
      </c>
      <c r="G2696">
        <v>588.94510000000002</v>
      </c>
    </row>
    <row r="2697" spans="5:7" x14ac:dyDescent="0.75">
      <c r="E2697" t="s">
        <v>116</v>
      </c>
      <c r="F2697">
        <v>2024</v>
      </c>
      <c r="G2697">
        <v>569.69209999999998</v>
      </c>
    </row>
    <row r="2698" spans="5:7" x14ac:dyDescent="0.75">
      <c r="E2698" t="s">
        <v>117</v>
      </c>
      <c r="F2698">
        <v>2000</v>
      </c>
      <c r="G2698">
        <v>41.666663999999997</v>
      </c>
    </row>
    <row r="2699" spans="5:7" x14ac:dyDescent="0.75">
      <c r="E2699" t="s">
        <v>117</v>
      </c>
      <c r="F2699">
        <v>2001</v>
      </c>
      <c r="G2699">
        <v>24.793386000000002</v>
      </c>
    </row>
    <row r="2700" spans="5:7" x14ac:dyDescent="0.75">
      <c r="E2700" t="s">
        <v>117</v>
      </c>
      <c r="F2700">
        <v>2002</v>
      </c>
      <c r="G2700">
        <v>27.972028999999999</v>
      </c>
    </row>
    <row r="2701" spans="5:7" x14ac:dyDescent="0.75">
      <c r="E2701" t="s">
        <v>117</v>
      </c>
      <c r="F2701">
        <v>2003</v>
      </c>
      <c r="G2701">
        <v>27.972028999999999</v>
      </c>
    </row>
    <row r="2702" spans="5:7" x14ac:dyDescent="0.75">
      <c r="E2702" t="s">
        <v>117</v>
      </c>
      <c r="F2702">
        <v>2004</v>
      </c>
      <c r="G2702">
        <v>28.985506000000001</v>
      </c>
    </row>
    <row r="2703" spans="5:7" x14ac:dyDescent="0.75">
      <c r="E2703" t="s">
        <v>117</v>
      </c>
      <c r="F2703">
        <v>2005</v>
      </c>
      <c r="G2703">
        <v>41.420116</v>
      </c>
    </row>
    <row r="2704" spans="5:7" x14ac:dyDescent="0.75">
      <c r="E2704" t="s">
        <v>117</v>
      </c>
      <c r="F2704">
        <v>2006</v>
      </c>
      <c r="G2704">
        <v>80.745339999999999</v>
      </c>
    </row>
    <row r="2705" spans="5:7" x14ac:dyDescent="0.75">
      <c r="E2705" t="s">
        <v>117</v>
      </c>
      <c r="F2705">
        <v>2007</v>
      </c>
      <c r="G2705">
        <v>44.585987000000003</v>
      </c>
    </row>
    <row r="2706" spans="5:7" x14ac:dyDescent="0.75">
      <c r="E2706" t="s">
        <v>117</v>
      </c>
      <c r="F2706">
        <v>2008</v>
      </c>
      <c r="G2706">
        <v>121.019104</v>
      </c>
    </row>
    <row r="2707" spans="5:7" x14ac:dyDescent="0.75">
      <c r="E2707" t="s">
        <v>117</v>
      </c>
      <c r="F2707">
        <v>2009</v>
      </c>
      <c r="G2707">
        <v>66.666663999999997</v>
      </c>
    </row>
    <row r="2708" spans="5:7" x14ac:dyDescent="0.75">
      <c r="E2708" t="s">
        <v>117</v>
      </c>
      <c r="F2708">
        <v>2010</v>
      </c>
      <c r="G2708">
        <v>53.435116000000001</v>
      </c>
    </row>
    <row r="2709" spans="5:7" x14ac:dyDescent="0.75">
      <c r="E2709" t="s">
        <v>117</v>
      </c>
      <c r="F2709">
        <v>2011</v>
      </c>
      <c r="G2709">
        <v>48.275860000000002</v>
      </c>
    </row>
    <row r="2710" spans="5:7" x14ac:dyDescent="0.75">
      <c r="E2710" t="s">
        <v>117</v>
      </c>
      <c r="F2710">
        <v>2012</v>
      </c>
      <c r="G2710">
        <v>47.90419</v>
      </c>
    </row>
    <row r="2711" spans="5:7" x14ac:dyDescent="0.75">
      <c r="E2711" t="s">
        <v>117</v>
      </c>
      <c r="F2711">
        <v>2013</v>
      </c>
      <c r="G2711">
        <v>51.851852000000001</v>
      </c>
    </row>
    <row r="2712" spans="5:7" x14ac:dyDescent="0.75">
      <c r="E2712" t="s">
        <v>117</v>
      </c>
      <c r="F2712">
        <v>2014</v>
      </c>
      <c r="G2712">
        <v>32.679740000000002</v>
      </c>
    </row>
    <row r="2713" spans="5:7" x14ac:dyDescent="0.75">
      <c r="E2713" t="s">
        <v>117</v>
      </c>
      <c r="F2713">
        <v>2015</v>
      </c>
      <c r="G2713">
        <v>44.303795000000001</v>
      </c>
    </row>
    <row r="2714" spans="5:7" x14ac:dyDescent="0.75">
      <c r="E2714" t="s">
        <v>117</v>
      </c>
      <c r="F2714">
        <v>2016</v>
      </c>
      <c r="G2714">
        <v>54.054049999999997</v>
      </c>
    </row>
    <row r="2715" spans="5:7" x14ac:dyDescent="0.75">
      <c r="E2715" t="s">
        <v>117</v>
      </c>
      <c r="F2715">
        <v>2017</v>
      </c>
      <c r="G2715">
        <v>62.146892999999999</v>
      </c>
    </row>
    <row r="2716" spans="5:7" x14ac:dyDescent="0.75">
      <c r="E2716" t="s">
        <v>117</v>
      </c>
      <c r="F2716">
        <v>2018</v>
      </c>
      <c r="G2716">
        <v>42.553192000000003</v>
      </c>
    </row>
    <row r="2717" spans="5:7" x14ac:dyDescent="0.75">
      <c r="E2717" t="s">
        <v>117</v>
      </c>
      <c r="F2717">
        <v>2019</v>
      </c>
      <c r="G2717">
        <v>57.971012000000002</v>
      </c>
    </row>
    <row r="2718" spans="5:7" x14ac:dyDescent="0.75">
      <c r="E2718" t="s">
        <v>117</v>
      </c>
      <c r="F2718">
        <v>2020</v>
      </c>
      <c r="G2718">
        <v>60</v>
      </c>
    </row>
    <row r="2719" spans="5:7" x14ac:dyDescent="0.75">
      <c r="E2719" t="s">
        <v>117</v>
      </c>
      <c r="F2719">
        <v>2021</v>
      </c>
      <c r="G2719">
        <v>46.357616</v>
      </c>
    </row>
    <row r="2720" spans="5:7" x14ac:dyDescent="0.75">
      <c r="E2720" t="s">
        <v>117</v>
      </c>
      <c r="F2720">
        <v>2022</v>
      </c>
      <c r="G2720">
        <v>45.454543999999999</v>
      </c>
    </row>
    <row r="2721" spans="5:7" x14ac:dyDescent="0.75">
      <c r="E2721" t="s">
        <v>117</v>
      </c>
      <c r="F2721">
        <v>2023</v>
      </c>
      <c r="G2721">
        <v>47.619050000000001</v>
      </c>
    </row>
    <row r="2722" spans="5:7" x14ac:dyDescent="0.75">
      <c r="E2722" t="s">
        <v>118</v>
      </c>
      <c r="F2722">
        <v>2000</v>
      </c>
      <c r="G2722">
        <v>36.363636</v>
      </c>
    </row>
    <row r="2723" spans="5:7" x14ac:dyDescent="0.75">
      <c r="E2723" t="s">
        <v>118</v>
      </c>
      <c r="F2723">
        <v>2001</v>
      </c>
      <c r="G2723">
        <v>27.027027</v>
      </c>
    </row>
    <row r="2724" spans="5:7" x14ac:dyDescent="0.75">
      <c r="E2724" t="s">
        <v>118</v>
      </c>
      <c r="F2724">
        <v>2002</v>
      </c>
      <c r="G2724">
        <v>23.809525000000001</v>
      </c>
    </row>
    <row r="2725" spans="5:7" x14ac:dyDescent="0.75">
      <c r="E2725" t="s">
        <v>118</v>
      </c>
      <c r="F2725">
        <v>2003</v>
      </c>
      <c r="G2725">
        <v>22.123894</v>
      </c>
    </row>
    <row r="2726" spans="5:7" x14ac:dyDescent="0.75">
      <c r="E2726" t="s">
        <v>118</v>
      </c>
      <c r="F2726">
        <v>2004</v>
      </c>
      <c r="G2726">
        <v>29.288702000000001</v>
      </c>
    </row>
    <row r="2727" spans="5:7" x14ac:dyDescent="0.75">
      <c r="E2727" t="s">
        <v>118</v>
      </c>
      <c r="F2727">
        <v>2005</v>
      </c>
      <c r="G2727">
        <v>27.888446999999999</v>
      </c>
    </row>
    <row r="2728" spans="5:7" x14ac:dyDescent="0.75">
      <c r="E2728" t="s">
        <v>118</v>
      </c>
      <c r="F2728">
        <v>2006</v>
      </c>
      <c r="G2728">
        <v>25.735294</v>
      </c>
    </row>
    <row r="2729" spans="5:7" x14ac:dyDescent="0.75">
      <c r="E2729" t="s">
        <v>118</v>
      </c>
      <c r="F2729">
        <v>2007</v>
      </c>
      <c r="G2729">
        <v>28.880865</v>
      </c>
    </row>
    <row r="2730" spans="5:7" x14ac:dyDescent="0.75">
      <c r="E2730" t="s">
        <v>118</v>
      </c>
      <c r="F2730">
        <v>2008</v>
      </c>
      <c r="G2730">
        <v>28.673836000000001</v>
      </c>
    </row>
    <row r="2731" spans="5:7" x14ac:dyDescent="0.75">
      <c r="E2731" t="s">
        <v>118</v>
      </c>
      <c r="F2731">
        <v>2009</v>
      </c>
      <c r="G2731">
        <v>25.974025999999999</v>
      </c>
    </row>
    <row r="2732" spans="5:7" x14ac:dyDescent="0.75">
      <c r="E2732" t="s">
        <v>118</v>
      </c>
      <c r="F2732">
        <v>2010</v>
      </c>
      <c r="G2732">
        <v>25.157232</v>
      </c>
    </row>
    <row r="2733" spans="5:7" x14ac:dyDescent="0.75">
      <c r="E2733" t="s">
        <v>118</v>
      </c>
      <c r="F2733">
        <v>2011</v>
      </c>
      <c r="G2733">
        <v>23.121386000000001</v>
      </c>
    </row>
    <row r="2734" spans="5:7" x14ac:dyDescent="0.75">
      <c r="E2734" t="s">
        <v>118</v>
      </c>
      <c r="F2734">
        <v>2012</v>
      </c>
      <c r="G2734">
        <v>25.495752</v>
      </c>
    </row>
    <row r="2735" spans="5:7" x14ac:dyDescent="0.75">
      <c r="E2735" t="s">
        <v>118</v>
      </c>
      <c r="F2735">
        <v>2013</v>
      </c>
      <c r="G2735">
        <v>25.714286999999999</v>
      </c>
    </row>
    <row r="2736" spans="5:7" x14ac:dyDescent="0.75">
      <c r="E2736" t="s">
        <v>118</v>
      </c>
      <c r="F2736">
        <v>2014</v>
      </c>
      <c r="G2736">
        <v>23.684211999999999</v>
      </c>
    </row>
    <row r="2737" spans="5:7" x14ac:dyDescent="0.75">
      <c r="E2737" t="s">
        <v>118</v>
      </c>
      <c r="F2737">
        <v>2015</v>
      </c>
      <c r="G2737">
        <v>23.121386000000001</v>
      </c>
    </row>
    <row r="2738" spans="5:7" x14ac:dyDescent="0.75">
      <c r="E2738" t="s">
        <v>118</v>
      </c>
      <c r="F2738">
        <v>2016</v>
      </c>
      <c r="G2738">
        <v>23.923446999999999</v>
      </c>
    </row>
    <row r="2739" spans="5:7" x14ac:dyDescent="0.75">
      <c r="E2739" t="s">
        <v>118</v>
      </c>
      <c r="F2739">
        <v>2017</v>
      </c>
      <c r="G2739">
        <v>24.017467</v>
      </c>
    </row>
    <row r="2740" spans="5:7" x14ac:dyDescent="0.75">
      <c r="E2740" t="s">
        <v>118</v>
      </c>
      <c r="F2740">
        <v>2018</v>
      </c>
      <c r="G2740">
        <v>22.727271999999999</v>
      </c>
    </row>
    <row r="2741" spans="5:7" x14ac:dyDescent="0.75">
      <c r="E2741" t="s">
        <v>118</v>
      </c>
      <c r="F2741">
        <v>2019</v>
      </c>
      <c r="G2741">
        <v>22.764227000000002</v>
      </c>
    </row>
    <row r="2742" spans="5:7" x14ac:dyDescent="0.75">
      <c r="E2742" t="s">
        <v>118</v>
      </c>
      <c r="F2742">
        <v>2020</v>
      </c>
      <c r="G2742">
        <v>22.653722999999999</v>
      </c>
    </row>
    <row r="2743" spans="5:7" x14ac:dyDescent="0.75">
      <c r="E2743" t="s">
        <v>118</v>
      </c>
      <c r="F2743">
        <v>2021</v>
      </c>
      <c r="G2743">
        <v>23.883697999999999</v>
      </c>
    </row>
    <row r="2744" spans="5:7" x14ac:dyDescent="0.75">
      <c r="E2744" t="s">
        <v>118</v>
      </c>
      <c r="F2744">
        <v>2022</v>
      </c>
      <c r="G2744">
        <v>23.364487</v>
      </c>
    </row>
    <row r="2745" spans="5:7" x14ac:dyDescent="0.75">
      <c r="E2745" t="s">
        <v>119</v>
      </c>
      <c r="F2745">
        <v>2000</v>
      </c>
      <c r="G2745">
        <v>542.35749999999996</v>
      </c>
    </row>
    <row r="2746" spans="5:7" x14ac:dyDescent="0.75">
      <c r="E2746" t="s">
        <v>119</v>
      </c>
      <c r="F2746">
        <v>2001</v>
      </c>
      <c r="G2746">
        <v>543.08659999999998</v>
      </c>
    </row>
    <row r="2747" spans="5:7" x14ac:dyDescent="0.75">
      <c r="E2747" t="s">
        <v>119</v>
      </c>
      <c r="F2747">
        <v>2002</v>
      </c>
      <c r="G2747">
        <v>540.78612999999996</v>
      </c>
    </row>
    <row r="2748" spans="5:7" x14ac:dyDescent="0.75">
      <c r="E2748" t="s">
        <v>119</v>
      </c>
      <c r="F2748">
        <v>2003</v>
      </c>
      <c r="G2748">
        <v>542.78830000000005</v>
      </c>
    </row>
    <row r="2749" spans="5:7" x14ac:dyDescent="0.75">
      <c r="E2749" t="s">
        <v>119</v>
      </c>
      <c r="F2749">
        <v>2004</v>
      </c>
      <c r="G2749">
        <v>524.64435000000003</v>
      </c>
    </row>
    <row r="2750" spans="5:7" x14ac:dyDescent="0.75">
      <c r="E2750" t="s">
        <v>119</v>
      </c>
      <c r="F2750">
        <v>2005</v>
      </c>
      <c r="G2750">
        <v>513.54912999999999</v>
      </c>
    </row>
    <row r="2751" spans="5:7" x14ac:dyDescent="0.75">
      <c r="E2751" t="s">
        <v>119</v>
      </c>
      <c r="F2751">
        <v>2006</v>
      </c>
      <c r="G2751">
        <v>513.22810000000004</v>
      </c>
    </row>
    <row r="2752" spans="5:7" x14ac:dyDescent="0.75">
      <c r="E2752" t="s">
        <v>119</v>
      </c>
      <c r="F2752">
        <v>2007</v>
      </c>
      <c r="G2752">
        <v>511.57407000000001</v>
      </c>
    </row>
    <row r="2753" spans="5:7" x14ac:dyDescent="0.75">
      <c r="E2753" t="s">
        <v>119</v>
      </c>
      <c r="F2753">
        <v>2008</v>
      </c>
      <c r="G2753">
        <v>496.09264999999999</v>
      </c>
    </row>
    <row r="2754" spans="5:7" x14ac:dyDescent="0.75">
      <c r="E2754" t="s">
        <v>119</v>
      </c>
      <c r="F2754">
        <v>2009</v>
      </c>
      <c r="G2754">
        <v>488.29552999999999</v>
      </c>
    </row>
    <row r="2755" spans="5:7" x14ac:dyDescent="0.75">
      <c r="E2755" t="s">
        <v>119</v>
      </c>
      <c r="F2755">
        <v>2010</v>
      </c>
      <c r="G2755">
        <v>479.59357</v>
      </c>
    </row>
    <row r="2756" spans="5:7" x14ac:dyDescent="0.75">
      <c r="E2756" t="s">
        <v>119</v>
      </c>
      <c r="F2756">
        <v>2011</v>
      </c>
      <c r="G2756">
        <v>473.72160000000002</v>
      </c>
    </row>
    <row r="2757" spans="5:7" x14ac:dyDescent="0.75">
      <c r="E2757" t="s">
        <v>119</v>
      </c>
      <c r="F2757">
        <v>2012</v>
      </c>
      <c r="G2757">
        <v>496.23547000000002</v>
      </c>
    </row>
    <row r="2758" spans="5:7" x14ac:dyDescent="0.75">
      <c r="E2758" t="s">
        <v>119</v>
      </c>
      <c r="F2758">
        <v>2013</v>
      </c>
      <c r="G2758">
        <v>502.38666000000001</v>
      </c>
    </row>
    <row r="2759" spans="5:7" x14ac:dyDescent="0.75">
      <c r="E2759" t="s">
        <v>119</v>
      </c>
      <c r="F2759">
        <v>2014</v>
      </c>
      <c r="G2759">
        <v>523.40845000000002</v>
      </c>
    </row>
    <row r="2760" spans="5:7" x14ac:dyDescent="0.75">
      <c r="E2760" t="s">
        <v>119</v>
      </c>
      <c r="F2760">
        <v>2015</v>
      </c>
      <c r="G2760">
        <v>553.07825000000003</v>
      </c>
    </row>
    <row r="2761" spans="5:7" x14ac:dyDescent="0.75">
      <c r="E2761" t="s">
        <v>119</v>
      </c>
      <c r="F2761">
        <v>2016</v>
      </c>
      <c r="G2761">
        <v>525.18426999999997</v>
      </c>
    </row>
    <row r="2762" spans="5:7" x14ac:dyDescent="0.75">
      <c r="E2762" t="s">
        <v>119</v>
      </c>
      <c r="F2762">
        <v>2017</v>
      </c>
      <c r="G2762">
        <v>489.91726999999997</v>
      </c>
    </row>
    <row r="2763" spans="5:7" x14ac:dyDescent="0.75">
      <c r="E2763" t="s">
        <v>119</v>
      </c>
      <c r="F2763">
        <v>2018</v>
      </c>
      <c r="G2763">
        <v>467.10876000000002</v>
      </c>
    </row>
    <row r="2764" spans="5:7" x14ac:dyDescent="0.75">
      <c r="E2764" t="s">
        <v>119</v>
      </c>
      <c r="F2764">
        <v>2019</v>
      </c>
      <c r="G2764">
        <v>409.99585000000002</v>
      </c>
    </row>
    <row r="2765" spans="5:7" x14ac:dyDescent="0.75">
      <c r="E2765" t="s">
        <v>119</v>
      </c>
      <c r="F2765">
        <v>2020</v>
      </c>
      <c r="G2765">
        <v>342.89931999999999</v>
      </c>
    </row>
    <row r="2766" spans="5:7" x14ac:dyDescent="0.75">
      <c r="E2766" t="s">
        <v>119</v>
      </c>
      <c r="F2766">
        <v>2021</v>
      </c>
      <c r="G2766">
        <v>352.23507999999998</v>
      </c>
    </row>
    <row r="2767" spans="5:7" x14ac:dyDescent="0.75">
      <c r="E2767" t="s">
        <v>119</v>
      </c>
      <c r="F2767">
        <v>2022</v>
      </c>
      <c r="G2767">
        <v>326.07062000000002</v>
      </c>
    </row>
    <row r="2768" spans="5:7" x14ac:dyDescent="0.75">
      <c r="E2768" t="s">
        <v>119</v>
      </c>
      <c r="F2768">
        <v>2023</v>
      </c>
      <c r="G2768">
        <v>268.68045000000001</v>
      </c>
    </row>
    <row r="2769" spans="5:7" x14ac:dyDescent="0.75">
      <c r="E2769" t="s">
        <v>119</v>
      </c>
      <c r="F2769">
        <v>2024</v>
      </c>
      <c r="G2769">
        <v>253.31152</v>
      </c>
    </row>
    <row r="2770" spans="5:7" x14ac:dyDescent="0.75">
      <c r="E2770" t="s">
        <v>120</v>
      </c>
      <c r="F2770">
        <v>2000</v>
      </c>
      <c r="G2770">
        <v>184.78540000000001</v>
      </c>
    </row>
    <row r="2771" spans="5:7" x14ac:dyDescent="0.75">
      <c r="E2771" t="s">
        <v>120</v>
      </c>
      <c r="F2771">
        <v>2001</v>
      </c>
      <c r="G2771">
        <v>230.90630999999999</v>
      </c>
    </row>
    <row r="2772" spans="5:7" x14ac:dyDescent="0.75">
      <c r="E2772" t="s">
        <v>120</v>
      </c>
      <c r="F2772">
        <v>2002</v>
      </c>
      <c r="G2772">
        <v>198.20939999999999</v>
      </c>
    </row>
    <row r="2773" spans="5:7" x14ac:dyDescent="0.75">
      <c r="E2773" t="s">
        <v>120</v>
      </c>
      <c r="F2773">
        <v>2003</v>
      </c>
      <c r="G2773">
        <v>232.35077000000001</v>
      </c>
    </row>
    <row r="2774" spans="5:7" x14ac:dyDescent="0.75">
      <c r="E2774" t="s">
        <v>120</v>
      </c>
      <c r="F2774">
        <v>2004</v>
      </c>
      <c r="G2774">
        <v>205.34658999999999</v>
      </c>
    </row>
    <row r="2775" spans="5:7" x14ac:dyDescent="0.75">
      <c r="E2775" t="s">
        <v>120</v>
      </c>
      <c r="F2775">
        <v>2005</v>
      </c>
      <c r="G2775">
        <v>255.64972</v>
      </c>
    </row>
    <row r="2776" spans="5:7" x14ac:dyDescent="0.75">
      <c r="E2776" t="s">
        <v>120</v>
      </c>
      <c r="F2776">
        <v>2006</v>
      </c>
      <c r="G2776">
        <v>250.23235</v>
      </c>
    </row>
    <row r="2777" spans="5:7" x14ac:dyDescent="0.75">
      <c r="E2777" t="s">
        <v>120</v>
      </c>
      <c r="F2777">
        <v>2007</v>
      </c>
      <c r="G2777">
        <v>227.75473</v>
      </c>
    </row>
    <row r="2778" spans="5:7" x14ac:dyDescent="0.75">
      <c r="E2778" t="s">
        <v>120</v>
      </c>
      <c r="F2778">
        <v>2008</v>
      </c>
      <c r="G2778">
        <v>248.21387999999999</v>
      </c>
    </row>
    <row r="2779" spans="5:7" x14ac:dyDescent="0.75">
      <c r="E2779" t="s">
        <v>120</v>
      </c>
      <c r="F2779">
        <v>2009</v>
      </c>
      <c r="G2779">
        <v>197.43887000000001</v>
      </c>
    </row>
    <row r="2780" spans="5:7" x14ac:dyDescent="0.75">
      <c r="E2780" t="s">
        <v>120</v>
      </c>
      <c r="F2780">
        <v>2010</v>
      </c>
      <c r="G2780">
        <v>179.8691</v>
      </c>
    </row>
    <row r="2781" spans="5:7" x14ac:dyDescent="0.75">
      <c r="E2781" t="s">
        <v>120</v>
      </c>
      <c r="F2781">
        <v>2011</v>
      </c>
      <c r="G2781">
        <v>166.43867</v>
      </c>
    </row>
    <row r="2782" spans="5:7" x14ac:dyDescent="0.75">
      <c r="E2782" t="s">
        <v>120</v>
      </c>
      <c r="F2782">
        <v>2012</v>
      </c>
      <c r="G2782">
        <v>199.08571000000001</v>
      </c>
    </row>
    <row r="2783" spans="5:7" x14ac:dyDescent="0.75">
      <c r="E2783" t="s">
        <v>120</v>
      </c>
      <c r="F2783">
        <v>2013</v>
      </c>
      <c r="G2783">
        <v>177.51756</v>
      </c>
    </row>
    <row r="2784" spans="5:7" x14ac:dyDescent="0.75">
      <c r="E2784" t="s">
        <v>120</v>
      </c>
      <c r="F2784">
        <v>2014</v>
      </c>
      <c r="G2784">
        <v>148.88164</v>
      </c>
    </row>
    <row r="2785" spans="5:7" x14ac:dyDescent="0.75">
      <c r="E2785" t="s">
        <v>120</v>
      </c>
      <c r="F2785">
        <v>2015</v>
      </c>
      <c r="G2785">
        <v>143.21780000000001</v>
      </c>
    </row>
    <row r="2786" spans="5:7" x14ac:dyDescent="0.75">
      <c r="E2786" t="s">
        <v>120</v>
      </c>
      <c r="F2786">
        <v>2016</v>
      </c>
      <c r="G2786">
        <v>114.716095</v>
      </c>
    </row>
    <row r="2787" spans="5:7" x14ac:dyDescent="0.75">
      <c r="E2787" t="s">
        <v>120</v>
      </c>
      <c r="F2787">
        <v>2017</v>
      </c>
      <c r="G2787">
        <v>131.92854</v>
      </c>
    </row>
    <row r="2788" spans="5:7" x14ac:dyDescent="0.75">
      <c r="E2788" t="s">
        <v>120</v>
      </c>
      <c r="F2788">
        <v>2018</v>
      </c>
      <c r="G2788">
        <v>123.942375</v>
      </c>
    </row>
    <row r="2789" spans="5:7" x14ac:dyDescent="0.75">
      <c r="E2789" t="s">
        <v>120</v>
      </c>
      <c r="F2789">
        <v>2019</v>
      </c>
      <c r="G2789">
        <v>134.17142999999999</v>
      </c>
    </row>
    <row r="2790" spans="5:7" x14ac:dyDescent="0.75">
      <c r="E2790" t="s">
        <v>120</v>
      </c>
      <c r="F2790">
        <v>2020</v>
      </c>
      <c r="G2790">
        <v>142.56056000000001</v>
      </c>
    </row>
    <row r="2791" spans="5:7" x14ac:dyDescent="0.75">
      <c r="E2791" t="s">
        <v>120</v>
      </c>
      <c r="F2791">
        <v>2021</v>
      </c>
      <c r="G2791">
        <v>145.57980000000001</v>
      </c>
    </row>
    <row r="2792" spans="5:7" x14ac:dyDescent="0.75">
      <c r="E2792" t="s">
        <v>120</v>
      </c>
      <c r="F2792">
        <v>2022</v>
      </c>
      <c r="G2792">
        <v>112.83691399999999</v>
      </c>
    </row>
    <row r="2793" spans="5:7" x14ac:dyDescent="0.75">
      <c r="E2793" t="s">
        <v>120</v>
      </c>
      <c r="F2793">
        <v>2023</v>
      </c>
      <c r="G2793">
        <v>104.423164</v>
      </c>
    </row>
    <row r="2794" spans="5:7" x14ac:dyDescent="0.75">
      <c r="E2794" t="s">
        <v>120</v>
      </c>
      <c r="F2794">
        <v>2024</v>
      </c>
      <c r="G2794">
        <v>120.10796999999999</v>
      </c>
    </row>
    <row r="2795" spans="5:7" x14ac:dyDescent="0.75">
      <c r="E2795" t="s">
        <v>121</v>
      </c>
      <c r="F2795">
        <v>2000</v>
      </c>
      <c r="G2795">
        <v>530.70180000000005</v>
      </c>
    </row>
    <row r="2796" spans="5:7" x14ac:dyDescent="0.75">
      <c r="E2796" t="s">
        <v>121</v>
      </c>
      <c r="F2796">
        <v>2001</v>
      </c>
      <c r="G2796">
        <v>538.46154999999999</v>
      </c>
    </row>
    <row r="2797" spans="5:7" x14ac:dyDescent="0.75">
      <c r="E2797" t="s">
        <v>121</v>
      </c>
      <c r="F2797">
        <v>2002</v>
      </c>
      <c r="G2797">
        <v>513.72546</v>
      </c>
    </row>
    <row r="2798" spans="5:7" x14ac:dyDescent="0.75">
      <c r="E2798" t="s">
        <v>121</v>
      </c>
      <c r="F2798">
        <v>2003</v>
      </c>
      <c r="G2798">
        <v>500</v>
      </c>
    </row>
    <row r="2799" spans="5:7" x14ac:dyDescent="0.75">
      <c r="E2799" t="s">
        <v>121</v>
      </c>
      <c r="F2799">
        <v>2004</v>
      </c>
      <c r="G2799">
        <v>498.22064</v>
      </c>
    </row>
    <row r="2800" spans="5:7" x14ac:dyDescent="0.75">
      <c r="E2800" t="s">
        <v>121</v>
      </c>
      <c r="F2800">
        <v>2005</v>
      </c>
      <c r="G2800">
        <v>454.54543999999999</v>
      </c>
    </row>
    <row r="2801" spans="5:7" x14ac:dyDescent="0.75">
      <c r="E2801" t="s">
        <v>121</v>
      </c>
      <c r="F2801">
        <v>2006</v>
      </c>
      <c r="G2801">
        <v>488.81787000000003</v>
      </c>
    </row>
    <row r="2802" spans="5:7" x14ac:dyDescent="0.75">
      <c r="E2802" t="s">
        <v>121</v>
      </c>
      <c r="F2802">
        <v>2007</v>
      </c>
      <c r="G2802">
        <v>500</v>
      </c>
    </row>
    <row r="2803" spans="5:7" x14ac:dyDescent="0.75">
      <c r="E2803" t="s">
        <v>121</v>
      </c>
      <c r="F2803">
        <v>2008</v>
      </c>
      <c r="G2803">
        <v>452.38094999999998</v>
      </c>
    </row>
    <row r="2804" spans="5:7" x14ac:dyDescent="0.75">
      <c r="E2804" t="s">
        <v>121</v>
      </c>
      <c r="F2804">
        <v>2009</v>
      </c>
      <c r="G2804">
        <v>484.05795000000001</v>
      </c>
    </row>
    <row r="2805" spans="5:7" x14ac:dyDescent="0.75">
      <c r="E2805" t="s">
        <v>121</v>
      </c>
      <c r="F2805">
        <v>2010</v>
      </c>
      <c r="G2805">
        <v>443.8356</v>
      </c>
    </row>
    <row r="2806" spans="5:7" x14ac:dyDescent="0.75">
      <c r="E2806" t="s">
        <v>121</v>
      </c>
      <c r="F2806">
        <v>2011</v>
      </c>
      <c r="G2806">
        <v>461.94225999999998</v>
      </c>
    </row>
    <row r="2807" spans="5:7" x14ac:dyDescent="0.75">
      <c r="E2807" t="s">
        <v>121</v>
      </c>
      <c r="F2807">
        <v>2012</v>
      </c>
      <c r="G2807">
        <v>409.42926</v>
      </c>
    </row>
    <row r="2808" spans="5:7" x14ac:dyDescent="0.75">
      <c r="E2808" t="s">
        <v>121</v>
      </c>
      <c r="F2808">
        <v>2013</v>
      </c>
      <c r="G2808">
        <v>347.72183000000001</v>
      </c>
    </row>
    <row r="2809" spans="5:7" x14ac:dyDescent="0.75">
      <c r="E2809" t="s">
        <v>121</v>
      </c>
      <c r="F2809">
        <v>2014</v>
      </c>
      <c r="G2809">
        <v>338.565</v>
      </c>
    </row>
    <row r="2810" spans="5:7" x14ac:dyDescent="0.75">
      <c r="E2810" t="s">
        <v>121</v>
      </c>
      <c r="F2810">
        <v>2015</v>
      </c>
      <c r="G2810">
        <v>361.65575999999999</v>
      </c>
    </row>
    <row r="2811" spans="5:7" x14ac:dyDescent="0.75">
      <c r="E2811" t="s">
        <v>121</v>
      </c>
      <c r="F2811">
        <v>2016</v>
      </c>
      <c r="G2811">
        <v>348.58386000000002</v>
      </c>
    </row>
    <row r="2812" spans="5:7" x14ac:dyDescent="0.75">
      <c r="E2812" t="s">
        <v>121</v>
      </c>
      <c r="F2812">
        <v>2017</v>
      </c>
      <c r="G2812">
        <v>329.64603</v>
      </c>
    </row>
    <row r="2813" spans="5:7" x14ac:dyDescent="0.75">
      <c r="E2813" t="s">
        <v>121</v>
      </c>
      <c r="F2813">
        <v>2018</v>
      </c>
      <c r="G2813">
        <v>313.9785</v>
      </c>
    </row>
    <row r="2814" spans="5:7" x14ac:dyDescent="0.75">
      <c r="E2814" t="s">
        <v>121</v>
      </c>
      <c r="F2814">
        <v>2019</v>
      </c>
      <c r="G2814">
        <v>334.06112999999999</v>
      </c>
    </row>
    <row r="2815" spans="5:7" x14ac:dyDescent="0.75">
      <c r="E2815" t="s">
        <v>121</v>
      </c>
      <c r="F2815">
        <v>2020</v>
      </c>
      <c r="G2815">
        <v>250.65964</v>
      </c>
    </row>
    <row r="2816" spans="5:7" x14ac:dyDescent="0.75">
      <c r="E2816" t="s">
        <v>121</v>
      </c>
      <c r="F2816">
        <v>2021</v>
      </c>
      <c r="G2816">
        <v>261.28264999999999</v>
      </c>
    </row>
    <row r="2817" spans="5:7" x14ac:dyDescent="0.75">
      <c r="E2817" t="s">
        <v>121</v>
      </c>
      <c r="F2817">
        <v>2022</v>
      </c>
      <c r="G2817">
        <v>289.35183999999998</v>
      </c>
    </row>
    <row r="2818" spans="5:7" x14ac:dyDescent="0.75">
      <c r="E2818" t="s">
        <v>121</v>
      </c>
      <c r="F2818">
        <v>2023</v>
      </c>
      <c r="G2818">
        <v>288.32952999999998</v>
      </c>
    </row>
    <row r="2819" spans="5:7" x14ac:dyDescent="0.75">
      <c r="E2819" t="s">
        <v>122</v>
      </c>
      <c r="F2819">
        <v>2000</v>
      </c>
      <c r="G2819">
        <v>857.14293999999995</v>
      </c>
    </row>
    <row r="2820" spans="5:7" x14ac:dyDescent="0.75">
      <c r="E2820" t="s">
        <v>122</v>
      </c>
      <c r="F2820">
        <v>2001</v>
      </c>
      <c r="G2820">
        <v>833.33330000000001</v>
      </c>
    </row>
    <row r="2821" spans="5:7" x14ac:dyDescent="0.75">
      <c r="E2821" t="s">
        <v>122</v>
      </c>
      <c r="F2821">
        <v>2002</v>
      </c>
      <c r="G2821">
        <v>842.10519999999997</v>
      </c>
    </row>
    <row r="2822" spans="5:7" x14ac:dyDescent="0.75">
      <c r="E2822" t="s">
        <v>122</v>
      </c>
      <c r="F2822">
        <v>2003</v>
      </c>
      <c r="G2822">
        <v>850</v>
      </c>
    </row>
    <row r="2823" spans="5:7" x14ac:dyDescent="0.75">
      <c r="E2823" t="s">
        <v>122</v>
      </c>
      <c r="F2823">
        <v>2004</v>
      </c>
      <c r="G2823">
        <v>850</v>
      </c>
    </row>
    <row r="2824" spans="5:7" x14ac:dyDescent="0.75">
      <c r="E2824" t="s">
        <v>122</v>
      </c>
      <c r="F2824">
        <v>2005</v>
      </c>
      <c r="G2824">
        <v>869.5652</v>
      </c>
    </row>
    <row r="2825" spans="5:7" x14ac:dyDescent="0.75">
      <c r="E2825" t="s">
        <v>122</v>
      </c>
      <c r="F2825">
        <v>2006</v>
      </c>
      <c r="G2825">
        <v>863.63634999999999</v>
      </c>
    </row>
    <row r="2826" spans="5:7" x14ac:dyDescent="0.75">
      <c r="E2826" t="s">
        <v>122</v>
      </c>
      <c r="F2826">
        <v>2007</v>
      </c>
      <c r="G2826">
        <v>863.63634999999999</v>
      </c>
    </row>
    <row r="2827" spans="5:7" x14ac:dyDescent="0.75">
      <c r="E2827" t="s">
        <v>122</v>
      </c>
      <c r="F2827">
        <v>2008</v>
      </c>
      <c r="G2827">
        <v>863.63634999999999</v>
      </c>
    </row>
    <row r="2828" spans="5:7" x14ac:dyDescent="0.75">
      <c r="E2828" t="s">
        <v>122</v>
      </c>
      <c r="F2828">
        <v>2009</v>
      </c>
      <c r="G2828">
        <v>846.15390000000002</v>
      </c>
    </row>
    <row r="2829" spans="5:7" x14ac:dyDescent="0.75">
      <c r="E2829" t="s">
        <v>122</v>
      </c>
      <c r="F2829">
        <v>2010</v>
      </c>
      <c r="G2829">
        <v>827.58623999999998</v>
      </c>
    </row>
    <row r="2830" spans="5:7" x14ac:dyDescent="0.75">
      <c r="E2830" t="s">
        <v>122</v>
      </c>
      <c r="F2830">
        <v>2011</v>
      </c>
      <c r="G2830">
        <v>852.94115999999997</v>
      </c>
    </row>
    <row r="2831" spans="5:7" x14ac:dyDescent="0.75">
      <c r="E2831" t="s">
        <v>122</v>
      </c>
      <c r="F2831">
        <v>2012</v>
      </c>
      <c r="G2831">
        <v>820.51279999999997</v>
      </c>
    </row>
    <row r="2832" spans="5:7" x14ac:dyDescent="0.75">
      <c r="E2832" t="s">
        <v>122</v>
      </c>
      <c r="F2832">
        <v>2013</v>
      </c>
      <c r="G2832">
        <v>795.45450000000005</v>
      </c>
    </row>
    <row r="2833" spans="5:7" x14ac:dyDescent="0.75">
      <c r="E2833" t="s">
        <v>122</v>
      </c>
      <c r="F2833">
        <v>2014</v>
      </c>
      <c r="G2833">
        <v>800.00005999999996</v>
      </c>
    </row>
    <row r="2834" spans="5:7" x14ac:dyDescent="0.75">
      <c r="E2834" t="s">
        <v>122</v>
      </c>
      <c r="F2834">
        <v>2015</v>
      </c>
      <c r="G2834">
        <v>740.74069999999995</v>
      </c>
    </row>
    <row r="2835" spans="5:7" x14ac:dyDescent="0.75">
      <c r="E2835" t="s">
        <v>122</v>
      </c>
      <c r="F2835">
        <v>2016</v>
      </c>
      <c r="G2835">
        <v>728.57140000000004</v>
      </c>
    </row>
    <row r="2836" spans="5:7" x14ac:dyDescent="0.75">
      <c r="E2836" t="s">
        <v>122</v>
      </c>
      <c r="F2836">
        <v>2017</v>
      </c>
      <c r="G2836">
        <v>732.14279999999997</v>
      </c>
    </row>
    <row r="2837" spans="5:7" x14ac:dyDescent="0.75">
      <c r="E2837" t="s">
        <v>122</v>
      </c>
      <c r="F2837">
        <v>2018</v>
      </c>
      <c r="G2837">
        <v>716.98113999999998</v>
      </c>
    </row>
    <row r="2838" spans="5:7" x14ac:dyDescent="0.75">
      <c r="E2838" t="s">
        <v>122</v>
      </c>
      <c r="F2838">
        <v>2019</v>
      </c>
      <c r="G2838">
        <v>701.49249999999995</v>
      </c>
    </row>
    <row r="2839" spans="5:7" x14ac:dyDescent="0.75">
      <c r="E2839" t="s">
        <v>122</v>
      </c>
      <c r="F2839">
        <v>2020</v>
      </c>
      <c r="G2839">
        <v>716.41785000000004</v>
      </c>
    </row>
    <row r="2840" spans="5:7" x14ac:dyDescent="0.75">
      <c r="E2840" t="s">
        <v>122</v>
      </c>
      <c r="F2840">
        <v>2021</v>
      </c>
      <c r="G2840">
        <v>704.22540000000004</v>
      </c>
    </row>
    <row r="2841" spans="5:7" x14ac:dyDescent="0.75">
      <c r="E2841" t="s">
        <v>122</v>
      </c>
      <c r="F2841">
        <v>2022</v>
      </c>
      <c r="G2841">
        <v>696.20249999999999</v>
      </c>
    </row>
    <row r="2842" spans="5:7" x14ac:dyDescent="0.75">
      <c r="E2842" t="s">
        <v>122</v>
      </c>
      <c r="F2842">
        <v>2023</v>
      </c>
      <c r="G2842">
        <v>687.5</v>
      </c>
    </row>
    <row r="2843" spans="5:7" x14ac:dyDescent="0.75">
      <c r="E2843" t="s">
        <v>123</v>
      </c>
      <c r="F2843">
        <v>2000</v>
      </c>
      <c r="G2843">
        <v>411.80462999999997</v>
      </c>
    </row>
    <row r="2844" spans="5:7" x14ac:dyDescent="0.75">
      <c r="E2844" t="s">
        <v>123</v>
      </c>
      <c r="F2844">
        <v>2001</v>
      </c>
      <c r="G2844">
        <v>411.76468</v>
      </c>
    </row>
    <row r="2845" spans="5:7" x14ac:dyDescent="0.75">
      <c r="E2845" t="s">
        <v>123</v>
      </c>
      <c r="F2845">
        <v>2002</v>
      </c>
      <c r="G2845">
        <v>412.06497000000002</v>
      </c>
    </row>
    <row r="2846" spans="5:7" x14ac:dyDescent="0.75">
      <c r="E2846" t="s">
        <v>123</v>
      </c>
      <c r="F2846">
        <v>2003</v>
      </c>
      <c r="G2846">
        <v>420.29700000000003</v>
      </c>
    </row>
    <row r="2847" spans="5:7" x14ac:dyDescent="0.75">
      <c r="E2847" t="s">
        <v>123</v>
      </c>
      <c r="F2847">
        <v>2004</v>
      </c>
      <c r="G2847">
        <v>442.15723000000003</v>
      </c>
    </row>
    <row r="2848" spans="5:7" x14ac:dyDescent="0.75">
      <c r="E2848" t="s">
        <v>123</v>
      </c>
      <c r="F2848">
        <v>2005</v>
      </c>
      <c r="G2848">
        <v>444.58600000000001</v>
      </c>
    </row>
    <row r="2849" spans="5:7" x14ac:dyDescent="0.75">
      <c r="E2849" t="s">
        <v>123</v>
      </c>
      <c r="F2849">
        <v>2006</v>
      </c>
      <c r="G2849">
        <v>481.83390000000003</v>
      </c>
    </row>
    <row r="2850" spans="5:7" x14ac:dyDescent="0.75">
      <c r="E2850" t="s">
        <v>123</v>
      </c>
      <c r="F2850">
        <v>2007</v>
      </c>
      <c r="G2850">
        <v>481.94866999999999</v>
      </c>
    </row>
    <row r="2851" spans="5:7" x14ac:dyDescent="0.75">
      <c r="E2851" t="s">
        <v>123</v>
      </c>
      <c r="F2851">
        <v>2008</v>
      </c>
      <c r="G2851">
        <v>482.00756999999999</v>
      </c>
    </row>
    <row r="2852" spans="5:7" x14ac:dyDescent="0.75">
      <c r="E2852" t="s">
        <v>123</v>
      </c>
      <c r="F2852">
        <v>2009</v>
      </c>
      <c r="G2852">
        <v>508.33755000000002</v>
      </c>
    </row>
    <row r="2853" spans="5:7" x14ac:dyDescent="0.75">
      <c r="E2853" t="s">
        <v>123</v>
      </c>
      <c r="F2853">
        <v>2010</v>
      </c>
      <c r="G2853">
        <v>499.04327000000001</v>
      </c>
    </row>
    <row r="2854" spans="5:7" x14ac:dyDescent="0.75">
      <c r="E2854" t="s">
        <v>123</v>
      </c>
      <c r="F2854">
        <v>2011</v>
      </c>
      <c r="G2854">
        <v>515.53252999999995</v>
      </c>
    </row>
    <row r="2855" spans="5:7" x14ac:dyDescent="0.75">
      <c r="E2855" t="s">
        <v>123</v>
      </c>
      <c r="F2855">
        <v>2012</v>
      </c>
      <c r="G2855">
        <v>527.83574999999996</v>
      </c>
    </row>
    <row r="2856" spans="5:7" x14ac:dyDescent="0.75">
      <c r="E2856" t="s">
        <v>123</v>
      </c>
      <c r="F2856">
        <v>2013</v>
      </c>
      <c r="G2856">
        <v>535.77599999999995</v>
      </c>
    </row>
    <row r="2857" spans="5:7" x14ac:dyDescent="0.75">
      <c r="E2857" t="s">
        <v>123</v>
      </c>
      <c r="F2857">
        <v>2014</v>
      </c>
      <c r="G2857">
        <v>547.39777000000004</v>
      </c>
    </row>
    <row r="2858" spans="5:7" x14ac:dyDescent="0.75">
      <c r="E2858" t="s">
        <v>123</v>
      </c>
      <c r="F2858">
        <v>2015</v>
      </c>
      <c r="G2858">
        <v>529.69556</v>
      </c>
    </row>
    <row r="2859" spans="5:7" x14ac:dyDescent="0.75">
      <c r="E2859" t="s">
        <v>123</v>
      </c>
      <c r="F2859">
        <v>2016</v>
      </c>
      <c r="G2859">
        <v>511.22057999999998</v>
      </c>
    </row>
    <row r="2860" spans="5:7" x14ac:dyDescent="0.75">
      <c r="E2860" t="s">
        <v>123</v>
      </c>
      <c r="F2860">
        <v>2017</v>
      </c>
      <c r="G2860">
        <v>500</v>
      </c>
    </row>
    <row r="2861" spans="5:7" x14ac:dyDescent="0.75">
      <c r="E2861" t="s">
        <v>123</v>
      </c>
      <c r="F2861">
        <v>2018</v>
      </c>
      <c r="G2861">
        <v>519.47699999999998</v>
      </c>
    </row>
    <row r="2862" spans="5:7" x14ac:dyDescent="0.75">
      <c r="E2862" t="s">
        <v>123</v>
      </c>
      <c r="F2862">
        <v>2019</v>
      </c>
      <c r="G2862">
        <v>505.75977</v>
      </c>
    </row>
    <row r="2863" spans="5:7" x14ac:dyDescent="0.75">
      <c r="E2863" t="s">
        <v>123</v>
      </c>
      <c r="F2863">
        <v>2020</v>
      </c>
      <c r="G2863">
        <v>523.42100000000005</v>
      </c>
    </row>
    <row r="2864" spans="5:7" x14ac:dyDescent="0.75">
      <c r="E2864" t="s">
        <v>123</v>
      </c>
      <c r="F2864">
        <v>2021</v>
      </c>
      <c r="G2864">
        <v>522.70403999999996</v>
      </c>
    </row>
    <row r="2865" spans="5:7" x14ac:dyDescent="0.75">
      <c r="E2865" t="s">
        <v>123</v>
      </c>
      <c r="F2865">
        <v>2022</v>
      </c>
      <c r="G2865">
        <v>497.36840000000001</v>
      </c>
    </row>
    <row r="2866" spans="5:7" x14ac:dyDescent="0.75">
      <c r="E2866" t="s">
        <v>123</v>
      </c>
      <c r="F2866">
        <v>2023</v>
      </c>
      <c r="G2866">
        <v>508.82144</v>
      </c>
    </row>
    <row r="2867" spans="5:7" x14ac:dyDescent="0.75">
      <c r="E2867" t="s">
        <v>123</v>
      </c>
      <c r="F2867">
        <v>2024</v>
      </c>
      <c r="G2867">
        <v>507.84946000000002</v>
      </c>
    </row>
    <row r="2868" spans="5:7" x14ac:dyDescent="0.75">
      <c r="E2868" t="s">
        <v>124</v>
      </c>
      <c r="F2868">
        <v>2000</v>
      </c>
      <c r="G2868">
        <v>434.71505999999999</v>
      </c>
    </row>
    <row r="2869" spans="5:7" x14ac:dyDescent="0.75">
      <c r="E2869" t="s">
        <v>124</v>
      </c>
      <c r="F2869">
        <v>2001</v>
      </c>
      <c r="G2869">
        <v>433.54903999999999</v>
      </c>
    </row>
    <row r="2870" spans="5:7" x14ac:dyDescent="0.75">
      <c r="E2870" t="s">
        <v>124</v>
      </c>
      <c r="F2870">
        <v>2002</v>
      </c>
      <c r="G2870">
        <v>422.17703</v>
      </c>
    </row>
    <row r="2871" spans="5:7" x14ac:dyDescent="0.75">
      <c r="E2871" t="s">
        <v>124</v>
      </c>
      <c r="F2871">
        <v>2003</v>
      </c>
      <c r="G2871">
        <v>404.69348000000002</v>
      </c>
    </row>
    <row r="2872" spans="5:7" x14ac:dyDescent="0.75">
      <c r="E2872" t="s">
        <v>124</v>
      </c>
      <c r="F2872">
        <v>2004</v>
      </c>
      <c r="G2872">
        <v>395.69990000000001</v>
      </c>
    </row>
    <row r="2873" spans="5:7" x14ac:dyDescent="0.75">
      <c r="E2873" t="s">
        <v>124</v>
      </c>
      <c r="F2873">
        <v>2005</v>
      </c>
      <c r="G2873">
        <v>393.93939999999998</v>
      </c>
    </row>
    <row r="2874" spans="5:7" x14ac:dyDescent="0.75">
      <c r="E2874" t="s">
        <v>124</v>
      </c>
      <c r="F2874">
        <v>2006</v>
      </c>
      <c r="G2874">
        <v>405.64769999999999</v>
      </c>
    </row>
    <row r="2875" spans="5:7" x14ac:dyDescent="0.75">
      <c r="E2875" t="s">
        <v>124</v>
      </c>
      <c r="F2875">
        <v>2007</v>
      </c>
      <c r="G2875">
        <v>355.30619999999999</v>
      </c>
    </row>
    <row r="2876" spans="5:7" x14ac:dyDescent="0.75">
      <c r="E2876" t="s">
        <v>124</v>
      </c>
      <c r="F2876">
        <v>2008</v>
      </c>
      <c r="G2876">
        <v>365.13443000000001</v>
      </c>
    </row>
    <row r="2877" spans="5:7" x14ac:dyDescent="0.75">
      <c r="E2877" t="s">
        <v>124</v>
      </c>
      <c r="F2877">
        <v>2009</v>
      </c>
      <c r="G2877">
        <v>432.84859999999998</v>
      </c>
    </row>
    <row r="2878" spans="5:7" x14ac:dyDescent="0.75">
      <c r="E2878" t="s">
        <v>124</v>
      </c>
      <c r="F2878">
        <v>2010</v>
      </c>
      <c r="G2878">
        <v>404.32749999999999</v>
      </c>
    </row>
    <row r="2879" spans="5:7" x14ac:dyDescent="0.75">
      <c r="E2879" t="s">
        <v>124</v>
      </c>
      <c r="F2879">
        <v>2011</v>
      </c>
      <c r="G2879">
        <v>346.90942000000001</v>
      </c>
    </row>
    <row r="2880" spans="5:7" x14ac:dyDescent="0.75">
      <c r="E2880" t="s">
        <v>124</v>
      </c>
      <c r="F2880">
        <v>2012</v>
      </c>
      <c r="G2880">
        <v>348.31459999999998</v>
      </c>
    </row>
    <row r="2881" spans="5:7" x14ac:dyDescent="0.75">
      <c r="E2881" t="s">
        <v>124</v>
      </c>
      <c r="F2881">
        <v>2013</v>
      </c>
      <c r="G2881">
        <v>347.29178000000002</v>
      </c>
    </row>
    <row r="2882" spans="5:7" x14ac:dyDescent="0.75">
      <c r="E2882" t="s">
        <v>124</v>
      </c>
      <c r="F2882">
        <v>2014</v>
      </c>
      <c r="G2882">
        <v>371.04282000000001</v>
      </c>
    </row>
    <row r="2883" spans="5:7" x14ac:dyDescent="0.75">
      <c r="E2883" t="s">
        <v>124</v>
      </c>
      <c r="F2883">
        <v>2015</v>
      </c>
      <c r="G2883">
        <v>433.17484000000002</v>
      </c>
    </row>
    <row r="2884" spans="5:7" x14ac:dyDescent="0.75">
      <c r="E2884" t="s">
        <v>124</v>
      </c>
      <c r="F2884">
        <v>2016</v>
      </c>
      <c r="G2884">
        <v>425.87151999999998</v>
      </c>
    </row>
    <row r="2885" spans="5:7" x14ac:dyDescent="0.75">
      <c r="E2885" t="s">
        <v>124</v>
      </c>
      <c r="F2885">
        <v>2017</v>
      </c>
      <c r="G2885">
        <v>452.83823000000001</v>
      </c>
    </row>
    <row r="2886" spans="5:7" x14ac:dyDescent="0.75">
      <c r="E2886" t="s">
        <v>124</v>
      </c>
      <c r="F2886">
        <v>2018</v>
      </c>
      <c r="G2886">
        <v>446.23439999999999</v>
      </c>
    </row>
    <row r="2887" spans="5:7" x14ac:dyDescent="0.75">
      <c r="E2887" t="s">
        <v>124</v>
      </c>
      <c r="F2887">
        <v>2019</v>
      </c>
      <c r="G2887">
        <v>486.59967</v>
      </c>
    </row>
    <row r="2888" spans="5:7" x14ac:dyDescent="0.75">
      <c r="E2888" t="s">
        <v>124</v>
      </c>
      <c r="F2888">
        <v>2020</v>
      </c>
      <c r="G2888">
        <v>424.48129999999998</v>
      </c>
    </row>
    <row r="2889" spans="5:7" x14ac:dyDescent="0.75">
      <c r="E2889" t="s">
        <v>124</v>
      </c>
      <c r="F2889">
        <v>2021</v>
      </c>
      <c r="G2889">
        <v>342.56729999999999</v>
      </c>
    </row>
    <row r="2890" spans="5:7" x14ac:dyDescent="0.75">
      <c r="E2890" t="s">
        <v>124</v>
      </c>
      <c r="F2890">
        <v>2022</v>
      </c>
      <c r="G2890">
        <v>344.25612999999998</v>
      </c>
    </row>
    <row r="2891" spans="5:7" x14ac:dyDescent="0.75">
      <c r="E2891" t="s">
        <v>125</v>
      </c>
      <c r="F2891">
        <v>2000</v>
      </c>
      <c r="G2891">
        <v>822.32010000000002</v>
      </c>
    </row>
    <row r="2892" spans="5:7" x14ac:dyDescent="0.75">
      <c r="E2892" t="s">
        <v>125</v>
      </c>
      <c r="F2892">
        <v>2001</v>
      </c>
      <c r="G2892">
        <v>907.37836000000004</v>
      </c>
    </row>
    <row r="2893" spans="5:7" x14ac:dyDescent="0.75">
      <c r="E2893" t="s">
        <v>125</v>
      </c>
      <c r="F2893">
        <v>2002</v>
      </c>
      <c r="G2893">
        <v>880.13135</v>
      </c>
    </row>
    <row r="2894" spans="5:7" x14ac:dyDescent="0.75">
      <c r="E2894" t="s">
        <v>125</v>
      </c>
      <c r="F2894">
        <v>2003</v>
      </c>
      <c r="G2894">
        <v>811.29269999999997</v>
      </c>
    </row>
    <row r="2895" spans="5:7" x14ac:dyDescent="0.75">
      <c r="E2895" t="s">
        <v>125</v>
      </c>
      <c r="F2895">
        <v>2004</v>
      </c>
      <c r="G2895">
        <v>794.29430000000002</v>
      </c>
    </row>
    <row r="2896" spans="5:7" x14ac:dyDescent="0.75">
      <c r="E2896" t="s">
        <v>125</v>
      </c>
      <c r="F2896">
        <v>2005</v>
      </c>
      <c r="G2896">
        <v>802.59370000000001</v>
      </c>
    </row>
    <row r="2897" spans="5:7" x14ac:dyDescent="0.75">
      <c r="E2897" t="s">
        <v>125</v>
      </c>
      <c r="F2897">
        <v>2006</v>
      </c>
      <c r="G2897">
        <v>768.90155000000004</v>
      </c>
    </row>
    <row r="2898" spans="5:7" x14ac:dyDescent="0.75">
      <c r="E2898" t="s">
        <v>125</v>
      </c>
      <c r="F2898">
        <v>2007</v>
      </c>
      <c r="G2898">
        <v>835.38459999999998</v>
      </c>
    </row>
    <row r="2899" spans="5:7" x14ac:dyDescent="0.75">
      <c r="E2899" t="s">
        <v>125</v>
      </c>
      <c r="F2899">
        <v>2008</v>
      </c>
      <c r="G2899">
        <v>873.21716000000004</v>
      </c>
    </row>
    <row r="2900" spans="5:7" x14ac:dyDescent="0.75">
      <c r="E2900" t="s">
        <v>125</v>
      </c>
      <c r="F2900">
        <v>2009</v>
      </c>
      <c r="G2900">
        <v>816.71559999999999</v>
      </c>
    </row>
    <row r="2901" spans="5:7" x14ac:dyDescent="0.75">
      <c r="E2901" t="s">
        <v>125</v>
      </c>
      <c r="F2901">
        <v>2010</v>
      </c>
      <c r="G2901">
        <v>677.68589999999995</v>
      </c>
    </row>
    <row r="2902" spans="5:7" x14ac:dyDescent="0.75">
      <c r="E2902" t="s">
        <v>125</v>
      </c>
      <c r="F2902">
        <v>2011</v>
      </c>
      <c r="G2902">
        <v>794.37865999999997</v>
      </c>
    </row>
    <row r="2903" spans="5:7" x14ac:dyDescent="0.75">
      <c r="E2903" t="s">
        <v>125</v>
      </c>
      <c r="F2903">
        <v>2012</v>
      </c>
      <c r="G2903">
        <v>819.48883000000001</v>
      </c>
    </row>
    <row r="2904" spans="5:7" x14ac:dyDescent="0.75">
      <c r="E2904" t="s">
        <v>125</v>
      </c>
      <c r="F2904">
        <v>2013</v>
      </c>
      <c r="G2904">
        <v>719.21185000000003</v>
      </c>
    </row>
    <row r="2905" spans="5:7" x14ac:dyDescent="0.75">
      <c r="E2905" t="s">
        <v>125</v>
      </c>
      <c r="F2905">
        <v>2014</v>
      </c>
      <c r="G2905">
        <v>749.07069999999999</v>
      </c>
    </row>
    <row r="2906" spans="5:7" x14ac:dyDescent="0.75">
      <c r="E2906" t="s">
        <v>125</v>
      </c>
      <c r="F2906">
        <v>2015</v>
      </c>
      <c r="G2906">
        <v>631.85839999999996</v>
      </c>
    </row>
    <row r="2907" spans="5:7" x14ac:dyDescent="0.75">
      <c r="E2907" t="s">
        <v>125</v>
      </c>
      <c r="F2907">
        <v>2016</v>
      </c>
      <c r="G2907">
        <v>593.25040000000001</v>
      </c>
    </row>
    <row r="2908" spans="5:7" x14ac:dyDescent="0.75">
      <c r="E2908" t="s">
        <v>125</v>
      </c>
      <c r="F2908">
        <v>2017</v>
      </c>
      <c r="G2908">
        <v>705.35720000000003</v>
      </c>
    </row>
    <row r="2909" spans="5:7" x14ac:dyDescent="0.75">
      <c r="E2909" t="s">
        <v>125</v>
      </c>
      <c r="F2909">
        <v>2018</v>
      </c>
      <c r="G2909">
        <v>595.36540000000002</v>
      </c>
    </row>
    <row r="2910" spans="5:7" x14ac:dyDescent="0.75">
      <c r="E2910" t="s">
        <v>125</v>
      </c>
      <c r="F2910">
        <v>2019</v>
      </c>
      <c r="G2910">
        <v>700.17039999999997</v>
      </c>
    </row>
    <row r="2911" spans="5:7" x14ac:dyDescent="0.75">
      <c r="E2911" t="s">
        <v>125</v>
      </c>
      <c r="F2911">
        <v>2020</v>
      </c>
      <c r="G2911">
        <v>623.59546</v>
      </c>
    </row>
    <row r="2912" spans="5:7" x14ac:dyDescent="0.75">
      <c r="E2912" t="s">
        <v>125</v>
      </c>
      <c r="F2912">
        <v>2021</v>
      </c>
      <c r="G2912">
        <v>562.38696000000004</v>
      </c>
    </row>
    <row r="2913" spans="5:7" x14ac:dyDescent="0.75">
      <c r="E2913" t="s">
        <v>125</v>
      </c>
      <c r="F2913">
        <v>2022</v>
      </c>
      <c r="G2913">
        <v>624.57910000000004</v>
      </c>
    </row>
    <row r="2914" spans="5:7" x14ac:dyDescent="0.75">
      <c r="E2914" t="s">
        <v>125</v>
      </c>
      <c r="F2914">
        <v>2023</v>
      </c>
      <c r="G2914">
        <v>567.29380000000003</v>
      </c>
    </row>
    <row r="2915" spans="5:7" x14ac:dyDescent="0.75">
      <c r="E2915" t="s">
        <v>125</v>
      </c>
      <c r="F2915">
        <v>2024</v>
      </c>
      <c r="G2915">
        <v>568.96550000000002</v>
      </c>
    </row>
    <row r="2916" spans="5:7" x14ac:dyDescent="0.75">
      <c r="E2916" t="s">
        <v>126</v>
      </c>
      <c r="F2916">
        <v>2000</v>
      </c>
      <c r="G2916">
        <v>25.750772000000001</v>
      </c>
    </row>
    <row r="2917" spans="5:7" x14ac:dyDescent="0.75">
      <c r="E2917" t="s">
        <v>126</v>
      </c>
      <c r="F2917">
        <v>2001</v>
      </c>
      <c r="G2917">
        <v>26.871084</v>
      </c>
    </row>
    <row r="2918" spans="5:7" x14ac:dyDescent="0.75">
      <c r="E2918" t="s">
        <v>126</v>
      </c>
      <c r="F2918">
        <v>2002</v>
      </c>
      <c r="G2918">
        <v>26.489557000000001</v>
      </c>
    </row>
    <row r="2919" spans="5:7" x14ac:dyDescent="0.75">
      <c r="E2919" t="s">
        <v>126</v>
      </c>
      <c r="F2919">
        <v>2003</v>
      </c>
      <c r="G2919">
        <v>27.749134000000002</v>
      </c>
    </row>
    <row r="2920" spans="5:7" x14ac:dyDescent="0.75">
      <c r="E2920" t="s">
        <v>126</v>
      </c>
      <c r="F2920">
        <v>2004</v>
      </c>
      <c r="G2920">
        <v>27.883741000000001</v>
      </c>
    </row>
    <row r="2921" spans="5:7" x14ac:dyDescent="0.75">
      <c r="E2921" t="s">
        <v>126</v>
      </c>
      <c r="F2921">
        <v>2005</v>
      </c>
      <c r="G2921">
        <v>26.958105</v>
      </c>
    </row>
    <row r="2922" spans="5:7" x14ac:dyDescent="0.75">
      <c r="E2922" t="s">
        <v>126</v>
      </c>
      <c r="F2922">
        <v>2006</v>
      </c>
      <c r="G2922">
        <v>27.883188000000001</v>
      </c>
    </row>
    <row r="2923" spans="5:7" x14ac:dyDescent="0.75">
      <c r="E2923" t="s">
        <v>126</v>
      </c>
      <c r="F2923">
        <v>2007</v>
      </c>
      <c r="G2923">
        <v>28.579826000000001</v>
      </c>
    </row>
    <row r="2924" spans="5:7" x14ac:dyDescent="0.75">
      <c r="E2924" t="s">
        <v>126</v>
      </c>
      <c r="F2924">
        <v>2008</v>
      </c>
      <c r="G2924">
        <v>27.480699999999999</v>
      </c>
    </row>
    <row r="2925" spans="5:7" x14ac:dyDescent="0.75">
      <c r="E2925" t="s">
        <v>126</v>
      </c>
      <c r="F2925">
        <v>2009</v>
      </c>
      <c r="G2925">
        <v>39.092922000000002</v>
      </c>
    </row>
    <row r="2926" spans="5:7" x14ac:dyDescent="0.75">
      <c r="E2926" t="s">
        <v>126</v>
      </c>
      <c r="F2926">
        <v>2010</v>
      </c>
      <c r="G2926">
        <v>42.878025000000001</v>
      </c>
    </row>
    <row r="2927" spans="5:7" x14ac:dyDescent="0.75">
      <c r="E2927" t="s">
        <v>126</v>
      </c>
      <c r="F2927">
        <v>2011</v>
      </c>
      <c r="G2927">
        <v>38.354640000000003</v>
      </c>
    </row>
    <row r="2928" spans="5:7" x14ac:dyDescent="0.75">
      <c r="E2928" t="s">
        <v>126</v>
      </c>
      <c r="F2928">
        <v>2012</v>
      </c>
      <c r="G2928">
        <v>32.152140000000003</v>
      </c>
    </row>
    <row r="2929" spans="5:7" x14ac:dyDescent="0.75">
      <c r="E2929" t="s">
        <v>126</v>
      </c>
      <c r="F2929">
        <v>2013</v>
      </c>
      <c r="G2929">
        <v>33.949226000000003</v>
      </c>
    </row>
    <row r="2930" spans="5:7" x14ac:dyDescent="0.75">
      <c r="E2930" t="s">
        <v>126</v>
      </c>
      <c r="F2930">
        <v>2014</v>
      </c>
      <c r="G2930">
        <v>33.929585000000003</v>
      </c>
    </row>
    <row r="2931" spans="5:7" x14ac:dyDescent="0.75">
      <c r="E2931" t="s">
        <v>126</v>
      </c>
      <c r="F2931">
        <v>2015</v>
      </c>
      <c r="G2931">
        <v>33.636364</v>
      </c>
    </row>
    <row r="2932" spans="5:7" x14ac:dyDescent="0.75">
      <c r="E2932" t="s">
        <v>126</v>
      </c>
      <c r="F2932">
        <v>2016</v>
      </c>
      <c r="G2932">
        <v>33.101399999999998</v>
      </c>
    </row>
    <row r="2933" spans="5:7" x14ac:dyDescent="0.75">
      <c r="E2933" t="s">
        <v>126</v>
      </c>
      <c r="F2933">
        <v>2017</v>
      </c>
      <c r="G2933">
        <v>32.980373</v>
      </c>
    </row>
    <row r="2934" spans="5:7" x14ac:dyDescent="0.75">
      <c r="E2934" t="s">
        <v>126</v>
      </c>
      <c r="F2934">
        <v>2018</v>
      </c>
      <c r="G2934">
        <v>33.095790000000001</v>
      </c>
    </row>
    <row r="2935" spans="5:7" x14ac:dyDescent="0.75">
      <c r="E2935" t="s">
        <v>126</v>
      </c>
      <c r="F2935">
        <v>2019</v>
      </c>
      <c r="G2935">
        <v>33.475304000000001</v>
      </c>
    </row>
    <row r="2936" spans="5:7" x14ac:dyDescent="0.75">
      <c r="E2936" t="s">
        <v>126</v>
      </c>
      <c r="F2936">
        <v>2020</v>
      </c>
      <c r="G2936">
        <v>30.391393999999998</v>
      </c>
    </row>
    <row r="2937" spans="5:7" x14ac:dyDescent="0.75">
      <c r="E2937" t="s">
        <v>126</v>
      </c>
      <c r="F2937">
        <v>2021</v>
      </c>
      <c r="G2937">
        <v>26.920383000000001</v>
      </c>
    </row>
    <row r="2938" spans="5:7" x14ac:dyDescent="0.75">
      <c r="E2938" t="s">
        <v>126</v>
      </c>
      <c r="F2938">
        <v>2022</v>
      </c>
      <c r="G2938">
        <v>29.638287999999999</v>
      </c>
    </row>
    <row r="2939" spans="5:7" x14ac:dyDescent="0.75">
      <c r="E2939" t="s">
        <v>126</v>
      </c>
      <c r="F2939">
        <v>2023</v>
      </c>
      <c r="G2939">
        <v>30.482641000000001</v>
      </c>
    </row>
    <row r="2940" spans="5:7" x14ac:dyDescent="0.75">
      <c r="E2940" t="s">
        <v>126</v>
      </c>
      <c r="F2940">
        <v>2024</v>
      </c>
      <c r="G2940">
        <v>30.745583</v>
      </c>
    </row>
    <row r="2941" spans="5:7" x14ac:dyDescent="0.75">
      <c r="E2941" t="s">
        <v>127</v>
      </c>
      <c r="F2941">
        <v>2000</v>
      </c>
      <c r="G2941">
        <v>580.68060000000003</v>
      </c>
    </row>
    <row r="2942" spans="5:7" x14ac:dyDescent="0.75">
      <c r="E2942" t="s">
        <v>127</v>
      </c>
      <c r="F2942">
        <v>2001</v>
      </c>
      <c r="G2942">
        <v>581.10879999999997</v>
      </c>
    </row>
    <row r="2943" spans="5:7" x14ac:dyDescent="0.75">
      <c r="E2943" t="s">
        <v>127</v>
      </c>
      <c r="F2943">
        <v>2002</v>
      </c>
      <c r="G2943">
        <v>580.83249999999998</v>
      </c>
    </row>
    <row r="2944" spans="5:7" x14ac:dyDescent="0.75">
      <c r="E2944" t="s">
        <v>127</v>
      </c>
      <c r="F2944">
        <v>2003</v>
      </c>
      <c r="G2944">
        <v>581.69934000000001</v>
      </c>
    </row>
    <row r="2945" spans="5:7" x14ac:dyDescent="0.75">
      <c r="E2945" t="s">
        <v>127</v>
      </c>
      <c r="F2945">
        <v>2004</v>
      </c>
      <c r="G2945">
        <v>580.86956999999995</v>
      </c>
    </row>
    <row r="2946" spans="5:7" x14ac:dyDescent="0.75">
      <c r="E2946" t="s">
        <v>127</v>
      </c>
      <c r="F2946">
        <v>2005</v>
      </c>
      <c r="G2946">
        <v>579.44665999999995</v>
      </c>
    </row>
    <row r="2947" spans="5:7" x14ac:dyDescent="0.75">
      <c r="E2947" t="s">
        <v>127</v>
      </c>
      <c r="F2947">
        <v>2006</v>
      </c>
      <c r="G2947">
        <v>578.63054999999997</v>
      </c>
    </row>
    <row r="2948" spans="5:7" x14ac:dyDescent="0.75">
      <c r="E2948" t="s">
        <v>127</v>
      </c>
      <c r="F2948">
        <v>2007</v>
      </c>
      <c r="G2948">
        <v>565.98450000000003</v>
      </c>
    </row>
    <row r="2949" spans="5:7" x14ac:dyDescent="0.75">
      <c r="E2949" t="s">
        <v>127</v>
      </c>
      <c r="F2949">
        <v>2008</v>
      </c>
      <c r="G2949">
        <v>566.35515999999996</v>
      </c>
    </row>
    <row r="2950" spans="5:7" x14ac:dyDescent="0.75">
      <c r="E2950" t="s">
        <v>127</v>
      </c>
      <c r="F2950">
        <v>2009</v>
      </c>
      <c r="G2950">
        <v>566.39559999999994</v>
      </c>
    </row>
    <row r="2951" spans="5:7" x14ac:dyDescent="0.75">
      <c r="E2951" t="s">
        <v>127</v>
      </c>
      <c r="F2951">
        <v>2010</v>
      </c>
      <c r="G2951">
        <v>566.8854</v>
      </c>
    </row>
    <row r="2952" spans="5:7" x14ac:dyDescent="0.75">
      <c r="E2952" t="s">
        <v>127</v>
      </c>
      <c r="F2952">
        <v>2011</v>
      </c>
      <c r="G2952">
        <v>566.98670000000004</v>
      </c>
    </row>
    <row r="2953" spans="5:7" x14ac:dyDescent="0.75">
      <c r="E2953" t="s">
        <v>127</v>
      </c>
      <c r="F2953">
        <v>2012</v>
      </c>
      <c r="G2953">
        <v>566.74659999999994</v>
      </c>
    </row>
    <row r="2954" spans="5:7" x14ac:dyDescent="0.75">
      <c r="E2954" t="s">
        <v>127</v>
      </c>
      <c r="F2954">
        <v>2013</v>
      </c>
      <c r="G2954">
        <v>567.07320000000004</v>
      </c>
    </row>
    <row r="2955" spans="5:7" x14ac:dyDescent="0.75">
      <c r="E2955" t="s">
        <v>127</v>
      </c>
      <c r="F2955">
        <v>2014</v>
      </c>
      <c r="G2955">
        <v>567.11300000000006</v>
      </c>
    </row>
    <row r="2956" spans="5:7" x14ac:dyDescent="0.75">
      <c r="E2956" t="s">
        <v>127</v>
      </c>
      <c r="F2956">
        <v>2015</v>
      </c>
      <c r="G2956">
        <v>567.32825000000003</v>
      </c>
    </row>
    <row r="2957" spans="5:7" x14ac:dyDescent="0.75">
      <c r="E2957" t="s">
        <v>127</v>
      </c>
      <c r="F2957">
        <v>2016</v>
      </c>
      <c r="G2957">
        <v>567.33860000000004</v>
      </c>
    </row>
    <row r="2958" spans="5:7" x14ac:dyDescent="0.75">
      <c r="E2958" t="s">
        <v>127</v>
      </c>
      <c r="F2958">
        <v>2017</v>
      </c>
      <c r="G2958">
        <v>566.80493000000001</v>
      </c>
    </row>
    <row r="2959" spans="5:7" x14ac:dyDescent="0.75">
      <c r="E2959" t="s">
        <v>127</v>
      </c>
      <c r="F2959">
        <v>2018</v>
      </c>
      <c r="G2959">
        <v>566.47249999999997</v>
      </c>
    </row>
    <row r="2960" spans="5:7" x14ac:dyDescent="0.75">
      <c r="E2960" t="s">
        <v>127</v>
      </c>
      <c r="F2960">
        <v>2019</v>
      </c>
      <c r="G2960">
        <v>566.46954000000005</v>
      </c>
    </row>
    <row r="2961" spans="5:7" x14ac:dyDescent="0.75">
      <c r="E2961" t="s">
        <v>127</v>
      </c>
      <c r="F2961">
        <v>2020</v>
      </c>
      <c r="G2961">
        <v>563.66459999999995</v>
      </c>
    </row>
    <row r="2962" spans="5:7" x14ac:dyDescent="0.75">
      <c r="E2962" t="s">
        <v>127</v>
      </c>
      <c r="F2962">
        <v>2021</v>
      </c>
      <c r="G2962">
        <v>557.86707000000001</v>
      </c>
    </row>
    <row r="2963" spans="5:7" x14ac:dyDescent="0.75">
      <c r="E2963" t="s">
        <v>127</v>
      </c>
      <c r="F2963">
        <v>2022</v>
      </c>
      <c r="G2963">
        <v>547.37080000000003</v>
      </c>
    </row>
    <row r="2964" spans="5:7" x14ac:dyDescent="0.75">
      <c r="E2964" t="s">
        <v>127</v>
      </c>
      <c r="F2964">
        <v>2023</v>
      </c>
      <c r="G2964">
        <v>545.87869999999998</v>
      </c>
    </row>
    <row r="2965" spans="5:7" x14ac:dyDescent="0.75">
      <c r="E2965" t="s">
        <v>127</v>
      </c>
      <c r="F2965">
        <v>2024</v>
      </c>
      <c r="G2965">
        <v>545.32874000000004</v>
      </c>
    </row>
    <row r="2966" spans="5:7" x14ac:dyDescent="0.75">
      <c r="E2966" t="s">
        <v>128</v>
      </c>
      <c r="F2966">
        <v>2000</v>
      </c>
      <c r="G2966">
        <v>499.92484000000002</v>
      </c>
    </row>
    <row r="2967" spans="5:7" x14ac:dyDescent="0.75">
      <c r="E2967" t="s">
        <v>128</v>
      </c>
      <c r="F2967">
        <v>2001</v>
      </c>
      <c r="G2967">
        <v>483.70546999999999</v>
      </c>
    </row>
    <row r="2968" spans="5:7" x14ac:dyDescent="0.75">
      <c r="E2968" t="s">
        <v>128</v>
      </c>
      <c r="F2968">
        <v>2002</v>
      </c>
      <c r="G2968">
        <v>465.61962999999997</v>
      </c>
    </row>
    <row r="2969" spans="5:7" x14ac:dyDescent="0.75">
      <c r="E2969" t="s">
        <v>128</v>
      </c>
      <c r="F2969">
        <v>2003</v>
      </c>
      <c r="G2969">
        <v>442.37329999999997</v>
      </c>
    </row>
    <row r="2970" spans="5:7" x14ac:dyDescent="0.75">
      <c r="E2970" t="s">
        <v>128</v>
      </c>
      <c r="F2970">
        <v>2004</v>
      </c>
      <c r="G2970">
        <v>461.84273999999999</v>
      </c>
    </row>
    <row r="2971" spans="5:7" x14ac:dyDescent="0.75">
      <c r="E2971" t="s">
        <v>128</v>
      </c>
      <c r="F2971">
        <v>2005</v>
      </c>
      <c r="G2971">
        <v>441.73012999999997</v>
      </c>
    </row>
    <row r="2972" spans="5:7" x14ac:dyDescent="0.75">
      <c r="E2972" t="s">
        <v>128</v>
      </c>
      <c r="F2972">
        <v>2006</v>
      </c>
      <c r="G2972">
        <v>442.98203000000001</v>
      </c>
    </row>
    <row r="2973" spans="5:7" x14ac:dyDescent="0.75">
      <c r="E2973" t="s">
        <v>128</v>
      </c>
      <c r="F2973">
        <v>2007</v>
      </c>
      <c r="G2973">
        <v>456.68225000000001</v>
      </c>
    </row>
    <row r="2974" spans="5:7" x14ac:dyDescent="0.75">
      <c r="E2974" t="s">
        <v>128</v>
      </c>
      <c r="F2974">
        <v>2008</v>
      </c>
      <c r="G2974">
        <v>459.09041999999999</v>
      </c>
    </row>
    <row r="2975" spans="5:7" x14ac:dyDescent="0.75">
      <c r="E2975" t="s">
        <v>128</v>
      </c>
      <c r="F2975">
        <v>2009</v>
      </c>
      <c r="G2975">
        <v>458.22494999999998</v>
      </c>
    </row>
    <row r="2976" spans="5:7" x14ac:dyDescent="0.75">
      <c r="E2976" t="s">
        <v>128</v>
      </c>
      <c r="F2976">
        <v>2010</v>
      </c>
      <c r="G2976">
        <v>429.65940000000001</v>
      </c>
    </row>
    <row r="2977" spans="5:7" x14ac:dyDescent="0.75">
      <c r="E2977" t="s">
        <v>128</v>
      </c>
      <c r="F2977">
        <v>2011</v>
      </c>
      <c r="G2977">
        <v>443.31959999999998</v>
      </c>
    </row>
    <row r="2978" spans="5:7" x14ac:dyDescent="0.75">
      <c r="E2978" t="s">
        <v>128</v>
      </c>
      <c r="F2978">
        <v>2012</v>
      </c>
      <c r="G2978">
        <v>431.70233000000002</v>
      </c>
    </row>
    <row r="2979" spans="5:7" x14ac:dyDescent="0.75">
      <c r="E2979" t="s">
        <v>128</v>
      </c>
      <c r="F2979">
        <v>2013</v>
      </c>
      <c r="G2979">
        <v>436.21283</v>
      </c>
    </row>
    <row r="2980" spans="5:7" x14ac:dyDescent="0.75">
      <c r="E2980" t="s">
        <v>128</v>
      </c>
      <c r="F2980">
        <v>2014</v>
      </c>
      <c r="G2980">
        <v>432.76803999999998</v>
      </c>
    </row>
    <row r="2981" spans="5:7" x14ac:dyDescent="0.75">
      <c r="E2981" t="s">
        <v>128</v>
      </c>
      <c r="F2981">
        <v>2015</v>
      </c>
      <c r="G2981">
        <v>431.77587999999997</v>
      </c>
    </row>
    <row r="2982" spans="5:7" x14ac:dyDescent="0.75">
      <c r="E2982" t="s">
        <v>128</v>
      </c>
      <c r="F2982">
        <v>2016</v>
      </c>
      <c r="G2982">
        <v>456.95688000000001</v>
      </c>
    </row>
    <row r="2983" spans="5:7" x14ac:dyDescent="0.75">
      <c r="E2983" t="s">
        <v>128</v>
      </c>
      <c r="F2983">
        <v>2017</v>
      </c>
      <c r="G2983">
        <v>488.49340000000001</v>
      </c>
    </row>
    <row r="2984" spans="5:7" x14ac:dyDescent="0.75">
      <c r="E2984" t="s">
        <v>128</v>
      </c>
      <c r="F2984">
        <v>2018</v>
      </c>
      <c r="G2984">
        <v>487.5213</v>
      </c>
    </row>
    <row r="2985" spans="5:7" x14ac:dyDescent="0.75">
      <c r="E2985" t="s">
        <v>128</v>
      </c>
      <c r="F2985">
        <v>2019</v>
      </c>
      <c r="G2985">
        <v>477.98034999999999</v>
      </c>
    </row>
    <row r="2986" spans="5:7" x14ac:dyDescent="0.75">
      <c r="E2986" t="s">
        <v>128</v>
      </c>
      <c r="F2986">
        <v>2020</v>
      </c>
      <c r="G2986">
        <v>485.43150000000003</v>
      </c>
    </row>
    <row r="2987" spans="5:7" x14ac:dyDescent="0.75">
      <c r="E2987" t="s">
        <v>128</v>
      </c>
      <c r="F2987">
        <v>2021</v>
      </c>
      <c r="G2987">
        <v>462.90802000000002</v>
      </c>
    </row>
    <row r="2988" spans="5:7" x14ac:dyDescent="0.75">
      <c r="E2988" t="s">
        <v>128</v>
      </c>
      <c r="F2988">
        <v>2022</v>
      </c>
      <c r="G2988">
        <v>436.58422999999999</v>
      </c>
    </row>
    <row r="2989" spans="5:7" x14ac:dyDescent="0.75">
      <c r="E2989" t="s">
        <v>128</v>
      </c>
      <c r="F2989">
        <v>2023</v>
      </c>
      <c r="G2989">
        <v>425.68472000000003</v>
      </c>
    </row>
    <row r="2990" spans="5:7" x14ac:dyDescent="0.75">
      <c r="E2990" t="s">
        <v>128</v>
      </c>
      <c r="F2990">
        <v>2024</v>
      </c>
      <c r="G2990">
        <v>398.61020000000002</v>
      </c>
    </row>
    <row r="2991" spans="5:7" x14ac:dyDescent="0.75">
      <c r="E2991" t="s">
        <v>129</v>
      </c>
      <c r="F2991">
        <v>2000</v>
      </c>
      <c r="G2991">
        <v>210.63394</v>
      </c>
    </row>
    <row r="2992" spans="5:7" x14ac:dyDescent="0.75">
      <c r="E2992" t="s">
        <v>129</v>
      </c>
      <c r="F2992">
        <v>2001</v>
      </c>
      <c r="G2992">
        <v>345.70312000000001</v>
      </c>
    </row>
    <row r="2993" spans="5:7" x14ac:dyDescent="0.75">
      <c r="E2993" t="s">
        <v>129</v>
      </c>
      <c r="F2993">
        <v>2002</v>
      </c>
      <c r="G2993">
        <v>247.63704000000001</v>
      </c>
    </row>
    <row r="2994" spans="5:7" x14ac:dyDescent="0.75">
      <c r="E2994" t="s">
        <v>129</v>
      </c>
      <c r="F2994">
        <v>2003</v>
      </c>
      <c r="G2994">
        <v>335.72710000000001</v>
      </c>
    </row>
    <row r="2995" spans="5:7" x14ac:dyDescent="0.75">
      <c r="E2995" t="s">
        <v>129</v>
      </c>
      <c r="F2995">
        <v>2004</v>
      </c>
      <c r="G2995">
        <v>239.58332999999999</v>
      </c>
    </row>
    <row r="2996" spans="5:7" x14ac:dyDescent="0.75">
      <c r="E2996" t="s">
        <v>129</v>
      </c>
      <c r="F2996">
        <v>2005</v>
      </c>
      <c r="G2996">
        <v>250.85910000000001</v>
      </c>
    </row>
    <row r="2997" spans="5:7" x14ac:dyDescent="0.75">
      <c r="E2997" t="s">
        <v>129</v>
      </c>
      <c r="F2997">
        <v>2006</v>
      </c>
      <c r="G2997">
        <v>277.59197999999998</v>
      </c>
    </row>
    <row r="2998" spans="5:7" x14ac:dyDescent="0.75">
      <c r="E2998" t="s">
        <v>129</v>
      </c>
      <c r="F2998">
        <v>2007</v>
      </c>
      <c r="G2998">
        <v>292.56963999999999</v>
      </c>
    </row>
    <row r="2999" spans="5:7" x14ac:dyDescent="0.75">
      <c r="E2999" t="s">
        <v>129</v>
      </c>
      <c r="F2999">
        <v>2008</v>
      </c>
      <c r="G2999">
        <v>264.38569999999999</v>
      </c>
    </row>
    <row r="3000" spans="5:7" x14ac:dyDescent="0.75">
      <c r="E3000" t="s">
        <v>129</v>
      </c>
      <c r="F3000">
        <v>2009</v>
      </c>
      <c r="G3000">
        <v>298.11865</v>
      </c>
    </row>
    <row r="3001" spans="5:7" x14ac:dyDescent="0.75">
      <c r="E3001" t="s">
        <v>129</v>
      </c>
      <c r="F3001">
        <v>2010</v>
      </c>
      <c r="G3001">
        <v>296.74799999999999</v>
      </c>
    </row>
    <row r="3002" spans="5:7" x14ac:dyDescent="0.75">
      <c r="E3002" t="s">
        <v>129</v>
      </c>
      <c r="F3002">
        <v>2011</v>
      </c>
      <c r="G3002">
        <v>336.31713999999999</v>
      </c>
    </row>
    <row r="3003" spans="5:7" x14ac:dyDescent="0.75">
      <c r="E3003" t="s">
        <v>129</v>
      </c>
      <c r="F3003">
        <v>2012</v>
      </c>
      <c r="G3003">
        <v>276.4228</v>
      </c>
    </row>
    <row r="3004" spans="5:7" x14ac:dyDescent="0.75">
      <c r="E3004" t="s">
        <v>129</v>
      </c>
      <c r="F3004">
        <v>2013</v>
      </c>
      <c r="G3004">
        <v>307.26256999999998</v>
      </c>
    </row>
    <row r="3005" spans="5:7" x14ac:dyDescent="0.75">
      <c r="E3005" t="s">
        <v>129</v>
      </c>
      <c r="F3005">
        <v>2014</v>
      </c>
      <c r="G3005">
        <v>320.43009999999998</v>
      </c>
    </row>
    <row r="3006" spans="5:7" x14ac:dyDescent="0.75">
      <c r="E3006" t="s">
        <v>129</v>
      </c>
      <c r="F3006">
        <v>2015</v>
      </c>
      <c r="G3006">
        <v>258.25243999999998</v>
      </c>
    </row>
    <row r="3007" spans="5:7" x14ac:dyDescent="0.75">
      <c r="E3007" t="s">
        <v>129</v>
      </c>
      <c r="F3007">
        <v>2016</v>
      </c>
      <c r="G3007">
        <v>247.24265</v>
      </c>
    </row>
    <row r="3008" spans="5:7" x14ac:dyDescent="0.75">
      <c r="E3008" t="s">
        <v>129</v>
      </c>
      <c r="F3008">
        <v>2017</v>
      </c>
      <c r="G3008">
        <v>205.61593999999999</v>
      </c>
    </row>
    <row r="3009" spans="5:7" x14ac:dyDescent="0.75">
      <c r="E3009" t="s">
        <v>129</v>
      </c>
      <c r="F3009">
        <v>2018</v>
      </c>
      <c r="G3009">
        <v>169.64285000000001</v>
      </c>
    </row>
    <row r="3010" spans="5:7" x14ac:dyDescent="0.75">
      <c r="E3010" t="s">
        <v>129</v>
      </c>
      <c r="F3010">
        <v>2019</v>
      </c>
      <c r="G3010">
        <v>325.60135000000002</v>
      </c>
    </row>
    <row r="3011" spans="5:7" x14ac:dyDescent="0.75">
      <c r="E3011" t="s">
        <v>129</v>
      </c>
      <c r="F3011">
        <v>2020</v>
      </c>
      <c r="G3011">
        <v>180.98721</v>
      </c>
    </row>
    <row r="3012" spans="5:7" x14ac:dyDescent="0.75">
      <c r="E3012" t="s">
        <v>129</v>
      </c>
      <c r="F3012">
        <v>2021</v>
      </c>
      <c r="G3012">
        <v>161.84971999999999</v>
      </c>
    </row>
    <row r="3013" spans="5:7" x14ac:dyDescent="0.75">
      <c r="E3013" t="s">
        <v>129</v>
      </c>
      <c r="F3013">
        <v>2022</v>
      </c>
      <c r="G3013">
        <v>168.97958</v>
      </c>
    </row>
    <row r="3014" spans="5:7" x14ac:dyDescent="0.75">
      <c r="E3014" t="s">
        <v>129</v>
      </c>
      <c r="F3014">
        <v>2023</v>
      </c>
      <c r="G3014">
        <v>258.74124</v>
      </c>
    </row>
    <row r="3015" spans="5:7" x14ac:dyDescent="0.75">
      <c r="E3015" t="s">
        <v>130</v>
      </c>
      <c r="F3015">
        <v>2000</v>
      </c>
      <c r="G3015">
        <v>23.742754000000001</v>
      </c>
    </row>
    <row r="3016" spans="5:7" x14ac:dyDescent="0.75">
      <c r="E3016" t="s">
        <v>130</v>
      </c>
      <c r="F3016">
        <v>2001</v>
      </c>
      <c r="G3016">
        <v>23.830539999999999</v>
      </c>
    </row>
    <row r="3017" spans="5:7" x14ac:dyDescent="0.75">
      <c r="E3017" t="s">
        <v>130</v>
      </c>
      <c r="F3017">
        <v>2002</v>
      </c>
      <c r="G3017">
        <v>23.853971000000001</v>
      </c>
    </row>
    <row r="3018" spans="5:7" x14ac:dyDescent="0.75">
      <c r="E3018" t="s">
        <v>130</v>
      </c>
      <c r="F3018">
        <v>2003</v>
      </c>
      <c r="G3018">
        <v>23.758934</v>
      </c>
    </row>
    <row r="3019" spans="5:7" x14ac:dyDescent="0.75">
      <c r="E3019" t="s">
        <v>130</v>
      </c>
      <c r="F3019">
        <v>2004</v>
      </c>
      <c r="G3019">
        <v>23.685732000000002</v>
      </c>
    </row>
    <row r="3020" spans="5:7" x14ac:dyDescent="0.75">
      <c r="E3020" t="s">
        <v>130</v>
      </c>
      <c r="F3020">
        <v>2005</v>
      </c>
      <c r="G3020">
        <v>23.842096000000002</v>
      </c>
    </row>
    <row r="3021" spans="5:7" x14ac:dyDescent="0.75">
      <c r="E3021" t="s">
        <v>130</v>
      </c>
      <c r="F3021">
        <v>2006</v>
      </c>
      <c r="G3021">
        <v>23.805095999999999</v>
      </c>
    </row>
    <row r="3022" spans="5:7" x14ac:dyDescent="0.75">
      <c r="E3022" t="s">
        <v>130</v>
      </c>
      <c r="F3022">
        <v>2007</v>
      </c>
      <c r="G3022">
        <v>23.831688</v>
      </c>
    </row>
    <row r="3023" spans="5:7" x14ac:dyDescent="0.75">
      <c r="E3023" t="s">
        <v>130</v>
      </c>
      <c r="F3023">
        <v>2008</v>
      </c>
      <c r="G3023">
        <v>23.800940000000001</v>
      </c>
    </row>
    <row r="3024" spans="5:7" x14ac:dyDescent="0.75">
      <c r="E3024" t="s">
        <v>130</v>
      </c>
      <c r="F3024">
        <v>2009</v>
      </c>
      <c r="G3024">
        <v>23.844193000000001</v>
      </c>
    </row>
    <row r="3025" spans="5:7" x14ac:dyDescent="0.75">
      <c r="E3025" t="s">
        <v>130</v>
      </c>
      <c r="F3025">
        <v>2010</v>
      </c>
      <c r="G3025">
        <v>23.677395000000001</v>
      </c>
    </row>
    <row r="3026" spans="5:7" x14ac:dyDescent="0.75">
      <c r="E3026" t="s">
        <v>130</v>
      </c>
      <c r="F3026">
        <v>2011</v>
      </c>
      <c r="G3026">
        <v>23.776465999999999</v>
      </c>
    </row>
    <row r="3027" spans="5:7" x14ac:dyDescent="0.75">
      <c r="E3027" t="s">
        <v>130</v>
      </c>
      <c r="F3027">
        <v>2012</v>
      </c>
      <c r="G3027">
        <v>23.742321</v>
      </c>
    </row>
    <row r="3028" spans="5:7" x14ac:dyDescent="0.75">
      <c r="E3028" t="s">
        <v>130</v>
      </c>
      <c r="F3028">
        <v>2013</v>
      </c>
      <c r="G3028">
        <v>24.128243999999999</v>
      </c>
    </row>
    <row r="3029" spans="5:7" x14ac:dyDescent="0.75">
      <c r="E3029" t="s">
        <v>130</v>
      </c>
      <c r="F3029">
        <v>2014</v>
      </c>
      <c r="G3029">
        <v>24.355042999999998</v>
      </c>
    </row>
    <row r="3030" spans="5:7" x14ac:dyDescent="0.75">
      <c r="E3030" t="s">
        <v>130</v>
      </c>
      <c r="F3030">
        <v>2015</v>
      </c>
      <c r="G3030">
        <v>24.154589999999999</v>
      </c>
    </row>
    <row r="3031" spans="5:7" x14ac:dyDescent="0.75">
      <c r="E3031" t="s">
        <v>130</v>
      </c>
      <c r="F3031">
        <v>2016</v>
      </c>
      <c r="G3031">
        <v>24.397873000000001</v>
      </c>
    </row>
    <row r="3032" spans="5:7" x14ac:dyDescent="0.75">
      <c r="E3032" t="s">
        <v>130</v>
      </c>
      <c r="F3032">
        <v>2017</v>
      </c>
      <c r="G3032">
        <v>24.239386</v>
      </c>
    </row>
    <row r="3033" spans="5:7" x14ac:dyDescent="0.75">
      <c r="E3033" t="s">
        <v>130</v>
      </c>
      <c r="F3033">
        <v>2018</v>
      </c>
      <c r="G3033">
        <v>24.266936999999999</v>
      </c>
    </row>
    <row r="3034" spans="5:7" x14ac:dyDescent="0.75">
      <c r="E3034" t="s">
        <v>130</v>
      </c>
      <c r="F3034">
        <v>2019</v>
      </c>
      <c r="G3034">
        <v>24.198426999999999</v>
      </c>
    </row>
    <row r="3035" spans="5:7" x14ac:dyDescent="0.75">
      <c r="E3035" t="s">
        <v>130</v>
      </c>
      <c r="F3035">
        <v>2020</v>
      </c>
      <c r="G3035">
        <v>24.876688000000001</v>
      </c>
    </row>
    <row r="3036" spans="5:7" x14ac:dyDescent="0.75">
      <c r="E3036" t="s">
        <v>130</v>
      </c>
      <c r="F3036">
        <v>2021</v>
      </c>
      <c r="G3036">
        <v>24.975512999999999</v>
      </c>
    </row>
    <row r="3037" spans="5:7" x14ac:dyDescent="0.75">
      <c r="E3037" t="s">
        <v>130</v>
      </c>
      <c r="F3037">
        <v>2022</v>
      </c>
      <c r="G3037">
        <v>24.71095</v>
      </c>
    </row>
    <row r="3038" spans="5:7" x14ac:dyDescent="0.75">
      <c r="E3038" t="s">
        <v>130</v>
      </c>
      <c r="F3038">
        <v>2023</v>
      </c>
      <c r="G3038">
        <v>24.864376</v>
      </c>
    </row>
    <row r="3039" spans="5:7" x14ac:dyDescent="0.75">
      <c r="E3039" t="s">
        <v>131</v>
      </c>
      <c r="F3039">
        <v>2000</v>
      </c>
      <c r="G3039">
        <v>141.06424999999999</v>
      </c>
    </row>
    <row r="3040" spans="5:7" x14ac:dyDescent="0.75">
      <c r="E3040" t="s">
        <v>131</v>
      </c>
      <c r="F3040">
        <v>2001</v>
      </c>
      <c r="G3040">
        <v>117.958595</v>
      </c>
    </row>
    <row r="3041" spans="5:7" x14ac:dyDescent="0.75">
      <c r="E3041" t="s">
        <v>131</v>
      </c>
      <c r="F3041">
        <v>2002</v>
      </c>
      <c r="G3041">
        <v>139.15415999999999</v>
      </c>
    </row>
    <row r="3042" spans="5:7" x14ac:dyDescent="0.75">
      <c r="E3042" t="s">
        <v>131</v>
      </c>
      <c r="F3042">
        <v>2003</v>
      </c>
      <c r="G3042">
        <v>145.66069999999999</v>
      </c>
    </row>
    <row r="3043" spans="5:7" x14ac:dyDescent="0.75">
      <c r="E3043" t="s">
        <v>131</v>
      </c>
      <c r="F3043">
        <v>2004</v>
      </c>
      <c r="G3043">
        <v>200</v>
      </c>
    </row>
    <row r="3044" spans="5:7" x14ac:dyDescent="0.75">
      <c r="E3044" t="s">
        <v>131</v>
      </c>
      <c r="F3044">
        <v>2005</v>
      </c>
      <c r="G3044">
        <v>200</v>
      </c>
    </row>
    <row r="3045" spans="5:7" x14ac:dyDescent="0.75">
      <c r="E3045" t="s">
        <v>131</v>
      </c>
      <c r="F3045">
        <v>2006</v>
      </c>
      <c r="G3045">
        <v>192.98245</v>
      </c>
    </row>
    <row r="3046" spans="5:7" x14ac:dyDescent="0.75">
      <c r="E3046" t="s">
        <v>131</v>
      </c>
      <c r="F3046">
        <v>2007</v>
      </c>
      <c r="G3046">
        <v>229.53558000000001</v>
      </c>
    </row>
    <row r="3047" spans="5:7" x14ac:dyDescent="0.75">
      <c r="E3047" t="s">
        <v>131</v>
      </c>
      <c r="F3047">
        <v>2008</v>
      </c>
      <c r="G3047">
        <v>269.19515999999999</v>
      </c>
    </row>
    <row r="3048" spans="5:7" x14ac:dyDescent="0.75">
      <c r="E3048" t="s">
        <v>131</v>
      </c>
      <c r="F3048">
        <v>2009</v>
      </c>
      <c r="G3048">
        <v>265.18831999999998</v>
      </c>
    </row>
    <row r="3049" spans="5:7" x14ac:dyDescent="0.75">
      <c r="E3049" t="s">
        <v>131</v>
      </c>
      <c r="F3049">
        <v>2010</v>
      </c>
      <c r="G3049">
        <v>283.08722</v>
      </c>
    </row>
    <row r="3050" spans="5:7" x14ac:dyDescent="0.75">
      <c r="E3050" t="s">
        <v>131</v>
      </c>
      <c r="F3050">
        <v>2011</v>
      </c>
      <c r="G3050">
        <v>286.5154</v>
      </c>
    </row>
    <row r="3051" spans="5:7" x14ac:dyDescent="0.75">
      <c r="E3051" t="s">
        <v>131</v>
      </c>
      <c r="F3051">
        <v>2012</v>
      </c>
      <c r="G3051">
        <v>297.54757999999998</v>
      </c>
    </row>
    <row r="3052" spans="5:7" x14ac:dyDescent="0.75">
      <c r="E3052" t="s">
        <v>131</v>
      </c>
      <c r="F3052">
        <v>2013</v>
      </c>
      <c r="G3052">
        <v>304.98739999999998</v>
      </c>
    </row>
    <row r="3053" spans="5:7" x14ac:dyDescent="0.75">
      <c r="E3053" t="s">
        <v>131</v>
      </c>
      <c r="F3053">
        <v>2014</v>
      </c>
      <c r="G3053">
        <v>309.64355</v>
      </c>
    </row>
    <row r="3054" spans="5:7" x14ac:dyDescent="0.75">
      <c r="E3054" t="s">
        <v>131</v>
      </c>
      <c r="F3054">
        <v>2015</v>
      </c>
      <c r="G3054">
        <v>305.77999999999997</v>
      </c>
    </row>
    <row r="3055" spans="5:7" x14ac:dyDescent="0.75">
      <c r="E3055" t="s">
        <v>131</v>
      </c>
      <c r="F3055">
        <v>2016</v>
      </c>
      <c r="G3055">
        <v>320.93743999999998</v>
      </c>
    </row>
    <row r="3056" spans="5:7" x14ac:dyDescent="0.75">
      <c r="E3056" t="s">
        <v>131</v>
      </c>
      <c r="F3056">
        <v>2017</v>
      </c>
      <c r="G3056">
        <v>271.4855</v>
      </c>
    </row>
    <row r="3057" spans="5:7" x14ac:dyDescent="0.75">
      <c r="E3057" t="s">
        <v>131</v>
      </c>
      <c r="F3057">
        <v>2018</v>
      </c>
      <c r="G3057">
        <v>252.83779999999999</v>
      </c>
    </row>
    <row r="3058" spans="5:7" x14ac:dyDescent="0.75">
      <c r="E3058" t="s">
        <v>131</v>
      </c>
      <c r="F3058">
        <v>2019</v>
      </c>
      <c r="G3058">
        <v>256.72590000000002</v>
      </c>
    </row>
    <row r="3059" spans="5:7" x14ac:dyDescent="0.75">
      <c r="E3059" t="s">
        <v>131</v>
      </c>
      <c r="F3059">
        <v>2020</v>
      </c>
      <c r="G3059">
        <v>239.66784999999999</v>
      </c>
    </row>
    <row r="3060" spans="5:7" x14ac:dyDescent="0.75">
      <c r="E3060" t="s">
        <v>131</v>
      </c>
      <c r="F3060">
        <v>2021</v>
      </c>
      <c r="G3060">
        <v>250.9212</v>
      </c>
    </row>
    <row r="3061" spans="5:7" x14ac:dyDescent="0.75">
      <c r="E3061" t="s">
        <v>131</v>
      </c>
      <c r="F3061">
        <v>2022</v>
      </c>
      <c r="G3061">
        <v>287.81301999999999</v>
      </c>
    </row>
    <row r="3062" spans="5:7" x14ac:dyDescent="0.75">
      <c r="E3062" t="s">
        <v>131</v>
      </c>
      <c r="F3062">
        <v>2023</v>
      </c>
      <c r="G3062">
        <v>300.53064000000001</v>
      </c>
    </row>
    <row r="3063" spans="5:7" x14ac:dyDescent="0.75">
      <c r="E3063" t="s">
        <v>131</v>
      </c>
      <c r="F3063">
        <v>2024</v>
      </c>
      <c r="G3063">
        <v>263.27330000000001</v>
      </c>
    </row>
    <row r="3064" spans="5:7" x14ac:dyDescent="0.75">
      <c r="E3064" t="s">
        <v>132</v>
      </c>
      <c r="F3064">
        <v>2000</v>
      </c>
      <c r="G3064">
        <v>467.99117999999999</v>
      </c>
    </row>
    <row r="3065" spans="5:7" x14ac:dyDescent="0.75">
      <c r="E3065" t="s">
        <v>132</v>
      </c>
      <c r="F3065">
        <v>2001</v>
      </c>
      <c r="G3065">
        <v>505.84485000000001</v>
      </c>
    </row>
    <row r="3066" spans="5:7" x14ac:dyDescent="0.75">
      <c r="E3066" t="s">
        <v>132</v>
      </c>
      <c r="F3066">
        <v>2002</v>
      </c>
      <c r="G3066">
        <v>466.98306000000002</v>
      </c>
    </row>
    <row r="3067" spans="5:7" x14ac:dyDescent="0.75">
      <c r="E3067" t="s">
        <v>132</v>
      </c>
      <c r="F3067">
        <v>2003</v>
      </c>
      <c r="G3067">
        <v>455.42126000000002</v>
      </c>
    </row>
    <row r="3068" spans="5:7" x14ac:dyDescent="0.75">
      <c r="E3068" t="s">
        <v>132</v>
      </c>
      <c r="F3068">
        <v>2004</v>
      </c>
      <c r="G3068">
        <v>460.49340000000001</v>
      </c>
    </row>
    <row r="3069" spans="5:7" x14ac:dyDescent="0.75">
      <c r="E3069" t="s">
        <v>132</v>
      </c>
      <c r="F3069">
        <v>2005</v>
      </c>
      <c r="G3069">
        <v>448.47095000000002</v>
      </c>
    </row>
    <row r="3070" spans="5:7" x14ac:dyDescent="0.75">
      <c r="E3070" t="s">
        <v>132</v>
      </c>
      <c r="F3070">
        <v>2006</v>
      </c>
      <c r="G3070">
        <v>427.26312000000001</v>
      </c>
    </row>
    <row r="3071" spans="5:7" x14ac:dyDescent="0.75">
      <c r="E3071" t="s">
        <v>132</v>
      </c>
      <c r="F3071">
        <v>2007</v>
      </c>
      <c r="G3071">
        <v>452.02954</v>
      </c>
    </row>
    <row r="3072" spans="5:7" x14ac:dyDescent="0.75">
      <c r="E3072" t="s">
        <v>132</v>
      </c>
      <c r="F3072">
        <v>2008</v>
      </c>
      <c r="G3072">
        <v>430.94376</v>
      </c>
    </row>
    <row r="3073" spans="5:7" x14ac:dyDescent="0.75">
      <c r="E3073" t="s">
        <v>132</v>
      </c>
      <c r="F3073">
        <v>2009</v>
      </c>
      <c r="G3073">
        <v>441.21447999999998</v>
      </c>
    </row>
    <row r="3074" spans="5:7" x14ac:dyDescent="0.75">
      <c r="E3074" t="s">
        <v>132</v>
      </c>
      <c r="F3074">
        <v>2010</v>
      </c>
      <c r="G3074">
        <v>504.50310000000002</v>
      </c>
    </row>
    <row r="3075" spans="5:7" x14ac:dyDescent="0.75">
      <c r="E3075" t="s">
        <v>132</v>
      </c>
      <c r="F3075">
        <v>2011</v>
      </c>
      <c r="G3075">
        <v>492.84167000000002</v>
      </c>
    </row>
    <row r="3076" spans="5:7" x14ac:dyDescent="0.75">
      <c r="E3076" t="s">
        <v>132</v>
      </c>
      <c r="F3076">
        <v>2012</v>
      </c>
      <c r="G3076">
        <v>505.00756999999999</v>
      </c>
    </row>
    <row r="3077" spans="5:7" x14ac:dyDescent="0.75">
      <c r="E3077" t="s">
        <v>132</v>
      </c>
      <c r="F3077">
        <v>2013</v>
      </c>
      <c r="G3077">
        <v>529.84180000000003</v>
      </c>
    </row>
    <row r="3078" spans="5:7" x14ac:dyDescent="0.75">
      <c r="E3078" t="s">
        <v>132</v>
      </c>
      <c r="F3078">
        <v>2014</v>
      </c>
      <c r="G3078">
        <v>536.70849999999996</v>
      </c>
    </row>
    <row r="3079" spans="5:7" x14ac:dyDescent="0.75">
      <c r="E3079" t="s">
        <v>132</v>
      </c>
      <c r="F3079">
        <v>2015</v>
      </c>
      <c r="G3079">
        <v>544.66020000000003</v>
      </c>
    </row>
    <row r="3080" spans="5:7" x14ac:dyDescent="0.75">
      <c r="E3080" t="s">
        <v>132</v>
      </c>
      <c r="F3080">
        <v>2016</v>
      </c>
      <c r="G3080">
        <v>560.08370000000002</v>
      </c>
    </row>
    <row r="3081" spans="5:7" x14ac:dyDescent="0.75">
      <c r="E3081" t="s">
        <v>132</v>
      </c>
      <c r="F3081">
        <v>2017</v>
      </c>
      <c r="G3081">
        <v>560.51293999999996</v>
      </c>
    </row>
    <row r="3082" spans="5:7" x14ac:dyDescent="0.75">
      <c r="E3082" t="s">
        <v>132</v>
      </c>
      <c r="F3082">
        <v>2018</v>
      </c>
      <c r="G3082">
        <v>572.38824</v>
      </c>
    </row>
    <row r="3083" spans="5:7" x14ac:dyDescent="0.75">
      <c r="E3083" t="s">
        <v>132</v>
      </c>
      <c r="F3083">
        <v>2019</v>
      </c>
      <c r="G3083">
        <v>592.66250000000002</v>
      </c>
    </row>
    <row r="3084" spans="5:7" x14ac:dyDescent="0.75">
      <c r="E3084" t="s">
        <v>132</v>
      </c>
      <c r="F3084">
        <v>2020</v>
      </c>
      <c r="G3084">
        <v>598.82060000000001</v>
      </c>
    </row>
    <row r="3085" spans="5:7" x14ac:dyDescent="0.75">
      <c r="E3085" t="s">
        <v>132</v>
      </c>
      <c r="F3085">
        <v>2021</v>
      </c>
      <c r="G3085">
        <v>599.62176999999997</v>
      </c>
    </row>
    <row r="3086" spans="5:7" x14ac:dyDescent="0.75">
      <c r="E3086" t="s">
        <v>132</v>
      </c>
      <c r="F3086">
        <v>2022</v>
      </c>
      <c r="G3086">
        <v>602.67219999999998</v>
      </c>
    </row>
    <row r="3087" spans="5:7" x14ac:dyDescent="0.75">
      <c r="E3087" t="s">
        <v>132</v>
      </c>
      <c r="F3087">
        <v>2023</v>
      </c>
      <c r="G3087">
        <v>612.5385</v>
      </c>
    </row>
    <row r="3088" spans="5:7" x14ac:dyDescent="0.75">
      <c r="E3088" t="s">
        <v>132</v>
      </c>
      <c r="F3088">
        <v>2024</v>
      </c>
      <c r="G3088">
        <v>613.37994000000003</v>
      </c>
    </row>
    <row r="3089" spans="5:7" x14ac:dyDescent="0.75">
      <c r="E3089" t="s">
        <v>133</v>
      </c>
      <c r="F3089">
        <v>2000</v>
      </c>
      <c r="G3089">
        <v>954.60260000000005</v>
      </c>
    </row>
    <row r="3090" spans="5:7" x14ac:dyDescent="0.75">
      <c r="E3090" t="s">
        <v>133</v>
      </c>
      <c r="F3090">
        <v>2001</v>
      </c>
      <c r="G3090">
        <v>949.55470000000003</v>
      </c>
    </row>
    <row r="3091" spans="5:7" x14ac:dyDescent="0.75">
      <c r="E3091" t="s">
        <v>133</v>
      </c>
      <c r="F3091">
        <v>2002</v>
      </c>
      <c r="G3091">
        <v>945.61019999999996</v>
      </c>
    </row>
    <row r="3092" spans="5:7" x14ac:dyDescent="0.75">
      <c r="E3092" t="s">
        <v>133</v>
      </c>
      <c r="F3092">
        <v>2003</v>
      </c>
      <c r="G3092">
        <v>949.80334000000005</v>
      </c>
    </row>
    <row r="3093" spans="5:7" x14ac:dyDescent="0.75">
      <c r="E3093" t="s">
        <v>133</v>
      </c>
      <c r="F3093">
        <v>2004</v>
      </c>
      <c r="G3093">
        <v>941.26134999999999</v>
      </c>
    </row>
    <row r="3094" spans="5:7" x14ac:dyDescent="0.75">
      <c r="E3094" t="s">
        <v>133</v>
      </c>
      <c r="F3094">
        <v>2005</v>
      </c>
      <c r="G3094">
        <v>932.25585999999998</v>
      </c>
    </row>
    <row r="3095" spans="5:7" x14ac:dyDescent="0.75">
      <c r="E3095" t="s">
        <v>133</v>
      </c>
      <c r="F3095">
        <v>2006</v>
      </c>
      <c r="G3095">
        <v>931.92285000000004</v>
      </c>
    </row>
    <row r="3096" spans="5:7" x14ac:dyDescent="0.75">
      <c r="E3096" t="s">
        <v>133</v>
      </c>
      <c r="F3096">
        <v>2007</v>
      </c>
      <c r="G3096">
        <v>925.49834999999996</v>
      </c>
    </row>
    <row r="3097" spans="5:7" x14ac:dyDescent="0.75">
      <c r="E3097" t="s">
        <v>133</v>
      </c>
      <c r="F3097">
        <v>2008</v>
      </c>
      <c r="G3097">
        <v>918.57605000000001</v>
      </c>
    </row>
    <row r="3098" spans="5:7" x14ac:dyDescent="0.75">
      <c r="E3098" t="s">
        <v>133</v>
      </c>
      <c r="F3098">
        <v>2009</v>
      </c>
      <c r="G3098">
        <v>904.87865999999997</v>
      </c>
    </row>
    <row r="3099" spans="5:7" x14ac:dyDescent="0.75">
      <c r="E3099" t="s">
        <v>133</v>
      </c>
      <c r="F3099">
        <v>2010</v>
      </c>
      <c r="G3099">
        <v>893.09173999999996</v>
      </c>
    </row>
    <row r="3100" spans="5:7" x14ac:dyDescent="0.75">
      <c r="E3100" t="s">
        <v>133</v>
      </c>
      <c r="F3100">
        <v>2011</v>
      </c>
      <c r="G3100">
        <v>881.74620000000004</v>
      </c>
    </row>
    <row r="3101" spans="5:7" x14ac:dyDescent="0.75">
      <c r="E3101" t="s">
        <v>133</v>
      </c>
      <c r="F3101">
        <v>2012</v>
      </c>
      <c r="G3101">
        <v>860.78769999999997</v>
      </c>
    </row>
    <row r="3102" spans="5:7" x14ac:dyDescent="0.75">
      <c r="E3102" t="s">
        <v>133</v>
      </c>
      <c r="F3102">
        <v>2013</v>
      </c>
      <c r="G3102">
        <v>863.23119999999994</v>
      </c>
    </row>
    <row r="3103" spans="5:7" x14ac:dyDescent="0.75">
      <c r="E3103" t="s">
        <v>133</v>
      </c>
      <c r="F3103">
        <v>2014</v>
      </c>
      <c r="G3103">
        <v>844.07960000000003</v>
      </c>
    </row>
    <row r="3104" spans="5:7" x14ac:dyDescent="0.75">
      <c r="E3104" t="s">
        <v>133</v>
      </c>
      <c r="F3104">
        <v>2015</v>
      </c>
      <c r="G3104">
        <v>826.17163000000005</v>
      </c>
    </row>
    <row r="3105" spans="5:7" x14ac:dyDescent="0.75">
      <c r="E3105" t="s">
        <v>133</v>
      </c>
      <c r="F3105">
        <v>2016</v>
      </c>
      <c r="G3105">
        <v>818.61443999999995</v>
      </c>
    </row>
    <row r="3106" spans="5:7" x14ac:dyDescent="0.75">
      <c r="E3106" t="s">
        <v>133</v>
      </c>
      <c r="F3106">
        <v>2017</v>
      </c>
      <c r="G3106">
        <v>805.77954</v>
      </c>
    </row>
    <row r="3107" spans="5:7" x14ac:dyDescent="0.75">
      <c r="E3107" t="s">
        <v>133</v>
      </c>
      <c r="F3107">
        <v>2018</v>
      </c>
      <c r="G3107">
        <v>809.30175999999994</v>
      </c>
    </row>
    <row r="3108" spans="5:7" x14ac:dyDescent="0.75">
      <c r="E3108" t="s">
        <v>133</v>
      </c>
      <c r="F3108">
        <v>2019</v>
      </c>
      <c r="G3108">
        <v>771.90295000000003</v>
      </c>
    </row>
    <row r="3109" spans="5:7" x14ac:dyDescent="0.75">
      <c r="E3109" t="s">
        <v>133</v>
      </c>
      <c r="F3109">
        <v>2020</v>
      </c>
      <c r="G3109">
        <v>738.72095000000002</v>
      </c>
    </row>
    <row r="3110" spans="5:7" x14ac:dyDescent="0.75">
      <c r="E3110" t="s">
        <v>133</v>
      </c>
      <c r="F3110">
        <v>2021</v>
      </c>
      <c r="G3110">
        <v>756.86566000000005</v>
      </c>
    </row>
    <row r="3111" spans="5:7" x14ac:dyDescent="0.75">
      <c r="E3111" t="s">
        <v>133</v>
      </c>
      <c r="F3111">
        <v>2022</v>
      </c>
      <c r="G3111">
        <v>732.9787</v>
      </c>
    </row>
    <row r="3112" spans="5:7" x14ac:dyDescent="0.75">
      <c r="E3112" t="s">
        <v>133</v>
      </c>
      <c r="F3112">
        <v>2023</v>
      </c>
      <c r="G3112">
        <v>655.27520000000004</v>
      </c>
    </row>
    <row r="3113" spans="5:7" x14ac:dyDescent="0.75">
      <c r="E3113" t="s">
        <v>133</v>
      </c>
      <c r="F3113">
        <v>2024</v>
      </c>
      <c r="G3113">
        <v>614.98235999999997</v>
      </c>
    </row>
    <row r="3114" spans="5:7" x14ac:dyDescent="0.75">
      <c r="E3114" t="s">
        <v>134</v>
      </c>
      <c r="F3114">
        <v>2000</v>
      </c>
      <c r="G3114">
        <v>546.16985999999997</v>
      </c>
    </row>
    <row r="3115" spans="5:7" x14ac:dyDescent="0.75">
      <c r="E3115" t="s">
        <v>134</v>
      </c>
      <c r="F3115">
        <v>2001</v>
      </c>
      <c r="G3115">
        <v>506.94745</v>
      </c>
    </row>
    <row r="3116" spans="5:7" x14ac:dyDescent="0.75">
      <c r="E3116" t="s">
        <v>134</v>
      </c>
      <c r="F3116">
        <v>2002</v>
      </c>
      <c r="G3116">
        <v>592.53570000000002</v>
      </c>
    </row>
    <row r="3117" spans="5:7" x14ac:dyDescent="0.75">
      <c r="E3117" t="s">
        <v>134</v>
      </c>
      <c r="F3117">
        <v>2003</v>
      </c>
      <c r="G3117">
        <v>485.23390000000001</v>
      </c>
    </row>
    <row r="3118" spans="5:7" x14ac:dyDescent="0.75">
      <c r="E3118" t="s">
        <v>134</v>
      </c>
      <c r="F3118">
        <v>2004</v>
      </c>
      <c r="G3118">
        <v>541.18176000000005</v>
      </c>
    </row>
    <row r="3119" spans="5:7" x14ac:dyDescent="0.75">
      <c r="E3119" t="s">
        <v>134</v>
      </c>
      <c r="F3119">
        <v>2005</v>
      </c>
      <c r="G3119">
        <v>595.30535999999995</v>
      </c>
    </row>
    <row r="3120" spans="5:7" x14ac:dyDescent="0.75">
      <c r="E3120" t="s">
        <v>134</v>
      </c>
      <c r="F3120">
        <v>2006</v>
      </c>
      <c r="G3120">
        <v>503.92559999999997</v>
      </c>
    </row>
    <row r="3121" spans="5:7" x14ac:dyDescent="0.75">
      <c r="E3121" t="s">
        <v>134</v>
      </c>
      <c r="F3121">
        <v>2007</v>
      </c>
      <c r="G3121">
        <v>472.27575999999999</v>
      </c>
    </row>
    <row r="3122" spans="5:7" x14ac:dyDescent="0.75">
      <c r="E3122" t="s">
        <v>134</v>
      </c>
      <c r="F3122">
        <v>2008</v>
      </c>
      <c r="G3122">
        <v>471.54827999999998</v>
      </c>
    </row>
    <row r="3123" spans="5:7" x14ac:dyDescent="0.75">
      <c r="E3123" t="s">
        <v>134</v>
      </c>
      <c r="F3123">
        <v>2009</v>
      </c>
      <c r="G3123">
        <v>452.81490000000002</v>
      </c>
    </row>
    <row r="3124" spans="5:7" x14ac:dyDescent="0.75">
      <c r="E3124" t="s">
        <v>134</v>
      </c>
      <c r="F3124">
        <v>2010</v>
      </c>
      <c r="G3124">
        <v>317.12786999999997</v>
      </c>
    </row>
    <row r="3125" spans="5:7" x14ac:dyDescent="0.75">
      <c r="E3125" t="s">
        <v>134</v>
      </c>
      <c r="F3125">
        <v>2011</v>
      </c>
      <c r="G3125">
        <v>375.04827999999998</v>
      </c>
    </row>
    <row r="3126" spans="5:7" x14ac:dyDescent="0.75">
      <c r="E3126" t="s">
        <v>134</v>
      </c>
      <c r="F3126">
        <v>2012</v>
      </c>
      <c r="G3126">
        <v>441.24117999999999</v>
      </c>
    </row>
    <row r="3127" spans="5:7" x14ac:dyDescent="0.75">
      <c r="E3127" t="s">
        <v>134</v>
      </c>
      <c r="F3127">
        <v>2013</v>
      </c>
      <c r="G3127">
        <v>340.41708</v>
      </c>
    </row>
    <row r="3128" spans="5:7" x14ac:dyDescent="0.75">
      <c r="E3128" t="s">
        <v>134</v>
      </c>
      <c r="F3128">
        <v>2014</v>
      </c>
      <c r="G3128">
        <v>325.67570000000001</v>
      </c>
    </row>
    <row r="3129" spans="5:7" x14ac:dyDescent="0.75">
      <c r="E3129" t="s">
        <v>134</v>
      </c>
      <c r="F3129">
        <v>2015</v>
      </c>
      <c r="G3129">
        <v>413.96167000000003</v>
      </c>
    </row>
    <row r="3130" spans="5:7" x14ac:dyDescent="0.75">
      <c r="E3130" t="s">
        <v>134</v>
      </c>
      <c r="F3130">
        <v>2016</v>
      </c>
      <c r="G3130">
        <v>343.60714999999999</v>
      </c>
    </row>
    <row r="3131" spans="5:7" x14ac:dyDescent="0.75">
      <c r="E3131" t="s">
        <v>134</v>
      </c>
      <c r="F3131">
        <v>2017</v>
      </c>
      <c r="G3131">
        <v>433.75585999999998</v>
      </c>
    </row>
    <row r="3132" spans="5:7" x14ac:dyDescent="0.75">
      <c r="E3132" t="s">
        <v>134</v>
      </c>
      <c r="F3132">
        <v>2018</v>
      </c>
      <c r="G3132">
        <v>358.69754</v>
      </c>
    </row>
    <row r="3133" spans="5:7" x14ac:dyDescent="0.75">
      <c r="E3133" t="s">
        <v>134</v>
      </c>
      <c r="F3133">
        <v>2019</v>
      </c>
      <c r="G3133">
        <v>300.96899999999999</v>
      </c>
    </row>
    <row r="3134" spans="5:7" x14ac:dyDescent="0.75">
      <c r="E3134" t="s">
        <v>134</v>
      </c>
      <c r="F3134">
        <v>2020</v>
      </c>
      <c r="G3134">
        <v>248.29734999999999</v>
      </c>
    </row>
    <row r="3135" spans="5:7" x14ac:dyDescent="0.75">
      <c r="E3135" t="s">
        <v>134</v>
      </c>
      <c r="F3135">
        <v>2021</v>
      </c>
      <c r="G3135">
        <v>210.48354</v>
      </c>
    </row>
    <row r="3136" spans="5:7" x14ac:dyDescent="0.75">
      <c r="E3136" t="s">
        <v>134</v>
      </c>
      <c r="F3136">
        <v>2022</v>
      </c>
      <c r="G3136">
        <v>225.33994000000001</v>
      </c>
    </row>
    <row r="3137" spans="5:7" x14ac:dyDescent="0.75">
      <c r="E3137" t="s">
        <v>134</v>
      </c>
      <c r="F3137">
        <v>2023</v>
      </c>
      <c r="G3137">
        <v>158.25936999999999</v>
      </c>
    </row>
    <row r="3138" spans="5:7" x14ac:dyDescent="0.75">
      <c r="E3138" t="s">
        <v>134</v>
      </c>
      <c r="F3138">
        <v>2024</v>
      </c>
      <c r="G3138">
        <v>112.28676</v>
      </c>
    </row>
    <row r="3139" spans="5:7" x14ac:dyDescent="0.75">
      <c r="E3139" t="s">
        <v>135</v>
      </c>
      <c r="F3139">
        <v>2000</v>
      </c>
      <c r="G3139">
        <v>603.50494000000003</v>
      </c>
    </row>
    <row r="3140" spans="5:7" x14ac:dyDescent="0.75">
      <c r="E3140" t="s">
        <v>135</v>
      </c>
      <c r="F3140">
        <v>2001</v>
      </c>
      <c r="G3140">
        <v>604.02013999999997</v>
      </c>
    </row>
    <row r="3141" spans="5:7" x14ac:dyDescent="0.75">
      <c r="E3141" t="s">
        <v>135</v>
      </c>
      <c r="F3141">
        <v>2002</v>
      </c>
      <c r="G3141">
        <v>603.29070000000002</v>
      </c>
    </row>
    <row r="3142" spans="5:7" x14ac:dyDescent="0.75">
      <c r="E3142" t="s">
        <v>135</v>
      </c>
      <c r="F3142">
        <v>2003</v>
      </c>
      <c r="G3142">
        <v>603.66359999999997</v>
      </c>
    </row>
    <row r="3143" spans="5:7" x14ac:dyDescent="0.75">
      <c r="E3143" t="s">
        <v>135</v>
      </c>
      <c r="F3143">
        <v>2004</v>
      </c>
      <c r="G3143">
        <v>603.93050000000005</v>
      </c>
    </row>
    <row r="3144" spans="5:7" x14ac:dyDescent="0.75">
      <c r="E3144" t="s">
        <v>135</v>
      </c>
      <c r="F3144">
        <v>2005</v>
      </c>
      <c r="G3144">
        <v>603.47220000000004</v>
      </c>
    </row>
    <row r="3145" spans="5:7" x14ac:dyDescent="0.75">
      <c r="E3145" t="s">
        <v>135</v>
      </c>
      <c r="F3145">
        <v>2006</v>
      </c>
      <c r="G3145">
        <v>603.63</v>
      </c>
    </row>
    <row r="3146" spans="5:7" x14ac:dyDescent="0.75">
      <c r="E3146" t="s">
        <v>135</v>
      </c>
      <c r="F3146">
        <v>2007</v>
      </c>
      <c r="G3146">
        <v>603.80269999999996</v>
      </c>
    </row>
    <row r="3147" spans="5:7" x14ac:dyDescent="0.75">
      <c r="E3147" t="s">
        <v>135</v>
      </c>
      <c r="F3147">
        <v>2008</v>
      </c>
      <c r="G3147">
        <v>603.60770000000002</v>
      </c>
    </row>
    <row r="3148" spans="5:7" x14ac:dyDescent="0.75">
      <c r="E3148" t="s">
        <v>135</v>
      </c>
      <c r="F3148">
        <v>2009</v>
      </c>
      <c r="G3148">
        <v>603.47680000000003</v>
      </c>
    </row>
    <row r="3149" spans="5:7" x14ac:dyDescent="0.75">
      <c r="E3149" t="s">
        <v>135</v>
      </c>
      <c r="F3149">
        <v>2010</v>
      </c>
      <c r="G3149">
        <v>603.76689999999996</v>
      </c>
    </row>
    <row r="3150" spans="5:7" x14ac:dyDescent="0.75">
      <c r="E3150" t="s">
        <v>135</v>
      </c>
      <c r="F3150">
        <v>2011</v>
      </c>
      <c r="G3150">
        <v>603.64464999999996</v>
      </c>
    </row>
    <row r="3151" spans="5:7" x14ac:dyDescent="0.75">
      <c r="E3151" t="s">
        <v>135</v>
      </c>
      <c r="F3151">
        <v>2012</v>
      </c>
      <c r="G3151">
        <v>603.44830000000002</v>
      </c>
    </row>
    <row r="3152" spans="5:7" x14ac:dyDescent="0.75">
      <c r="E3152" t="s">
        <v>135</v>
      </c>
      <c r="F3152">
        <v>2013</v>
      </c>
      <c r="G3152">
        <v>602.87774999999999</v>
      </c>
    </row>
    <row r="3153" spans="5:7" x14ac:dyDescent="0.75">
      <c r="E3153" t="s">
        <v>135</v>
      </c>
      <c r="F3153">
        <v>2014</v>
      </c>
      <c r="G3153">
        <v>602.57732999999996</v>
      </c>
    </row>
    <row r="3154" spans="5:7" x14ac:dyDescent="0.75">
      <c r="E3154" t="s">
        <v>135</v>
      </c>
      <c r="F3154">
        <v>2015</v>
      </c>
      <c r="G3154">
        <v>602.45012999999994</v>
      </c>
    </row>
    <row r="3155" spans="5:7" x14ac:dyDescent="0.75">
      <c r="E3155" t="s">
        <v>135</v>
      </c>
      <c r="F3155">
        <v>2016</v>
      </c>
      <c r="G3155">
        <v>602.49770000000001</v>
      </c>
    </row>
    <row r="3156" spans="5:7" x14ac:dyDescent="0.75">
      <c r="E3156" t="s">
        <v>135</v>
      </c>
      <c r="F3156">
        <v>2017</v>
      </c>
      <c r="G3156">
        <v>602.40700000000004</v>
      </c>
    </row>
    <row r="3157" spans="5:7" x14ac:dyDescent="0.75">
      <c r="E3157" t="s">
        <v>135</v>
      </c>
      <c r="F3157">
        <v>2018</v>
      </c>
      <c r="G3157">
        <v>602.37199999999996</v>
      </c>
    </row>
    <row r="3158" spans="5:7" x14ac:dyDescent="0.75">
      <c r="E3158" t="s">
        <v>135</v>
      </c>
      <c r="F3158">
        <v>2019</v>
      </c>
      <c r="G3158">
        <v>602.79999999999995</v>
      </c>
    </row>
    <row r="3159" spans="5:7" x14ac:dyDescent="0.75">
      <c r="E3159" t="s">
        <v>135</v>
      </c>
      <c r="F3159">
        <v>2020</v>
      </c>
      <c r="G3159">
        <v>602.63160000000005</v>
      </c>
    </row>
    <row r="3160" spans="5:7" x14ac:dyDescent="0.75">
      <c r="E3160" t="s">
        <v>135</v>
      </c>
      <c r="F3160">
        <v>2021</v>
      </c>
      <c r="G3160">
        <v>602.43290000000002</v>
      </c>
    </row>
    <row r="3161" spans="5:7" x14ac:dyDescent="0.75">
      <c r="E3161" t="s">
        <v>135</v>
      </c>
      <c r="F3161">
        <v>2022</v>
      </c>
      <c r="G3161">
        <v>602.73220000000003</v>
      </c>
    </row>
    <row r="3162" spans="5:7" x14ac:dyDescent="0.75">
      <c r="E3162" t="s">
        <v>135</v>
      </c>
      <c r="F3162">
        <v>2023</v>
      </c>
      <c r="G3162">
        <v>602.64779999999996</v>
      </c>
    </row>
    <row r="3163" spans="5:7" x14ac:dyDescent="0.75">
      <c r="E3163" t="s">
        <v>135</v>
      </c>
      <c r="F3163">
        <v>2024</v>
      </c>
      <c r="G3163">
        <v>602.83079999999995</v>
      </c>
    </row>
    <row r="3164" spans="5:7" x14ac:dyDescent="0.75">
      <c r="E3164" t="s">
        <v>136</v>
      </c>
      <c r="F3164">
        <v>2000</v>
      </c>
      <c r="G3164">
        <v>513.77030000000002</v>
      </c>
    </row>
    <row r="3165" spans="5:7" x14ac:dyDescent="0.75">
      <c r="E3165" t="s">
        <v>136</v>
      </c>
      <c r="F3165">
        <v>2001</v>
      </c>
      <c r="G3165">
        <v>524.55650000000003</v>
      </c>
    </row>
    <row r="3166" spans="5:7" x14ac:dyDescent="0.75">
      <c r="E3166" t="s">
        <v>136</v>
      </c>
      <c r="F3166">
        <v>2002</v>
      </c>
      <c r="G3166">
        <v>515.06799999999998</v>
      </c>
    </row>
    <row r="3167" spans="5:7" x14ac:dyDescent="0.75">
      <c r="E3167" t="s">
        <v>136</v>
      </c>
      <c r="F3167">
        <v>2003</v>
      </c>
      <c r="G3167">
        <v>573.85119999999995</v>
      </c>
    </row>
    <row r="3168" spans="5:7" x14ac:dyDescent="0.75">
      <c r="E3168" t="s">
        <v>136</v>
      </c>
      <c r="F3168">
        <v>2004</v>
      </c>
      <c r="G3168">
        <v>518.15125</v>
      </c>
    </row>
    <row r="3169" spans="5:7" x14ac:dyDescent="0.75">
      <c r="E3169" t="s">
        <v>136</v>
      </c>
      <c r="F3169">
        <v>2005</v>
      </c>
      <c r="G3169">
        <v>489.97129999999999</v>
      </c>
    </row>
    <row r="3170" spans="5:7" x14ac:dyDescent="0.75">
      <c r="E3170" t="s">
        <v>136</v>
      </c>
      <c r="F3170">
        <v>2006</v>
      </c>
      <c r="G3170">
        <v>530.37085000000002</v>
      </c>
    </row>
    <row r="3171" spans="5:7" x14ac:dyDescent="0.75">
      <c r="E3171" t="s">
        <v>136</v>
      </c>
      <c r="F3171">
        <v>2007</v>
      </c>
      <c r="G3171">
        <v>529.72709999999995</v>
      </c>
    </row>
    <row r="3172" spans="5:7" x14ac:dyDescent="0.75">
      <c r="E3172" t="s">
        <v>136</v>
      </c>
      <c r="F3172">
        <v>2008</v>
      </c>
      <c r="G3172">
        <v>497.53314</v>
      </c>
    </row>
    <row r="3173" spans="5:7" x14ac:dyDescent="0.75">
      <c r="E3173" t="s">
        <v>136</v>
      </c>
      <c r="F3173">
        <v>2009</v>
      </c>
      <c r="G3173">
        <v>469.69959999999998</v>
      </c>
    </row>
    <row r="3174" spans="5:7" x14ac:dyDescent="0.75">
      <c r="E3174" t="s">
        <v>136</v>
      </c>
      <c r="F3174">
        <v>2010</v>
      </c>
      <c r="G3174">
        <v>424.52832000000001</v>
      </c>
    </row>
    <row r="3175" spans="5:7" x14ac:dyDescent="0.75">
      <c r="E3175" t="s">
        <v>136</v>
      </c>
      <c r="F3175">
        <v>2011</v>
      </c>
      <c r="G3175">
        <v>490.61489999999998</v>
      </c>
    </row>
    <row r="3176" spans="5:7" x14ac:dyDescent="0.75">
      <c r="E3176" t="s">
        <v>136</v>
      </c>
      <c r="F3176">
        <v>2012</v>
      </c>
      <c r="G3176">
        <v>486.84660000000002</v>
      </c>
    </row>
    <row r="3177" spans="5:7" x14ac:dyDescent="0.75">
      <c r="E3177" t="s">
        <v>136</v>
      </c>
      <c r="F3177">
        <v>2013</v>
      </c>
      <c r="G3177">
        <v>389.7577</v>
      </c>
    </row>
    <row r="3178" spans="5:7" x14ac:dyDescent="0.75">
      <c r="E3178" t="s">
        <v>136</v>
      </c>
      <c r="F3178">
        <v>2014</v>
      </c>
      <c r="G3178">
        <v>357.05484000000001</v>
      </c>
    </row>
    <row r="3179" spans="5:7" x14ac:dyDescent="0.75">
      <c r="E3179" t="s">
        <v>136</v>
      </c>
      <c r="F3179">
        <v>2015</v>
      </c>
      <c r="G3179">
        <v>369.02222</v>
      </c>
    </row>
    <row r="3180" spans="5:7" x14ac:dyDescent="0.75">
      <c r="E3180" t="s">
        <v>136</v>
      </c>
      <c r="F3180">
        <v>2016</v>
      </c>
      <c r="G3180">
        <v>345.37527</v>
      </c>
    </row>
    <row r="3181" spans="5:7" x14ac:dyDescent="0.75">
      <c r="E3181" t="s">
        <v>136</v>
      </c>
      <c r="F3181">
        <v>2017</v>
      </c>
      <c r="G3181">
        <v>369.21622000000002</v>
      </c>
    </row>
    <row r="3182" spans="5:7" x14ac:dyDescent="0.75">
      <c r="E3182" t="s">
        <v>136</v>
      </c>
      <c r="F3182">
        <v>2018</v>
      </c>
      <c r="G3182">
        <v>348.05680000000001</v>
      </c>
    </row>
    <row r="3183" spans="5:7" x14ac:dyDescent="0.75">
      <c r="E3183" t="s">
        <v>136</v>
      </c>
      <c r="F3183">
        <v>2019</v>
      </c>
      <c r="G3183">
        <v>328.96530000000001</v>
      </c>
    </row>
    <row r="3184" spans="5:7" x14ac:dyDescent="0.75">
      <c r="E3184" t="s">
        <v>136</v>
      </c>
      <c r="F3184">
        <v>2020</v>
      </c>
      <c r="G3184">
        <v>277.84823999999998</v>
      </c>
    </row>
    <row r="3185" spans="5:7" x14ac:dyDescent="0.75">
      <c r="E3185" t="s">
        <v>136</v>
      </c>
      <c r="F3185">
        <v>2021</v>
      </c>
      <c r="G3185">
        <v>289.959</v>
      </c>
    </row>
    <row r="3186" spans="5:7" x14ac:dyDescent="0.75">
      <c r="E3186" t="s">
        <v>136</v>
      </c>
      <c r="F3186">
        <v>2022</v>
      </c>
      <c r="G3186">
        <v>297.77127000000002</v>
      </c>
    </row>
    <row r="3187" spans="5:7" x14ac:dyDescent="0.75">
      <c r="E3187" t="s">
        <v>136</v>
      </c>
      <c r="F3187">
        <v>2023</v>
      </c>
      <c r="G3187">
        <v>243.19578999999999</v>
      </c>
    </row>
    <row r="3188" spans="5:7" x14ac:dyDescent="0.75">
      <c r="E3188" t="s">
        <v>136</v>
      </c>
      <c r="F3188">
        <v>2024</v>
      </c>
      <c r="G3188">
        <v>245.55428000000001</v>
      </c>
    </row>
    <row r="3189" spans="5:7" x14ac:dyDescent="0.75">
      <c r="E3189" t="s">
        <v>137</v>
      </c>
      <c r="F3189">
        <v>2000</v>
      </c>
      <c r="G3189">
        <v>470.04874000000001</v>
      </c>
    </row>
    <row r="3190" spans="5:7" x14ac:dyDescent="0.75">
      <c r="E3190" t="s">
        <v>137</v>
      </c>
      <c r="F3190">
        <v>2001</v>
      </c>
      <c r="G3190">
        <v>458.40204</v>
      </c>
    </row>
    <row r="3191" spans="5:7" x14ac:dyDescent="0.75">
      <c r="E3191" t="s">
        <v>137</v>
      </c>
      <c r="F3191">
        <v>2002</v>
      </c>
      <c r="G3191">
        <v>463.14287999999999</v>
      </c>
    </row>
    <row r="3192" spans="5:7" x14ac:dyDescent="0.75">
      <c r="E3192" t="s">
        <v>137</v>
      </c>
      <c r="F3192">
        <v>2003</v>
      </c>
      <c r="G3192">
        <v>465.37670000000003</v>
      </c>
    </row>
    <row r="3193" spans="5:7" x14ac:dyDescent="0.75">
      <c r="E3193" t="s">
        <v>137</v>
      </c>
      <c r="F3193">
        <v>2004</v>
      </c>
      <c r="G3193">
        <v>453.82067999999998</v>
      </c>
    </row>
    <row r="3194" spans="5:7" x14ac:dyDescent="0.75">
      <c r="E3194" t="s">
        <v>137</v>
      </c>
      <c r="F3194">
        <v>2005</v>
      </c>
      <c r="G3194">
        <v>457.49441999999999</v>
      </c>
    </row>
    <row r="3195" spans="5:7" x14ac:dyDescent="0.75">
      <c r="E3195" t="s">
        <v>137</v>
      </c>
      <c r="F3195">
        <v>2006</v>
      </c>
      <c r="G3195">
        <v>462.59528</v>
      </c>
    </row>
    <row r="3196" spans="5:7" x14ac:dyDescent="0.75">
      <c r="E3196" t="s">
        <v>137</v>
      </c>
      <c r="F3196">
        <v>2007</v>
      </c>
      <c r="G3196">
        <v>458.28014999999999</v>
      </c>
    </row>
    <row r="3197" spans="5:7" x14ac:dyDescent="0.75">
      <c r="E3197" t="s">
        <v>137</v>
      </c>
      <c r="F3197">
        <v>2008</v>
      </c>
      <c r="G3197">
        <v>475.21154999999999</v>
      </c>
    </row>
    <row r="3198" spans="5:7" x14ac:dyDescent="0.75">
      <c r="E3198" t="s">
        <v>137</v>
      </c>
      <c r="F3198">
        <v>2009</v>
      </c>
      <c r="G3198">
        <v>452.18004999999999</v>
      </c>
    </row>
    <row r="3199" spans="5:7" x14ac:dyDescent="0.75">
      <c r="E3199" t="s">
        <v>137</v>
      </c>
      <c r="F3199">
        <v>2010</v>
      </c>
      <c r="G3199">
        <v>458.10289999999998</v>
      </c>
    </row>
    <row r="3200" spans="5:7" x14ac:dyDescent="0.75">
      <c r="E3200" t="s">
        <v>137</v>
      </c>
      <c r="F3200">
        <v>2011</v>
      </c>
      <c r="G3200">
        <v>461.39769999999999</v>
      </c>
    </row>
    <row r="3201" spans="5:7" x14ac:dyDescent="0.75">
      <c r="E3201" t="s">
        <v>137</v>
      </c>
      <c r="F3201">
        <v>2012</v>
      </c>
      <c r="G3201">
        <v>461.90390000000002</v>
      </c>
    </row>
    <row r="3202" spans="5:7" x14ac:dyDescent="0.75">
      <c r="E3202" t="s">
        <v>137</v>
      </c>
      <c r="F3202">
        <v>2013</v>
      </c>
      <c r="G3202">
        <v>450.17374000000001</v>
      </c>
    </row>
    <row r="3203" spans="5:7" x14ac:dyDescent="0.75">
      <c r="E3203" t="s">
        <v>137</v>
      </c>
      <c r="F3203">
        <v>2014</v>
      </c>
      <c r="G3203">
        <v>449.28590000000003</v>
      </c>
    </row>
    <row r="3204" spans="5:7" x14ac:dyDescent="0.75">
      <c r="E3204" t="s">
        <v>137</v>
      </c>
      <c r="F3204">
        <v>2015</v>
      </c>
      <c r="G3204">
        <v>444.35388</v>
      </c>
    </row>
    <row r="3205" spans="5:7" x14ac:dyDescent="0.75">
      <c r="E3205" t="s">
        <v>137</v>
      </c>
      <c r="F3205">
        <v>2016</v>
      </c>
      <c r="G3205">
        <v>442.74362000000002</v>
      </c>
    </row>
    <row r="3206" spans="5:7" x14ac:dyDescent="0.75">
      <c r="E3206" t="s">
        <v>137</v>
      </c>
      <c r="F3206">
        <v>2017</v>
      </c>
      <c r="G3206">
        <v>439.62900000000002</v>
      </c>
    </row>
    <row r="3207" spans="5:7" x14ac:dyDescent="0.75">
      <c r="E3207" t="s">
        <v>137</v>
      </c>
      <c r="F3207">
        <v>2018</v>
      </c>
      <c r="G3207">
        <v>439.32961999999998</v>
      </c>
    </row>
    <row r="3208" spans="5:7" x14ac:dyDescent="0.75">
      <c r="E3208" t="s">
        <v>137</v>
      </c>
      <c r="F3208">
        <v>2019</v>
      </c>
      <c r="G3208">
        <v>440.03539999999998</v>
      </c>
    </row>
    <row r="3209" spans="5:7" x14ac:dyDescent="0.75">
      <c r="E3209" t="s">
        <v>137</v>
      </c>
      <c r="F3209">
        <v>2020</v>
      </c>
      <c r="G3209">
        <v>417.65395999999998</v>
      </c>
    </row>
    <row r="3210" spans="5:7" x14ac:dyDescent="0.75">
      <c r="E3210" t="s">
        <v>137</v>
      </c>
      <c r="F3210">
        <v>2021</v>
      </c>
      <c r="G3210">
        <v>426.82812000000001</v>
      </c>
    </row>
    <row r="3211" spans="5:7" x14ac:dyDescent="0.75">
      <c r="E3211" t="s">
        <v>137</v>
      </c>
      <c r="F3211">
        <v>2022</v>
      </c>
      <c r="G3211">
        <v>438.42016999999998</v>
      </c>
    </row>
    <row r="3212" spans="5:7" x14ac:dyDescent="0.75">
      <c r="E3212" t="s">
        <v>137</v>
      </c>
      <c r="F3212">
        <v>2023</v>
      </c>
      <c r="G3212">
        <v>445.02438000000001</v>
      </c>
    </row>
    <row r="3213" spans="5:7" x14ac:dyDescent="0.75">
      <c r="E3213" t="s">
        <v>137</v>
      </c>
      <c r="F3213">
        <v>2024</v>
      </c>
      <c r="G3213">
        <v>449.19592</v>
      </c>
    </row>
    <row r="3214" spans="5:7" x14ac:dyDescent="0.75">
      <c r="E3214" t="s">
        <v>138</v>
      </c>
      <c r="F3214">
        <v>2000</v>
      </c>
      <c r="G3214">
        <v>250</v>
      </c>
    </row>
    <row r="3215" spans="5:7" x14ac:dyDescent="0.75">
      <c r="E3215" t="s">
        <v>138</v>
      </c>
      <c r="F3215">
        <v>2001</v>
      </c>
      <c r="G3215">
        <v>266.66665999999998</v>
      </c>
    </row>
    <row r="3216" spans="5:7" x14ac:dyDescent="0.75">
      <c r="E3216" t="s">
        <v>138</v>
      </c>
      <c r="F3216">
        <v>2002</v>
      </c>
      <c r="G3216">
        <v>294.11765000000003</v>
      </c>
    </row>
    <row r="3217" spans="5:7" x14ac:dyDescent="0.75">
      <c r="E3217" t="s">
        <v>138</v>
      </c>
      <c r="F3217">
        <v>2003</v>
      </c>
      <c r="G3217">
        <v>222.22220999999999</v>
      </c>
    </row>
    <row r="3218" spans="5:7" x14ac:dyDescent="0.75">
      <c r="E3218" t="s">
        <v>138</v>
      </c>
      <c r="F3218">
        <v>2004</v>
      </c>
      <c r="G3218">
        <v>285.71426000000002</v>
      </c>
    </row>
    <row r="3219" spans="5:7" x14ac:dyDescent="0.75">
      <c r="E3219" t="s">
        <v>138</v>
      </c>
      <c r="F3219">
        <v>2005</v>
      </c>
      <c r="G3219">
        <v>315.78946000000002</v>
      </c>
    </row>
    <row r="3220" spans="5:7" x14ac:dyDescent="0.75">
      <c r="E3220" t="s">
        <v>138</v>
      </c>
      <c r="F3220">
        <v>2006</v>
      </c>
      <c r="G3220">
        <v>333.33334000000002</v>
      </c>
    </row>
    <row r="3221" spans="5:7" x14ac:dyDescent="0.75">
      <c r="E3221" t="s">
        <v>138</v>
      </c>
      <c r="F3221">
        <v>2007</v>
      </c>
      <c r="G3221">
        <v>360</v>
      </c>
    </row>
    <row r="3222" spans="5:7" x14ac:dyDescent="0.75">
      <c r="E3222" t="s">
        <v>138</v>
      </c>
      <c r="F3222">
        <v>2008</v>
      </c>
      <c r="G3222">
        <v>310.34485000000001</v>
      </c>
    </row>
    <row r="3223" spans="5:7" x14ac:dyDescent="0.75">
      <c r="E3223" t="s">
        <v>138</v>
      </c>
      <c r="F3223">
        <v>2009</v>
      </c>
      <c r="G3223">
        <v>322.58066000000002</v>
      </c>
    </row>
    <row r="3224" spans="5:7" x14ac:dyDescent="0.75">
      <c r="E3224" t="s">
        <v>138</v>
      </c>
      <c r="F3224">
        <v>2010</v>
      </c>
      <c r="G3224">
        <v>428.57139999999998</v>
      </c>
    </row>
    <row r="3225" spans="5:7" x14ac:dyDescent="0.75">
      <c r="E3225" t="s">
        <v>138</v>
      </c>
      <c r="F3225">
        <v>2011</v>
      </c>
      <c r="G3225">
        <v>400</v>
      </c>
    </row>
    <row r="3226" spans="5:7" x14ac:dyDescent="0.75">
      <c r="E3226" t="s">
        <v>138</v>
      </c>
      <c r="F3226">
        <v>2012</v>
      </c>
      <c r="G3226">
        <v>358.97437000000002</v>
      </c>
    </row>
    <row r="3227" spans="5:7" x14ac:dyDescent="0.75">
      <c r="E3227" t="s">
        <v>138</v>
      </c>
      <c r="F3227">
        <v>2013</v>
      </c>
      <c r="G3227">
        <v>405.40543000000002</v>
      </c>
    </row>
    <row r="3228" spans="5:7" x14ac:dyDescent="0.75">
      <c r="E3228" t="s">
        <v>138</v>
      </c>
      <c r="F3228">
        <v>2014</v>
      </c>
      <c r="G3228">
        <v>341.46339999999998</v>
      </c>
    </row>
    <row r="3229" spans="5:7" x14ac:dyDescent="0.75">
      <c r="E3229" t="s">
        <v>138</v>
      </c>
      <c r="F3229">
        <v>2015</v>
      </c>
      <c r="G3229">
        <v>294.11768000000001</v>
      </c>
    </row>
    <row r="3230" spans="5:7" x14ac:dyDescent="0.75">
      <c r="E3230" t="s">
        <v>138</v>
      </c>
      <c r="F3230">
        <v>2016</v>
      </c>
      <c r="G3230">
        <v>343.75</v>
      </c>
    </row>
    <row r="3231" spans="5:7" x14ac:dyDescent="0.75">
      <c r="E3231" t="s">
        <v>138</v>
      </c>
      <c r="F3231">
        <v>2017</v>
      </c>
      <c r="G3231">
        <v>353.84616</v>
      </c>
    </row>
    <row r="3232" spans="5:7" x14ac:dyDescent="0.75">
      <c r="E3232" t="s">
        <v>138</v>
      </c>
      <c r="F3232">
        <v>2018</v>
      </c>
      <c r="G3232">
        <v>390.2439</v>
      </c>
    </row>
    <row r="3233" spans="5:7" x14ac:dyDescent="0.75">
      <c r="E3233" t="s">
        <v>138</v>
      </c>
      <c r="F3233">
        <v>2019</v>
      </c>
      <c r="G3233">
        <v>329.41174000000001</v>
      </c>
    </row>
    <row r="3234" spans="5:7" x14ac:dyDescent="0.75">
      <c r="E3234" t="s">
        <v>138</v>
      </c>
      <c r="F3234">
        <v>2020</v>
      </c>
      <c r="G3234">
        <v>247.19101000000001</v>
      </c>
    </row>
    <row r="3235" spans="5:7" x14ac:dyDescent="0.75">
      <c r="E3235" t="s">
        <v>138</v>
      </c>
      <c r="F3235">
        <v>2021</v>
      </c>
      <c r="G3235">
        <v>280</v>
      </c>
    </row>
    <row r="3236" spans="5:7" x14ac:dyDescent="0.75">
      <c r="E3236" t="s">
        <v>138</v>
      </c>
      <c r="F3236">
        <v>2022</v>
      </c>
      <c r="G3236">
        <v>288.46154999999999</v>
      </c>
    </row>
    <row r="3237" spans="5:7" x14ac:dyDescent="0.75">
      <c r="E3237" t="s">
        <v>138</v>
      </c>
      <c r="F3237">
        <v>2023</v>
      </c>
      <c r="G3237">
        <v>301.88679999999999</v>
      </c>
    </row>
    <row r="3238" spans="5:7" x14ac:dyDescent="0.75">
      <c r="E3238" t="s">
        <v>139</v>
      </c>
      <c r="F3238">
        <v>2000</v>
      </c>
      <c r="G3238">
        <v>666.66660000000002</v>
      </c>
    </row>
    <row r="3239" spans="5:7" x14ac:dyDescent="0.75">
      <c r="E3239" t="s">
        <v>139</v>
      </c>
      <c r="F3239">
        <v>2001</v>
      </c>
      <c r="G3239">
        <v>687.5</v>
      </c>
    </row>
    <row r="3240" spans="5:7" x14ac:dyDescent="0.75">
      <c r="E3240" t="s">
        <v>139</v>
      </c>
      <c r="F3240">
        <v>2002</v>
      </c>
      <c r="G3240">
        <v>666.66660000000002</v>
      </c>
    </row>
    <row r="3241" spans="5:7" x14ac:dyDescent="0.75">
      <c r="E3241" t="s">
        <v>139</v>
      </c>
      <c r="F3241">
        <v>2003</v>
      </c>
      <c r="G3241">
        <v>666.66660000000002</v>
      </c>
    </row>
    <row r="3242" spans="5:7" x14ac:dyDescent="0.75">
      <c r="E3242" t="s">
        <v>139</v>
      </c>
      <c r="F3242">
        <v>2004</v>
      </c>
      <c r="G3242">
        <v>666.66660000000002</v>
      </c>
    </row>
    <row r="3243" spans="5:7" x14ac:dyDescent="0.75">
      <c r="E3243" t="s">
        <v>139</v>
      </c>
      <c r="F3243">
        <v>2005</v>
      </c>
      <c r="G3243">
        <v>684.21050000000002</v>
      </c>
    </row>
    <row r="3244" spans="5:7" x14ac:dyDescent="0.75">
      <c r="E3244" t="s">
        <v>139</v>
      </c>
      <c r="F3244">
        <v>2006</v>
      </c>
      <c r="G3244">
        <v>684.21050000000002</v>
      </c>
    </row>
    <row r="3245" spans="5:7" x14ac:dyDescent="0.75">
      <c r="E3245" t="s">
        <v>139</v>
      </c>
      <c r="F3245">
        <v>2007</v>
      </c>
      <c r="G3245">
        <v>666.66669999999999</v>
      </c>
    </row>
    <row r="3246" spans="5:7" x14ac:dyDescent="0.75">
      <c r="E3246" t="s">
        <v>139</v>
      </c>
      <c r="F3246">
        <v>2008</v>
      </c>
      <c r="G3246">
        <v>649.99994000000004</v>
      </c>
    </row>
    <row r="3247" spans="5:7" x14ac:dyDescent="0.75">
      <c r="E3247" t="s">
        <v>139</v>
      </c>
      <c r="F3247">
        <v>2009</v>
      </c>
      <c r="G3247">
        <v>636.36365000000001</v>
      </c>
    </row>
    <row r="3248" spans="5:7" x14ac:dyDescent="0.75">
      <c r="E3248" t="s">
        <v>139</v>
      </c>
      <c r="F3248">
        <v>2010</v>
      </c>
      <c r="G3248">
        <v>666.66669999999999</v>
      </c>
    </row>
    <row r="3249" spans="5:7" x14ac:dyDescent="0.75">
      <c r="E3249" t="s">
        <v>139</v>
      </c>
      <c r="F3249">
        <v>2011</v>
      </c>
      <c r="G3249">
        <v>636.36365000000001</v>
      </c>
    </row>
    <row r="3250" spans="5:7" x14ac:dyDescent="0.75">
      <c r="E3250" t="s">
        <v>139</v>
      </c>
      <c r="F3250">
        <v>2012</v>
      </c>
      <c r="G3250">
        <v>636.36365000000001</v>
      </c>
    </row>
    <row r="3251" spans="5:7" x14ac:dyDescent="0.75">
      <c r="E3251" t="s">
        <v>139</v>
      </c>
      <c r="F3251">
        <v>2013</v>
      </c>
      <c r="G3251">
        <v>636.36365000000001</v>
      </c>
    </row>
    <row r="3252" spans="5:7" x14ac:dyDescent="0.75">
      <c r="E3252" t="s">
        <v>139</v>
      </c>
      <c r="F3252">
        <v>2014</v>
      </c>
      <c r="G3252">
        <v>636.36365000000001</v>
      </c>
    </row>
    <row r="3253" spans="5:7" x14ac:dyDescent="0.75">
      <c r="E3253" t="s">
        <v>139</v>
      </c>
      <c r="F3253">
        <v>2015</v>
      </c>
      <c r="G3253">
        <v>636.36365000000001</v>
      </c>
    </row>
    <row r="3254" spans="5:7" x14ac:dyDescent="0.75">
      <c r="E3254" t="s">
        <v>139</v>
      </c>
      <c r="F3254">
        <v>2016</v>
      </c>
      <c r="G3254">
        <v>608.69560000000001</v>
      </c>
    </row>
    <row r="3255" spans="5:7" x14ac:dyDescent="0.75">
      <c r="E3255" t="s">
        <v>139</v>
      </c>
      <c r="F3255">
        <v>2017</v>
      </c>
      <c r="G3255">
        <v>636.36365000000001</v>
      </c>
    </row>
    <row r="3256" spans="5:7" x14ac:dyDescent="0.75">
      <c r="E3256" t="s">
        <v>139</v>
      </c>
      <c r="F3256">
        <v>2018</v>
      </c>
      <c r="G3256">
        <v>608.69560000000001</v>
      </c>
    </row>
    <row r="3257" spans="5:7" x14ac:dyDescent="0.75">
      <c r="E3257" t="s">
        <v>139</v>
      </c>
      <c r="F3257">
        <v>2019</v>
      </c>
      <c r="G3257">
        <v>608.69560000000001</v>
      </c>
    </row>
    <row r="3258" spans="5:7" x14ac:dyDescent="0.75">
      <c r="E3258" t="s">
        <v>139</v>
      </c>
      <c r="F3258">
        <v>2020</v>
      </c>
      <c r="G3258">
        <v>636.36365000000001</v>
      </c>
    </row>
    <row r="3259" spans="5:7" x14ac:dyDescent="0.75">
      <c r="E3259" t="s">
        <v>139</v>
      </c>
      <c r="F3259">
        <v>2021</v>
      </c>
      <c r="G3259">
        <v>636.36365000000001</v>
      </c>
    </row>
    <row r="3260" spans="5:7" x14ac:dyDescent="0.75">
      <c r="E3260" t="s">
        <v>139</v>
      </c>
      <c r="F3260">
        <v>2022</v>
      </c>
      <c r="G3260">
        <v>636.36365000000001</v>
      </c>
    </row>
    <row r="3261" spans="5:7" x14ac:dyDescent="0.75">
      <c r="E3261" t="s">
        <v>140</v>
      </c>
      <c r="F3261">
        <v>2000</v>
      </c>
      <c r="G3261">
        <v>642.85720000000003</v>
      </c>
    </row>
    <row r="3262" spans="5:7" x14ac:dyDescent="0.75">
      <c r="E3262" t="s">
        <v>140</v>
      </c>
      <c r="F3262">
        <v>2001</v>
      </c>
      <c r="G3262">
        <v>655.17240000000004</v>
      </c>
    </row>
    <row r="3263" spans="5:7" x14ac:dyDescent="0.75">
      <c r="E3263" t="s">
        <v>140</v>
      </c>
      <c r="F3263">
        <v>2002</v>
      </c>
      <c r="G3263">
        <v>655.17240000000004</v>
      </c>
    </row>
    <row r="3264" spans="5:7" x14ac:dyDescent="0.75">
      <c r="E3264" t="s">
        <v>140</v>
      </c>
      <c r="F3264">
        <v>2003</v>
      </c>
      <c r="G3264">
        <v>666.66660000000002</v>
      </c>
    </row>
    <row r="3265" spans="5:7" x14ac:dyDescent="0.75">
      <c r="E3265" t="s">
        <v>140</v>
      </c>
      <c r="F3265">
        <v>2004</v>
      </c>
      <c r="G3265">
        <v>645.16129999999998</v>
      </c>
    </row>
    <row r="3266" spans="5:7" x14ac:dyDescent="0.75">
      <c r="E3266" t="s">
        <v>140</v>
      </c>
      <c r="F3266">
        <v>2005</v>
      </c>
      <c r="G3266">
        <v>656.25</v>
      </c>
    </row>
    <row r="3267" spans="5:7" x14ac:dyDescent="0.75">
      <c r="E3267" t="s">
        <v>140</v>
      </c>
      <c r="F3267">
        <v>2006</v>
      </c>
      <c r="G3267">
        <v>666.66660000000002</v>
      </c>
    </row>
    <row r="3268" spans="5:7" x14ac:dyDescent="0.75">
      <c r="E3268" t="s">
        <v>140</v>
      </c>
      <c r="F3268">
        <v>2007</v>
      </c>
      <c r="G3268">
        <v>657.14290000000005</v>
      </c>
    </row>
    <row r="3269" spans="5:7" x14ac:dyDescent="0.75">
      <c r="E3269" t="s">
        <v>140</v>
      </c>
      <c r="F3269">
        <v>2008</v>
      </c>
      <c r="G3269">
        <v>657.14290000000005</v>
      </c>
    </row>
    <row r="3270" spans="5:7" x14ac:dyDescent="0.75">
      <c r="E3270" t="s">
        <v>140</v>
      </c>
      <c r="F3270">
        <v>2009</v>
      </c>
      <c r="G3270">
        <v>666.66660000000002</v>
      </c>
    </row>
    <row r="3271" spans="5:7" x14ac:dyDescent="0.75">
      <c r="E3271" t="s">
        <v>140</v>
      </c>
      <c r="F3271">
        <v>2010</v>
      </c>
      <c r="G3271">
        <v>657.89480000000003</v>
      </c>
    </row>
    <row r="3272" spans="5:7" x14ac:dyDescent="0.75">
      <c r="E3272" t="s">
        <v>140</v>
      </c>
      <c r="F3272">
        <v>2011</v>
      </c>
      <c r="G3272">
        <v>666.66669999999999</v>
      </c>
    </row>
    <row r="3273" spans="5:7" x14ac:dyDescent="0.75">
      <c r="E3273" t="s">
        <v>140</v>
      </c>
      <c r="F3273">
        <v>2012</v>
      </c>
      <c r="G3273">
        <v>657.89480000000003</v>
      </c>
    </row>
    <row r="3274" spans="5:7" x14ac:dyDescent="0.75">
      <c r="E3274" t="s">
        <v>140</v>
      </c>
      <c r="F3274">
        <v>2013</v>
      </c>
      <c r="G3274">
        <v>657.89480000000003</v>
      </c>
    </row>
    <row r="3275" spans="5:7" x14ac:dyDescent="0.75">
      <c r="E3275" t="s">
        <v>140</v>
      </c>
      <c r="F3275">
        <v>2014</v>
      </c>
      <c r="G3275">
        <v>657.89480000000003</v>
      </c>
    </row>
    <row r="3276" spans="5:7" x14ac:dyDescent="0.75">
      <c r="E3276" t="s">
        <v>140</v>
      </c>
      <c r="F3276">
        <v>2015</v>
      </c>
      <c r="G3276">
        <v>657.89480000000003</v>
      </c>
    </row>
    <row r="3277" spans="5:7" x14ac:dyDescent="0.75">
      <c r="E3277" t="s">
        <v>140</v>
      </c>
      <c r="F3277">
        <v>2016</v>
      </c>
      <c r="G3277">
        <v>666.66669999999999</v>
      </c>
    </row>
    <row r="3278" spans="5:7" x14ac:dyDescent="0.75">
      <c r="E3278" t="s">
        <v>140</v>
      </c>
      <c r="F3278">
        <v>2017</v>
      </c>
      <c r="G3278">
        <v>649.99994000000004</v>
      </c>
    </row>
    <row r="3279" spans="5:7" x14ac:dyDescent="0.75">
      <c r="E3279" t="s">
        <v>140</v>
      </c>
      <c r="F3279">
        <v>2018</v>
      </c>
      <c r="G3279">
        <v>634.1463</v>
      </c>
    </row>
    <row r="3280" spans="5:7" x14ac:dyDescent="0.75">
      <c r="E3280" t="s">
        <v>140</v>
      </c>
      <c r="F3280">
        <v>2019</v>
      </c>
      <c r="G3280">
        <v>642.85720000000003</v>
      </c>
    </row>
    <row r="3281" spans="5:7" x14ac:dyDescent="0.75">
      <c r="E3281" t="s">
        <v>140</v>
      </c>
      <c r="F3281">
        <v>2020</v>
      </c>
      <c r="G3281">
        <v>631.57889999999998</v>
      </c>
    </row>
    <row r="3282" spans="5:7" x14ac:dyDescent="0.75">
      <c r="E3282" t="s">
        <v>140</v>
      </c>
      <c r="F3282">
        <v>2021</v>
      </c>
      <c r="G3282">
        <v>649.99994000000004</v>
      </c>
    </row>
    <row r="3283" spans="5:7" x14ac:dyDescent="0.75">
      <c r="E3283" t="s">
        <v>140</v>
      </c>
      <c r="F3283">
        <v>2022</v>
      </c>
      <c r="G3283">
        <v>649.99994000000004</v>
      </c>
    </row>
    <row r="3284" spans="5:7" x14ac:dyDescent="0.75">
      <c r="E3284" t="s">
        <v>141</v>
      </c>
      <c r="F3284">
        <v>2000</v>
      </c>
      <c r="G3284">
        <v>500</v>
      </c>
    </row>
    <row r="3285" spans="5:7" x14ac:dyDescent="0.75">
      <c r="E3285" t="s">
        <v>141</v>
      </c>
      <c r="F3285">
        <v>2001</v>
      </c>
      <c r="G3285">
        <v>500</v>
      </c>
    </row>
    <row r="3286" spans="5:7" x14ac:dyDescent="0.75">
      <c r="E3286" t="s">
        <v>141</v>
      </c>
      <c r="F3286">
        <v>2002</v>
      </c>
      <c r="G3286">
        <v>500</v>
      </c>
    </row>
    <row r="3287" spans="5:7" x14ac:dyDescent="0.75">
      <c r="E3287" t="s">
        <v>141</v>
      </c>
      <c r="F3287">
        <v>2003</v>
      </c>
      <c r="G3287">
        <v>545.45450000000005</v>
      </c>
    </row>
    <row r="3288" spans="5:7" x14ac:dyDescent="0.75">
      <c r="E3288" t="s">
        <v>141</v>
      </c>
      <c r="F3288">
        <v>2004</v>
      </c>
      <c r="G3288">
        <v>500</v>
      </c>
    </row>
    <row r="3289" spans="5:7" x14ac:dyDescent="0.75">
      <c r="E3289" t="s">
        <v>141</v>
      </c>
      <c r="F3289">
        <v>2005</v>
      </c>
      <c r="G3289">
        <v>500</v>
      </c>
    </row>
    <row r="3290" spans="5:7" x14ac:dyDescent="0.75">
      <c r="E3290" t="s">
        <v>141</v>
      </c>
      <c r="F3290">
        <v>2006</v>
      </c>
      <c r="G3290">
        <v>538.46154999999999</v>
      </c>
    </row>
    <row r="3291" spans="5:7" x14ac:dyDescent="0.75">
      <c r="E3291" t="s">
        <v>141</v>
      </c>
      <c r="F3291">
        <v>2007</v>
      </c>
      <c r="G3291">
        <v>571.42849999999999</v>
      </c>
    </row>
    <row r="3292" spans="5:7" x14ac:dyDescent="0.75">
      <c r="E3292" t="s">
        <v>141</v>
      </c>
      <c r="F3292">
        <v>2008</v>
      </c>
      <c r="G3292">
        <v>571.42849999999999</v>
      </c>
    </row>
    <row r="3293" spans="5:7" x14ac:dyDescent="0.75">
      <c r="E3293" t="s">
        <v>141</v>
      </c>
      <c r="F3293">
        <v>2009</v>
      </c>
      <c r="G3293">
        <v>571.42849999999999</v>
      </c>
    </row>
    <row r="3294" spans="5:7" x14ac:dyDescent="0.75">
      <c r="E3294" t="s">
        <v>141</v>
      </c>
      <c r="F3294">
        <v>2010</v>
      </c>
      <c r="G3294">
        <v>533.33330000000001</v>
      </c>
    </row>
    <row r="3295" spans="5:7" x14ac:dyDescent="0.75">
      <c r="E3295" t="s">
        <v>141</v>
      </c>
      <c r="F3295">
        <v>2011</v>
      </c>
      <c r="G3295">
        <v>500</v>
      </c>
    </row>
    <row r="3296" spans="5:7" x14ac:dyDescent="0.75">
      <c r="E3296" t="s">
        <v>141</v>
      </c>
      <c r="F3296">
        <v>2012</v>
      </c>
      <c r="G3296">
        <v>533.33330000000001</v>
      </c>
    </row>
    <row r="3297" spans="5:7" x14ac:dyDescent="0.75">
      <c r="E3297" t="s">
        <v>141</v>
      </c>
      <c r="F3297">
        <v>2013</v>
      </c>
      <c r="G3297">
        <v>571.42849999999999</v>
      </c>
    </row>
    <row r="3298" spans="5:7" x14ac:dyDescent="0.75">
      <c r="E3298" t="s">
        <v>141</v>
      </c>
      <c r="F3298">
        <v>2014</v>
      </c>
      <c r="G3298">
        <v>642.85720000000003</v>
      </c>
    </row>
    <row r="3299" spans="5:7" x14ac:dyDescent="0.75">
      <c r="E3299" t="s">
        <v>141</v>
      </c>
      <c r="F3299">
        <v>2015</v>
      </c>
      <c r="G3299">
        <v>600</v>
      </c>
    </row>
    <row r="3300" spans="5:7" x14ac:dyDescent="0.75">
      <c r="E3300" t="s">
        <v>141</v>
      </c>
      <c r="F3300">
        <v>2016</v>
      </c>
      <c r="G3300">
        <v>562.50005999999996</v>
      </c>
    </row>
    <row r="3301" spans="5:7" x14ac:dyDescent="0.75">
      <c r="E3301" t="s">
        <v>141</v>
      </c>
      <c r="F3301">
        <v>2017</v>
      </c>
      <c r="G3301">
        <v>600</v>
      </c>
    </row>
    <row r="3302" spans="5:7" x14ac:dyDescent="0.75">
      <c r="E3302" t="s">
        <v>141</v>
      </c>
      <c r="F3302">
        <v>2018</v>
      </c>
      <c r="G3302">
        <v>600</v>
      </c>
    </row>
    <row r="3303" spans="5:7" x14ac:dyDescent="0.75">
      <c r="E3303" t="s">
        <v>141</v>
      </c>
      <c r="F3303">
        <v>2019</v>
      </c>
      <c r="G3303">
        <v>600</v>
      </c>
    </row>
    <row r="3304" spans="5:7" x14ac:dyDescent="0.75">
      <c r="E3304" t="s">
        <v>141</v>
      </c>
      <c r="F3304">
        <v>2020</v>
      </c>
      <c r="G3304">
        <v>600</v>
      </c>
    </row>
    <row r="3305" spans="5:7" x14ac:dyDescent="0.75">
      <c r="E3305" t="s">
        <v>141</v>
      </c>
      <c r="F3305">
        <v>2021</v>
      </c>
      <c r="G3305">
        <v>571.42849999999999</v>
      </c>
    </row>
    <row r="3306" spans="5:7" x14ac:dyDescent="0.75">
      <c r="E3306" t="s">
        <v>141</v>
      </c>
      <c r="F3306">
        <v>2022</v>
      </c>
      <c r="G3306">
        <v>600</v>
      </c>
    </row>
    <row r="3307" spans="5:7" x14ac:dyDescent="0.75">
      <c r="E3307" t="s">
        <v>141</v>
      </c>
      <c r="F3307">
        <v>2023</v>
      </c>
      <c r="G3307">
        <v>600</v>
      </c>
    </row>
    <row r="3308" spans="5:7" x14ac:dyDescent="0.75">
      <c r="E3308" t="s">
        <v>143</v>
      </c>
      <c r="F3308">
        <v>2000</v>
      </c>
      <c r="G3308">
        <v>333.33334000000002</v>
      </c>
    </row>
    <row r="3309" spans="5:7" x14ac:dyDescent="0.75">
      <c r="E3309" t="s">
        <v>143</v>
      </c>
      <c r="F3309">
        <v>2001</v>
      </c>
      <c r="G3309">
        <v>500</v>
      </c>
    </row>
    <row r="3310" spans="5:7" x14ac:dyDescent="0.75">
      <c r="E3310" t="s">
        <v>143</v>
      </c>
      <c r="F3310">
        <v>2002</v>
      </c>
      <c r="G3310">
        <v>500</v>
      </c>
    </row>
    <row r="3311" spans="5:7" x14ac:dyDescent="0.75">
      <c r="E3311" t="s">
        <v>143</v>
      </c>
      <c r="F3311">
        <v>2003</v>
      </c>
      <c r="G3311">
        <v>500</v>
      </c>
    </row>
    <row r="3312" spans="5:7" x14ac:dyDescent="0.75">
      <c r="E3312" t="s">
        <v>143</v>
      </c>
      <c r="F3312">
        <v>2004</v>
      </c>
      <c r="G3312">
        <v>500</v>
      </c>
    </row>
    <row r="3313" spans="5:7" x14ac:dyDescent="0.75">
      <c r="E3313" t="s">
        <v>143</v>
      </c>
      <c r="F3313">
        <v>2005</v>
      </c>
      <c r="G3313">
        <v>750</v>
      </c>
    </row>
    <row r="3314" spans="5:7" x14ac:dyDescent="0.75">
      <c r="E3314" t="s">
        <v>143</v>
      </c>
      <c r="F3314">
        <v>2006</v>
      </c>
      <c r="G3314">
        <v>600</v>
      </c>
    </row>
    <row r="3315" spans="5:7" x14ac:dyDescent="0.75">
      <c r="E3315" t="s">
        <v>143</v>
      </c>
      <c r="F3315">
        <v>2007</v>
      </c>
      <c r="G3315">
        <v>600</v>
      </c>
    </row>
    <row r="3316" spans="5:7" x14ac:dyDescent="0.75">
      <c r="E3316" t="s">
        <v>143</v>
      </c>
      <c r="F3316">
        <v>2008</v>
      </c>
      <c r="G3316">
        <v>600</v>
      </c>
    </row>
    <row r="3317" spans="5:7" x14ac:dyDescent="0.75">
      <c r="E3317" t="s">
        <v>143</v>
      </c>
      <c r="F3317">
        <v>2009</v>
      </c>
      <c r="G3317">
        <v>500</v>
      </c>
    </row>
    <row r="3318" spans="5:7" x14ac:dyDescent="0.75">
      <c r="E3318" t="s">
        <v>143</v>
      </c>
      <c r="F3318">
        <v>2010</v>
      </c>
      <c r="G3318">
        <v>600</v>
      </c>
    </row>
    <row r="3319" spans="5:7" x14ac:dyDescent="0.75">
      <c r="E3319" t="s">
        <v>143</v>
      </c>
      <c r="F3319">
        <v>2011</v>
      </c>
      <c r="G3319">
        <v>571.42849999999999</v>
      </c>
    </row>
    <row r="3320" spans="5:7" x14ac:dyDescent="0.75">
      <c r="E3320" t="s">
        <v>143</v>
      </c>
      <c r="F3320">
        <v>2012</v>
      </c>
      <c r="G3320">
        <v>625</v>
      </c>
    </row>
    <row r="3321" spans="5:7" x14ac:dyDescent="0.75">
      <c r="E3321" t="s">
        <v>143</v>
      </c>
      <c r="F3321">
        <v>2013</v>
      </c>
      <c r="G3321">
        <v>571.42849999999999</v>
      </c>
    </row>
    <row r="3322" spans="5:7" x14ac:dyDescent="0.75">
      <c r="E3322" t="s">
        <v>143</v>
      </c>
      <c r="F3322">
        <v>2014</v>
      </c>
      <c r="G3322">
        <v>625</v>
      </c>
    </row>
    <row r="3323" spans="5:7" x14ac:dyDescent="0.75">
      <c r="E3323" t="s">
        <v>143</v>
      </c>
      <c r="F3323">
        <v>2015</v>
      </c>
      <c r="G3323">
        <v>600</v>
      </c>
    </row>
    <row r="3324" spans="5:7" x14ac:dyDescent="0.75">
      <c r="E3324" t="s">
        <v>143</v>
      </c>
      <c r="F3324">
        <v>2016</v>
      </c>
      <c r="G3324">
        <v>636.36365000000001</v>
      </c>
    </row>
    <row r="3325" spans="5:7" x14ac:dyDescent="0.75">
      <c r="E3325" t="s">
        <v>143</v>
      </c>
      <c r="F3325">
        <v>2017</v>
      </c>
      <c r="G3325">
        <v>700</v>
      </c>
    </row>
    <row r="3326" spans="5:7" x14ac:dyDescent="0.75">
      <c r="E3326" t="s">
        <v>143</v>
      </c>
      <c r="F3326">
        <v>2018</v>
      </c>
      <c r="G3326">
        <v>700</v>
      </c>
    </row>
    <row r="3327" spans="5:7" x14ac:dyDescent="0.75">
      <c r="E3327" t="s">
        <v>143</v>
      </c>
      <c r="F3327">
        <v>2019</v>
      </c>
      <c r="G3327">
        <v>636.36365000000001</v>
      </c>
    </row>
    <row r="3328" spans="5:7" x14ac:dyDescent="0.75">
      <c r="E3328" t="s">
        <v>143</v>
      </c>
      <c r="F3328">
        <v>2020</v>
      </c>
      <c r="G3328">
        <v>636.36365000000001</v>
      </c>
    </row>
    <row r="3329" spans="5:7" x14ac:dyDescent="0.75">
      <c r="E3329" t="s">
        <v>143</v>
      </c>
      <c r="F3329">
        <v>2021</v>
      </c>
      <c r="G3329">
        <v>636.36365000000001</v>
      </c>
    </row>
    <row r="3330" spans="5:7" x14ac:dyDescent="0.75">
      <c r="E3330" t="s">
        <v>143</v>
      </c>
      <c r="F3330">
        <v>2022</v>
      </c>
      <c r="G3330">
        <v>555.55553999999995</v>
      </c>
    </row>
    <row r="3331" spans="5:7" x14ac:dyDescent="0.75">
      <c r="E3331" t="s">
        <v>144</v>
      </c>
      <c r="F3331">
        <v>2000</v>
      </c>
      <c r="G3331">
        <v>692.33540000000005</v>
      </c>
    </row>
    <row r="3332" spans="5:7" x14ac:dyDescent="0.75">
      <c r="E3332" t="s">
        <v>144</v>
      </c>
      <c r="F3332">
        <v>2001</v>
      </c>
      <c r="G3332">
        <v>697.173</v>
      </c>
    </row>
    <row r="3333" spans="5:7" x14ac:dyDescent="0.75">
      <c r="E3333" t="s">
        <v>144</v>
      </c>
      <c r="F3333">
        <v>2002</v>
      </c>
      <c r="G3333">
        <v>699.69659999999999</v>
      </c>
    </row>
    <row r="3334" spans="5:7" x14ac:dyDescent="0.75">
      <c r="E3334" t="s">
        <v>144</v>
      </c>
      <c r="F3334">
        <v>2003</v>
      </c>
      <c r="G3334">
        <v>698.88340000000005</v>
      </c>
    </row>
    <row r="3335" spans="5:7" x14ac:dyDescent="0.75">
      <c r="E3335" t="s">
        <v>144</v>
      </c>
      <c r="F3335">
        <v>2004</v>
      </c>
      <c r="G3335">
        <v>700.47864000000004</v>
      </c>
    </row>
    <row r="3336" spans="5:7" x14ac:dyDescent="0.75">
      <c r="E3336" t="s">
        <v>144</v>
      </c>
      <c r="F3336">
        <v>2005</v>
      </c>
      <c r="G3336">
        <v>700.13080000000002</v>
      </c>
    </row>
    <row r="3337" spans="5:7" x14ac:dyDescent="0.75">
      <c r="E3337" t="s">
        <v>144</v>
      </c>
      <c r="F3337">
        <v>2006</v>
      </c>
      <c r="G3337">
        <v>697.77390000000003</v>
      </c>
    </row>
    <row r="3338" spans="5:7" x14ac:dyDescent="0.75">
      <c r="E3338" t="s">
        <v>144</v>
      </c>
      <c r="F3338">
        <v>2007</v>
      </c>
      <c r="G3338">
        <v>695.49474999999995</v>
      </c>
    </row>
    <row r="3339" spans="5:7" x14ac:dyDescent="0.75">
      <c r="E3339" t="s">
        <v>144</v>
      </c>
      <c r="F3339">
        <v>2008</v>
      </c>
      <c r="G3339">
        <v>694.80899999999997</v>
      </c>
    </row>
    <row r="3340" spans="5:7" x14ac:dyDescent="0.75">
      <c r="E3340" t="s">
        <v>144</v>
      </c>
      <c r="F3340">
        <v>2009</v>
      </c>
      <c r="G3340">
        <v>690.30413999999996</v>
      </c>
    </row>
    <row r="3341" spans="5:7" x14ac:dyDescent="0.75">
      <c r="E3341" t="s">
        <v>144</v>
      </c>
      <c r="F3341">
        <v>2010</v>
      </c>
      <c r="G3341">
        <v>691.40170000000001</v>
      </c>
    </row>
    <row r="3342" spans="5:7" x14ac:dyDescent="0.75">
      <c r="E3342" t="s">
        <v>144</v>
      </c>
      <c r="F3342">
        <v>2011</v>
      </c>
      <c r="G3342">
        <v>691.25990000000002</v>
      </c>
    </row>
    <row r="3343" spans="5:7" x14ac:dyDescent="0.75">
      <c r="E3343" t="s">
        <v>144</v>
      </c>
      <c r="F3343">
        <v>2012</v>
      </c>
      <c r="G3343">
        <v>692.75289999999995</v>
      </c>
    </row>
    <row r="3344" spans="5:7" x14ac:dyDescent="0.75">
      <c r="E3344" t="s">
        <v>144</v>
      </c>
      <c r="F3344">
        <v>2013</v>
      </c>
      <c r="G3344">
        <v>693.06460000000004</v>
      </c>
    </row>
    <row r="3345" spans="5:7" x14ac:dyDescent="0.75">
      <c r="E3345" t="s">
        <v>144</v>
      </c>
      <c r="F3345">
        <v>2014</v>
      </c>
      <c r="G3345">
        <v>692.56550000000004</v>
      </c>
    </row>
    <row r="3346" spans="5:7" x14ac:dyDescent="0.75">
      <c r="E3346" t="s">
        <v>144</v>
      </c>
      <c r="F3346">
        <v>2015</v>
      </c>
      <c r="G3346">
        <v>693.07550000000003</v>
      </c>
    </row>
    <row r="3347" spans="5:7" x14ac:dyDescent="0.75">
      <c r="E3347" t="s">
        <v>144</v>
      </c>
      <c r="F3347">
        <v>2016</v>
      </c>
      <c r="G3347">
        <v>697.22640000000001</v>
      </c>
    </row>
    <row r="3348" spans="5:7" x14ac:dyDescent="0.75">
      <c r="E3348" t="s">
        <v>144</v>
      </c>
      <c r="F3348">
        <v>2017</v>
      </c>
      <c r="G3348">
        <v>699.96716000000004</v>
      </c>
    </row>
    <row r="3349" spans="5:7" x14ac:dyDescent="0.75">
      <c r="E3349" t="s">
        <v>144</v>
      </c>
      <c r="F3349">
        <v>2018</v>
      </c>
      <c r="G3349">
        <v>702.8845</v>
      </c>
    </row>
    <row r="3350" spans="5:7" x14ac:dyDescent="0.75">
      <c r="E3350" t="s">
        <v>144</v>
      </c>
      <c r="F3350">
        <v>2019</v>
      </c>
      <c r="G3350">
        <v>701.70389999999998</v>
      </c>
    </row>
    <row r="3351" spans="5:7" x14ac:dyDescent="0.75">
      <c r="E3351" t="s">
        <v>144</v>
      </c>
      <c r="F3351">
        <v>2020</v>
      </c>
      <c r="G3351">
        <v>703.15039999999999</v>
      </c>
    </row>
    <row r="3352" spans="5:7" x14ac:dyDescent="0.75">
      <c r="E3352" t="s">
        <v>144</v>
      </c>
      <c r="F3352">
        <v>2021</v>
      </c>
      <c r="G3352">
        <v>701.50660000000005</v>
      </c>
    </row>
    <row r="3353" spans="5:7" x14ac:dyDescent="0.75">
      <c r="E3353" t="s">
        <v>144</v>
      </c>
      <c r="F3353">
        <v>2022</v>
      </c>
      <c r="G3353">
        <v>700.11956999999995</v>
      </c>
    </row>
    <row r="3354" spans="5:7" x14ac:dyDescent="0.75">
      <c r="E3354" t="s">
        <v>144</v>
      </c>
      <c r="F3354">
        <v>2023</v>
      </c>
      <c r="G3354">
        <v>696.31335000000001</v>
      </c>
    </row>
    <row r="3355" spans="5:7" x14ac:dyDescent="0.75">
      <c r="E3355" t="s">
        <v>145</v>
      </c>
      <c r="F3355">
        <v>2000</v>
      </c>
      <c r="G3355">
        <v>644.2953</v>
      </c>
    </row>
    <row r="3356" spans="5:7" x14ac:dyDescent="0.75">
      <c r="E3356" t="s">
        <v>145</v>
      </c>
      <c r="F3356">
        <v>2001</v>
      </c>
      <c r="G3356">
        <v>642.45809999999994</v>
      </c>
    </row>
    <row r="3357" spans="5:7" x14ac:dyDescent="0.75">
      <c r="E3357" t="s">
        <v>145</v>
      </c>
      <c r="F3357">
        <v>2002</v>
      </c>
      <c r="G3357">
        <v>586.5385</v>
      </c>
    </row>
    <row r="3358" spans="5:7" x14ac:dyDescent="0.75">
      <c r="E3358" t="s">
        <v>145</v>
      </c>
      <c r="F3358">
        <v>2003</v>
      </c>
      <c r="G3358">
        <v>566.52359999999999</v>
      </c>
    </row>
    <row r="3359" spans="5:7" x14ac:dyDescent="0.75">
      <c r="E3359" t="s">
        <v>145</v>
      </c>
      <c r="F3359">
        <v>2004</v>
      </c>
      <c r="G3359">
        <v>585.77404999999999</v>
      </c>
    </row>
    <row r="3360" spans="5:7" x14ac:dyDescent="0.75">
      <c r="E3360" t="s">
        <v>145</v>
      </c>
      <c r="F3360">
        <v>2005</v>
      </c>
      <c r="G3360">
        <v>596.22640000000001</v>
      </c>
    </row>
    <row r="3361" spans="5:7" x14ac:dyDescent="0.75">
      <c r="E3361" t="s">
        <v>145</v>
      </c>
      <c r="F3361">
        <v>2006</v>
      </c>
      <c r="G3361">
        <v>602.27269999999999</v>
      </c>
    </row>
    <row r="3362" spans="5:7" x14ac:dyDescent="0.75">
      <c r="E3362" t="s">
        <v>145</v>
      </c>
      <c r="F3362">
        <v>2007</v>
      </c>
      <c r="G3362">
        <v>614.28570000000002</v>
      </c>
    </row>
    <row r="3363" spans="5:7" x14ac:dyDescent="0.75">
      <c r="E3363" t="s">
        <v>145</v>
      </c>
      <c r="F3363">
        <v>2008</v>
      </c>
      <c r="G3363">
        <v>611.48644999999999</v>
      </c>
    </row>
    <row r="3364" spans="5:7" x14ac:dyDescent="0.75">
      <c r="E3364" t="s">
        <v>145</v>
      </c>
      <c r="F3364">
        <v>2009</v>
      </c>
      <c r="G3364">
        <v>606.55740000000003</v>
      </c>
    </row>
    <row r="3365" spans="5:7" x14ac:dyDescent="0.75">
      <c r="E3365" t="s">
        <v>145</v>
      </c>
      <c r="F3365">
        <v>2010</v>
      </c>
      <c r="G3365">
        <v>609.90710000000001</v>
      </c>
    </row>
    <row r="3366" spans="5:7" x14ac:dyDescent="0.75">
      <c r="E3366" t="s">
        <v>145</v>
      </c>
      <c r="F3366">
        <v>2011</v>
      </c>
      <c r="G3366">
        <v>607.90279999999996</v>
      </c>
    </row>
    <row r="3367" spans="5:7" x14ac:dyDescent="0.75">
      <c r="E3367" t="s">
        <v>145</v>
      </c>
      <c r="F3367">
        <v>2012</v>
      </c>
      <c r="G3367">
        <v>616.02210000000002</v>
      </c>
    </row>
    <row r="3368" spans="5:7" x14ac:dyDescent="0.75">
      <c r="E3368" t="s">
        <v>145</v>
      </c>
      <c r="F3368">
        <v>2013</v>
      </c>
      <c r="G3368">
        <v>611.54849999999999</v>
      </c>
    </row>
    <row r="3369" spans="5:7" x14ac:dyDescent="0.75">
      <c r="E3369" t="s">
        <v>145</v>
      </c>
      <c r="F3369">
        <v>2014</v>
      </c>
      <c r="G3369">
        <v>617.22490000000005</v>
      </c>
    </row>
    <row r="3370" spans="5:7" x14ac:dyDescent="0.75">
      <c r="E3370" t="s">
        <v>145</v>
      </c>
      <c r="F3370">
        <v>2015</v>
      </c>
      <c r="G3370">
        <v>619.36940000000004</v>
      </c>
    </row>
    <row r="3371" spans="5:7" x14ac:dyDescent="0.75">
      <c r="E3371" t="s">
        <v>145</v>
      </c>
      <c r="F3371">
        <v>2016</v>
      </c>
      <c r="G3371">
        <v>623.43097</v>
      </c>
    </row>
    <row r="3372" spans="5:7" x14ac:dyDescent="0.75">
      <c r="E3372" t="s">
        <v>145</v>
      </c>
      <c r="F3372">
        <v>2017</v>
      </c>
      <c r="G3372">
        <v>608.05083999999999</v>
      </c>
    </row>
    <row r="3373" spans="5:7" x14ac:dyDescent="0.75">
      <c r="E3373" t="s">
        <v>145</v>
      </c>
      <c r="F3373">
        <v>2018</v>
      </c>
      <c r="G3373">
        <v>595.14170000000001</v>
      </c>
    </row>
    <row r="3374" spans="5:7" x14ac:dyDescent="0.75">
      <c r="E3374" t="s">
        <v>145</v>
      </c>
      <c r="F3374">
        <v>2019</v>
      </c>
      <c r="G3374">
        <v>609.96564000000001</v>
      </c>
    </row>
    <row r="3375" spans="5:7" x14ac:dyDescent="0.75">
      <c r="E3375" t="s">
        <v>145</v>
      </c>
      <c r="F3375">
        <v>2020</v>
      </c>
      <c r="G3375">
        <v>562.70630000000006</v>
      </c>
    </row>
    <row r="3376" spans="5:7" x14ac:dyDescent="0.75">
      <c r="E3376" t="s">
        <v>145</v>
      </c>
      <c r="F3376">
        <v>2021</v>
      </c>
      <c r="G3376">
        <v>546.54660000000001</v>
      </c>
    </row>
    <row r="3377" spans="5:7" x14ac:dyDescent="0.75">
      <c r="E3377" t="s">
        <v>145</v>
      </c>
      <c r="F3377">
        <v>2022</v>
      </c>
      <c r="G3377">
        <v>526.66669999999999</v>
      </c>
    </row>
    <row r="3378" spans="5:7" x14ac:dyDescent="0.75">
      <c r="E3378" t="s">
        <v>145</v>
      </c>
      <c r="F3378">
        <v>2023</v>
      </c>
      <c r="G3378">
        <v>535.40369999999996</v>
      </c>
    </row>
    <row r="3379" spans="5:7" x14ac:dyDescent="0.75">
      <c r="E3379" t="s">
        <v>146</v>
      </c>
      <c r="F3379">
        <v>2000</v>
      </c>
      <c r="G3379">
        <v>699.53049999999996</v>
      </c>
    </row>
    <row r="3380" spans="5:7" x14ac:dyDescent="0.75">
      <c r="E3380" t="s">
        <v>146</v>
      </c>
      <c r="F3380">
        <v>2001</v>
      </c>
      <c r="G3380">
        <v>701.56586000000004</v>
      </c>
    </row>
    <row r="3381" spans="5:7" x14ac:dyDescent="0.75">
      <c r="E3381" t="s">
        <v>146</v>
      </c>
      <c r="F3381">
        <v>2002</v>
      </c>
      <c r="G3381">
        <v>707.58119999999997</v>
      </c>
    </row>
    <row r="3382" spans="5:7" x14ac:dyDescent="0.75">
      <c r="E3382" t="s">
        <v>146</v>
      </c>
      <c r="F3382">
        <v>2003</v>
      </c>
      <c r="G3382">
        <v>750.14599999999996</v>
      </c>
    </row>
    <row r="3383" spans="5:7" x14ac:dyDescent="0.75">
      <c r="E3383" t="s">
        <v>146</v>
      </c>
      <c r="F3383">
        <v>2004</v>
      </c>
      <c r="G3383">
        <v>719.81719999999996</v>
      </c>
    </row>
    <row r="3384" spans="5:7" x14ac:dyDescent="0.75">
      <c r="E3384" t="s">
        <v>146</v>
      </c>
      <c r="F3384">
        <v>2005</v>
      </c>
      <c r="G3384">
        <v>686.83765000000005</v>
      </c>
    </row>
    <row r="3385" spans="5:7" x14ac:dyDescent="0.75">
      <c r="E3385" t="s">
        <v>146</v>
      </c>
      <c r="F3385">
        <v>2006</v>
      </c>
      <c r="G3385">
        <v>723.72455000000002</v>
      </c>
    </row>
    <row r="3386" spans="5:7" x14ac:dyDescent="0.75">
      <c r="E3386" t="s">
        <v>146</v>
      </c>
      <c r="F3386">
        <v>2007</v>
      </c>
      <c r="G3386">
        <v>742.56320000000005</v>
      </c>
    </row>
    <row r="3387" spans="5:7" x14ac:dyDescent="0.75">
      <c r="E3387" t="s">
        <v>146</v>
      </c>
      <c r="F3387">
        <v>2008</v>
      </c>
      <c r="G3387">
        <v>749.59265000000005</v>
      </c>
    </row>
    <row r="3388" spans="5:7" x14ac:dyDescent="0.75">
      <c r="E3388" t="s">
        <v>146</v>
      </c>
      <c r="F3388">
        <v>2009</v>
      </c>
      <c r="G3388">
        <v>734.28800000000001</v>
      </c>
    </row>
    <row r="3389" spans="5:7" x14ac:dyDescent="0.75">
      <c r="E3389" t="s">
        <v>146</v>
      </c>
      <c r="F3389">
        <v>2010</v>
      </c>
      <c r="G3389">
        <v>693.47950000000003</v>
      </c>
    </row>
    <row r="3390" spans="5:7" x14ac:dyDescent="0.75">
      <c r="E3390" t="s">
        <v>146</v>
      </c>
      <c r="F3390">
        <v>2011</v>
      </c>
      <c r="G3390">
        <v>780.37869999999998</v>
      </c>
    </row>
    <row r="3391" spans="5:7" x14ac:dyDescent="0.75">
      <c r="E3391" t="s">
        <v>146</v>
      </c>
      <c r="F3391">
        <v>2012</v>
      </c>
      <c r="G3391">
        <v>751.86519999999996</v>
      </c>
    </row>
    <row r="3392" spans="5:7" x14ac:dyDescent="0.75">
      <c r="E3392" t="s">
        <v>146</v>
      </c>
      <c r="F3392">
        <v>2013</v>
      </c>
      <c r="G3392">
        <v>751.97550000000001</v>
      </c>
    </row>
    <row r="3393" spans="5:7" x14ac:dyDescent="0.75">
      <c r="E3393" t="s">
        <v>146</v>
      </c>
      <c r="F3393">
        <v>2014</v>
      </c>
      <c r="G3393">
        <v>683.61249999999995</v>
      </c>
    </row>
    <row r="3394" spans="5:7" x14ac:dyDescent="0.75">
      <c r="E3394" t="s">
        <v>146</v>
      </c>
      <c r="F3394">
        <v>2015</v>
      </c>
      <c r="G3394">
        <v>744.34685999999999</v>
      </c>
    </row>
    <row r="3395" spans="5:7" x14ac:dyDescent="0.75">
      <c r="E3395" t="s">
        <v>146</v>
      </c>
      <c r="F3395">
        <v>2016</v>
      </c>
      <c r="G3395">
        <v>729.86273000000006</v>
      </c>
    </row>
    <row r="3396" spans="5:7" x14ac:dyDescent="0.75">
      <c r="E3396" t="s">
        <v>146</v>
      </c>
      <c r="F3396">
        <v>2017</v>
      </c>
      <c r="G3396">
        <v>752.74426000000005</v>
      </c>
    </row>
    <row r="3397" spans="5:7" x14ac:dyDescent="0.75">
      <c r="E3397" t="s">
        <v>146</v>
      </c>
      <c r="F3397">
        <v>2018</v>
      </c>
      <c r="G3397">
        <v>709.84460000000001</v>
      </c>
    </row>
    <row r="3398" spans="5:7" x14ac:dyDescent="0.75">
      <c r="E3398" t="s">
        <v>146</v>
      </c>
      <c r="F3398">
        <v>2019</v>
      </c>
      <c r="G3398">
        <v>721.37819999999999</v>
      </c>
    </row>
    <row r="3399" spans="5:7" x14ac:dyDescent="0.75">
      <c r="E3399" t="s">
        <v>146</v>
      </c>
      <c r="F3399">
        <v>2020</v>
      </c>
      <c r="G3399">
        <v>736.14850000000001</v>
      </c>
    </row>
    <row r="3400" spans="5:7" x14ac:dyDescent="0.75">
      <c r="E3400" t="s">
        <v>146</v>
      </c>
      <c r="F3400">
        <v>2021</v>
      </c>
      <c r="G3400">
        <v>666.3107</v>
      </c>
    </row>
    <row r="3401" spans="5:7" x14ac:dyDescent="0.75">
      <c r="E3401" t="s">
        <v>146</v>
      </c>
      <c r="F3401">
        <v>2022</v>
      </c>
      <c r="G3401">
        <v>710.67737</v>
      </c>
    </row>
    <row r="3402" spans="5:7" x14ac:dyDescent="0.75">
      <c r="E3402" t="s">
        <v>146</v>
      </c>
      <c r="F3402">
        <v>2023</v>
      </c>
      <c r="G3402">
        <v>641.56244000000004</v>
      </c>
    </row>
    <row r="3403" spans="5:7" x14ac:dyDescent="0.75">
      <c r="E3403" t="s">
        <v>146</v>
      </c>
      <c r="F3403">
        <v>2024</v>
      </c>
      <c r="G3403">
        <v>670.79740000000004</v>
      </c>
    </row>
    <row r="3404" spans="5:7" x14ac:dyDescent="0.75">
      <c r="E3404" t="s">
        <v>147</v>
      </c>
      <c r="F3404">
        <v>2000</v>
      </c>
      <c r="G3404">
        <v>555.55553999999995</v>
      </c>
    </row>
    <row r="3405" spans="5:7" x14ac:dyDescent="0.75">
      <c r="E3405" t="s">
        <v>147</v>
      </c>
      <c r="F3405">
        <v>2001</v>
      </c>
      <c r="G3405">
        <v>615.38463999999999</v>
      </c>
    </row>
    <row r="3406" spans="5:7" x14ac:dyDescent="0.75">
      <c r="E3406" t="s">
        <v>147</v>
      </c>
      <c r="F3406">
        <v>2002</v>
      </c>
      <c r="G3406">
        <v>562.50005999999996</v>
      </c>
    </row>
    <row r="3407" spans="5:7" x14ac:dyDescent="0.75">
      <c r="E3407" t="s">
        <v>147</v>
      </c>
      <c r="F3407">
        <v>2003</v>
      </c>
      <c r="G3407">
        <v>600</v>
      </c>
    </row>
    <row r="3408" spans="5:7" x14ac:dyDescent="0.75">
      <c r="E3408" t="s">
        <v>147</v>
      </c>
      <c r="F3408">
        <v>2004</v>
      </c>
      <c r="G3408">
        <v>583.33339999999998</v>
      </c>
    </row>
    <row r="3409" spans="5:7" x14ac:dyDescent="0.75">
      <c r="E3409" t="s">
        <v>147</v>
      </c>
      <c r="F3409">
        <v>2005</v>
      </c>
      <c r="G3409">
        <v>500</v>
      </c>
    </row>
    <row r="3410" spans="5:7" x14ac:dyDescent="0.75">
      <c r="E3410" t="s">
        <v>147</v>
      </c>
      <c r="F3410">
        <v>2006</v>
      </c>
      <c r="G3410">
        <v>600</v>
      </c>
    </row>
    <row r="3411" spans="5:7" x14ac:dyDescent="0.75">
      <c r="E3411" t="s">
        <v>147</v>
      </c>
      <c r="F3411">
        <v>2007</v>
      </c>
      <c r="G3411">
        <v>500</v>
      </c>
    </row>
    <row r="3412" spans="5:7" x14ac:dyDescent="0.75">
      <c r="E3412" t="s">
        <v>147</v>
      </c>
      <c r="F3412">
        <v>2008</v>
      </c>
      <c r="G3412">
        <v>500</v>
      </c>
    </row>
    <row r="3413" spans="5:7" x14ac:dyDescent="0.75">
      <c r="E3413" t="s">
        <v>147</v>
      </c>
      <c r="F3413">
        <v>2009</v>
      </c>
      <c r="G3413">
        <v>500</v>
      </c>
    </row>
    <row r="3414" spans="5:7" x14ac:dyDescent="0.75">
      <c r="E3414" t="s">
        <v>147</v>
      </c>
      <c r="F3414">
        <v>2010</v>
      </c>
      <c r="G3414">
        <v>71.428566000000004</v>
      </c>
    </row>
    <row r="3415" spans="5:7" x14ac:dyDescent="0.75">
      <c r="E3415" t="s">
        <v>147</v>
      </c>
      <c r="F3415">
        <v>2011</v>
      </c>
      <c r="G3415">
        <v>58.823529999999998</v>
      </c>
    </row>
    <row r="3416" spans="5:7" x14ac:dyDescent="0.75">
      <c r="E3416" t="s">
        <v>147</v>
      </c>
      <c r="F3416">
        <v>2012</v>
      </c>
      <c r="G3416">
        <v>222.22220999999999</v>
      </c>
    </row>
    <row r="3417" spans="5:7" x14ac:dyDescent="0.75">
      <c r="E3417" t="s">
        <v>147</v>
      </c>
      <c r="F3417">
        <v>2013</v>
      </c>
      <c r="G3417">
        <v>250</v>
      </c>
    </row>
    <row r="3418" spans="5:7" x14ac:dyDescent="0.75">
      <c r="E3418" t="s">
        <v>147</v>
      </c>
      <c r="F3418">
        <v>2014</v>
      </c>
      <c r="G3418">
        <v>133.33332999999999</v>
      </c>
    </row>
    <row r="3419" spans="5:7" x14ac:dyDescent="0.75">
      <c r="E3419" t="s">
        <v>147</v>
      </c>
      <c r="F3419">
        <v>2015</v>
      </c>
      <c r="G3419">
        <v>187.5</v>
      </c>
    </row>
    <row r="3420" spans="5:7" x14ac:dyDescent="0.75">
      <c r="E3420" t="s">
        <v>147</v>
      </c>
      <c r="F3420">
        <v>2016</v>
      </c>
      <c r="G3420">
        <v>238.09524999999999</v>
      </c>
    </row>
    <row r="3421" spans="5:7" x14ac:dyDescent="0.75">
      <c r="E3421" t="s">
        <v>147</v>
      </c>
      <c r="F3421">
        <v>2017</v>
      </c>
      <c r="G3421">
        <v>260.86957000000001</v>
      </c>
    </row>
    <row r="3422" spans="5:7" x14ac:dyDescent="0.75">
      <c r="E3422" t="s">
        <v>147</v>
      </c>
      <c r="F3422">
        <v>2018</v>
      </c>
      <c r="G3422">
        <v>222.22220999999999</v>
      </c>
    </row>
    <row r="3423" spans="5:7" x14ac:dyDescent="0.75">
      <c r="E3423" t="s">
        <v>147</v>
      </c>
      <c r="F3423">
        <v>2019</v>
      </c>
      <c r="G3423">
        <v>50</v>
      </c>
    </row>
    <row r="3424" spans="5:7" x14ac:dyDescent="0.75">
      <c r="E3424" t="s">
        <v>147</v>
      </c>
      <c r="F3424">
        <v>2020</v>
      </c>
      <c r="G3424">
        <v>50</v>
      </c>
    </row>
    <row r="3425" spans="5:7" x14ac:dyDescent="0.75">
      <c r="E3425" t="s">
        <v>147</v>
      </c>
      <c r="F3425">
        <v>2021</v>
      </c>
      <c r="G3425">
        <v>50</v>
      </c>
    </row>
    <row r="3426" spans="5:7" x14ac:dyDescent="0.75">
      <c r="E3426" t="s">
        <v>147</v>
      </c>
      <c r="F3426">
        <v>2022</v>
      </c>
      <c r="G3426">
        <v>50</v>
      </c>
    </row>
    <row r="3427" spans="5:7" x14ac:dyDescent="0.75">
      <c r="E3427" t="s">
        <v>147</v>
      </c>
      <c r="F3427">
        <v>2023</v>
      </c>
      <c r="G3427">
        <v>47.619050000000001</v>
      </c>
    </row>
    <row r="3428" spans="5:7" x14ac:dyDescent="0.75">
      <c r="E3428" t="s">
        <v>148</v>
      </c>
      <c r="F3428">
        <v>2000</v>
      </c>
      <c r="G3428">
        <v>657.08870000000002</v>
      </c>
    </row>
    <row r="3429" spans="5:7" x14ac:dyDescent="0.75">
      <c r="E3429" t="s">
        <v>148</v>
      </c>
      <c r="F3429">
        <v>2001</v>
      </c>
      <c r="G3429">
        <v>598.30610000000001</v>
      </c>
    </row>
    <row r="3430" spans="5:7" x14ac:dyDescent="0.75">
      <c r="E3430" t="s">
        <v>148</v>
      </c>
      <c r="F3430">
        <v>2002</v>
      </c>
      <c r="G3430">
        <v>586.26660000000004</v>
      </c>
    </row>
    <row r="3431" spans="5:7" x14ac:dyDescent="0.75">
      <c r="E3431" t="s">
        <v>148</v>
      </c>
      <c r="F3431">
        <v>2003</v>
      </c>
      <c r="G3431">
        <v>570.49829999999997</v>
      </c>
    </row>
    <row r="3432" spans="5:7" x14ac:dyDescent="0.75">
      <c r="E3432" t="s">
        <v>148</v>
      </c>
      <c r="F3432">
        <v>2004</v>
      </c>
      <c r="G3432">
        <v>555.67629999999997</v>
      </c>
    </row>
    <row r="3433" spans="5:7" x14ac:dyDescent="0.75">
      <c r="E3433" t="s">
        <v>148</v>
      </c>
      <c r="F3433">
        <v>2005</v>
      </c>
      <c r="G3433">
        <v>545.52589999999998</v>
      </c>
    </row>
    <row r="3434" spans="5:7" x14ac:dyDescent="0.75">
      <c r="E3434" t="s">
        <v>148</v>
      </c>
      <c r="F3434">
        <v>2006</v>
      </c>
      <c r="G3434">
        <v>539.37699999999995</v>
      </c>
    </row>
    <row r="3435" spans="5:7" x14ac:dyDescent="0.75">
      <c r="E3435" t="s">
        <v>148</v>
      </c>
      <c r="F3435">
        <v>2007</v>
      </c>
      <c r="G3435">
        <v>537.80695000000003</v>
      </c>
    </row>
    <row r="3436" spans="5:7" x14ac:dyDescent="0.75">
      <c r="E3436" t="s">
        <v>148</v>
      </c>
      <c r="F3436">
        <v>2008</v>
      </c>
      <c r="G3436">
        <v>534.19727</v>
      </c>
    </row>
    <row r="3437" spans="5:7" x14ac:dyDescent="0.75">
      <c r="E3437" t="s">
        <v>148</v>
      </c>
      <c r="F3437">
        <v>2009</v>
      </c>
      <c r="G3437">
        <v>533.49279999999999</v>
      </c>
    </row>
    <row r="3438" spans="5:7" x14ac:dyDescent="0.75">
      <c r="E3438" t="s">
        <v>148</v>
      </c>
      <c r="F3438">
        <v>2010</v>
      </c>
      <c r="G3438">
        <v>539.6825</v>
      </c>
    </row>
    <row r="3439" spans="5:7" x14ac:dyDescent="0.75">
      <c r="E3439" t="s">
        <v>148</v>
      </c>
      <c r="F3439">
        <v>2011</v>
      </c>
      <c r="G3439">
        <v>538.04345999999998</v>
      </c>
    </row>
    <row r="3440" spans="5:7" x14ac:dyDescent="0.75">
      <c r="E3440" t="s">
        <v>148</v>
      </c>
      <c r="F3440">
        <v>2012</v>
      </c>
      <c r="G3440">
        <v>525.56460000000004</v>
      </c>
    </row>
    <row r="3441" spans="5:7" x14ac:dyDescent="0.75">
      <c r="E3441" t="s">
        <v>148</v>
      </c>
      <c r="F3441">
        <v>2013</v>
      </c>
      <c r="G3441">
        <v>507.60892000000001</v>
      </c>
    </row>
    <row r="3442" spans="5:7" x14ac:dyDescent="0.75">
      <c r="E3442" t="s">
        <v>148</v>
      </c>
      <c r="F3442">
        <v>2014</v>
      </c>
      <c r="G3442">
        <v>506.89654999999999</v>
      </c>
    </row>
    <row r="3443" spans="5:7" x14ac:dyDescent="0.75">
      <c r="E3443" t="s">
        <v>148</v>
      </c>
      <c r="F3443">
        <v>2015</v>
      </c>
      <c r="G3443">
        <v>506.96102999999999</v>
      </c>
    </row>
    <row r="3444" spans="5:7" x14ac:dyDescent="0.75">
      <c r="E3444" t="s">
        <v>148</v>
      </c>
      <c r="F3444">
        <v>2016</v>
      </c>
      <c r="G3444">
        <v>506.49349999999998</v>
      </c>
    </row>
    <row r="3445" spans="5:7" x14ac:dyDescent="0.75">
      <c r="E3445" t="s">
        <v>148</v>
      </c>
      <c r="F3445">
        <v>2017</v>
      </c>
      <c r="G3445">
        <v>507.26859999999999</v>
      </c>
    </row>
    <row r="3446" spans="5:7" x14ac:dyDescent="0.75">
      <c r="E3446" t="s">
        <v>148</v>
      </c>
      <c r="F3446">
        <v>2018</v>
      </c>
      <c r="G3446">
        <v>507.07947000000001</v>
      </c>
    </row>
    <row r="3447" spans="5:7" x14ac:dyDescent="0.75">
      <c r="E3447" t="s">
        <v>148</v>
      </c>
      <c r="F3447">
        <v>2019</v>
      </c>
      <c r="G3447">
        <v>506.09530000000001</v>
      </c>
    </row>
    <row r="3448" spans="5:7" x14ac:dyDescent="0.75">
      <c r="E3448" t="s">
        <v>148</v>
      </c>
      <c r="F3448">
        <v>2020</v>
      </c>
      <c r="G3448">
        <v>504.61655000000002</v>
      </c>
    </row>
    <row r="3449" spans="5:7" x14ac:dyDescent="0.75">
      <c r="E3449" t="s">
        <v>148</v>
      </c>
      <c r="F3449">
        <v>2021</v>
      </c>
      <c r="G3449">
        <v>506.18389999999999</v>
      </c>
    </row>
    <row r="3450" spans="5:7" x14ac:dyDescent="0.75">
      <c r="E3450" t="s">
        <v>148</v>
      </c>
      <c r="F3450">
        <v>2022</v>
      </c>
      <c r="G3450">
        <v>504.21645999999998</v>
      </c>
    </row>
    <row r="3451" spans="5:7" x14ac:dyDescent="0.75">
      <c r="E3451" t="s">
        <v>148</v>
      </c>
      <c r="F3451">
        <v>2023</v>
      </c>
      <c r="G3451">
        <v>500.87227999999999</v>
      </c>
    </row>
    <row r="3452" spans="5:7" x14ac:dyDescent="0.75">
      <c r="E3452" t="s">
        <v>148</v>
      </c>
      <c r="F3452">
        <v>2024</v>
      </c>
      <c r="G3452">
        <v>498.74182000000002</v>
      </c>
    </row>
    <row r="3453" spans="5:7" x14ac:dyDescent="0.75">
      <c r="E3453" t="s">
        <v>149</v>
      </c>
      <c r="F3453">
        <v>2000</v>
      </c>
      <c r="G3453">
        <v>250.48732000000001</v>
      </c>
    </row>
    <row r="3454" spans="5:7" x14ac:dyDescent="0.75">
      <c r="E3454" t="s">
        <v>149</v>
      </c>
      <c r="F3454">
        <v>2001</v>
      </c>
      <c r="G3454">
        <v>249.84286</v>
      </c>
    </row>
    <row r="3455" spans="5:7" x14ac:dyDescent="0.75">
      <c r="E3455" t="s">
        <v>149</v>
      </c>
      <c r="F3455">
        <v>2002</v>
      </c>
      <c r="G3455">
        <v>224.98445000000001</v>
      </c>
    </row>
    <row r="3456" spans="5:7" x14ac:dyDescent="0.75">
      <c r="E3456" t="s">
        <v>149</v>
      </c>
      <c r="F3456">
        <v>2003</v>
      </c>
      <c r="G3456">
        <v>256.61716000000001</v>
      </c>
    </row>
    <row r="3457" spans="5:7" x14ac:dyDescent="0.75">
      <c r="E3457" t="s">
        <v>149</v>
      </c>
      <c r="F3457">
        <v>2004</v>
      </c>
      <c r="G3457">
        <v>252.46225000000001</v>
      </c>
    </row>
    <row r="3458" spans="5:7" x14ac:dyDescent="0.75">
      <c r="E3458" t="s">
        <v>149</v>
      </c>
      <c r="F3458">
        <v>2005</v>
      </c>
      <c r="G3458">
        <v>238.67261999999999</v>
      </c>
    </row>
    <row r="3459" spans="5:7" x14ac:dyDescent="0.75">
      <c r="E3459" t="s">
        <v>149</v>
      </c>
      <c r="F3459">
        <v>2006</v>
      </c>
      <c r="G3459">
        <v>230.4</v>
      </c>
    </row>
    <row r="3460" spans="5:7" x14ac:dyDescent="0.75">
      <c r="E3460" t="s">
        <v>149</v>
      </c>
      <c r="F3460">
        <v>2007</v>
      </c>
      <c r="G3460">
        <v>234.82944000000001</v>
      </c>
    </row>
    <row r="3461" spans="5:7" x14ac:dyDescent="0.75">
      <c r="E3461" t="s">
        <v>149</v>
      </c>
      <c r="F3461">
        <v>2008</v>
      </c>
      <c r="G3461">
        <v>223.69336999999999</v>
      </c>
    </row>
    <row r="3462" spans="5:7" x14ac:dyDescent="0.75">
      <c r="E3462" t="s">
        <v>149</v>
      </c>
      <c r="F3462">
        <v>2009</v>
      </c>
      <c r="G3462">
        <v>220.97954999999999</v>
      </c>
    </row>
    <row r="3463" spans="5:7" x14ac:dyDescent="0.75">
      <c r="E3463" t="s">
        <v>149</v>
      </c>
      <c r="F3463">
        <v>2010</v>
      </c>
      <c r="G3463">
        <v>205.02549999999999</v>
      </c>
    </row>
    <row r="3464" spans="5:7" x14ac:dyDescent="0.75">
      <c r="E3464" t="s">
        <v>149</v>
      </c>
      <c r="F3464">
        <v>2011</v>
      </c>
      <c r="G3464">
        <v>214.28569999999999</v>
      </c>
    </row>
    <row r="3465" spans="5:7" x14ac:dyDescent="0.75">
      <c r="E3465" t="s">
        <v>149</v>
      </c>
      <c r="F3465">
        <v>2012</v>
      </c>
      <c r="G3465">
        <v>203.53358</v>
      </c>
    </row>
    <row r="3466" spans="5:7" x14ac:dyDescent="0.75">
      <c r="E3466" t="s">
        <v>149</v>
      </c>
      <c r="F3466">
        <v>2013</v>
      </c>
      <c r="G3466">
        <v>181.75438</v>
      </c>
    </row>
    <row r="3467" spans="5:7" x14ac:dyDescent="0.75">
      <c r="E3467" t="s">
        <v>149</v>
      </c>
      <c r="F3467">
        <v>2014</v>
      </c>
      <c r="G3467">
        <v>172.87137000000001</v>
      </c>
    </row>
    <row r="3468" spans="5:7" x14ac:dyDescent="0.75">
      <c r="E3468" t="s">
        <v>149</v>
      </c>
      <c r="F3468">
        <v>2015</v>
      </c>
      <c r="G3468">
        <v>177.31027</v>
      </c>
    </row>
    <row r="3469" spans="5:7" x14ac:dyDescent="0.75">
      <c r="E3469" t="s">
        <v>149</v>
      </c>
      <c r="F3469">
        <v>2016</v>
      </c>
      <c r="G3469">
        <v>177.23882</v>
      </c>
    </row>
    <row r="3470" spans="5:7" x14ac:dyDescent="0.75">
      <c r="E3470" t="s">
        <v>149</v>
      </c>
      <c r="F3470">
        <v>2017</v>
      </c>
      <c r="G3470">
        <v>183.07804999999999</v>
      </c>
    </row>
    <row r="3471" spans="5:7" x14ac:dyDescent="0.75">
      <c r="E3471" t="s">
        <v>149</v>
      </c>
      <c r="F3471">
        <v>2018</v>
      </c>
      <c r="G3471">
        <v>191.67293000000001</v>
      </c>
    </row>
    <row r="3472" spans="5:7" x14ac:dyDescent="0.75">
      <c r="E3472" t="s">
        <v>149</v>
      </c>
      <c r="F3472">
        <v>2019</v>
      </c>
      <c r="G3472">
        <v>171.21588</v>
      </c>
    </row>
    <row r="3473" spans="5:7" x14ac:dyDescent="0.75">
      <c r="E3473" t="s">
        <v>149</v>
      </c>
      <c r="F3473">
        <v>2020</v>
      </c>
      <c r="G3473">
        <v>158.54086000000001</v>
      </c>
    </row>
    <row r="3474" spans="5:7" x14ac:dyDescent="0.75">
      <c r="E3474" t="s">
        <v>149</v>
      </c>
      <c r="F3474">
        <v>2021</v>
      </c>
      <c r="G3474">
        <v>167.34005999999999</v>
      </c>
    </row>
    <row r="3475" spans="5:7" x14ac:dyDescent="0.75">
      <c r="E3475" t="s">
        <v>149</v>
      </c>
      <c r="F3475">
        <v>2022</v>
      </c>
      <c r="G3475">
        <v>142.04973000000001</v>
      </c>
    </row>
    <row r="3476" spans="5:7" x14ac:dyDescent="0.75">
      <c r="E3476" t="s">
        <v>149</v>
      </c>
      <c r="F3476">
        <v>2023</v>
      </c>
      <c r="G3476">
        <v>115.137146</v>
      </c>
    </row>
    <row r="3477" spans="5:7" x14ac:dyDescent="0.75">
      <c r="E3477" t="s">
        <v>149</v>
      </c>
      <c r="F3477">
        <v>2024</v>
      </c>
      <c r="G3477">
        <v>96.488235000000003</v>
      </c>
    </row>
    <row r="3478" spans="5:7" x14ac:dyDescent="0.75">
      <c r="E3478" t="s">
        <v>150</v>
      </c>
      <c r="F3478">
        <v>2000</v>
      </c>
      <c r="G3478">
        <v>361.49889999999999</v>
      </c>
    </row>
    <row r="3479" spans="5:7" x14ac:dyDescent="0.75">
      <c r="E3479" t="s">
        <v>150</v>
      </c>
      <c r="F3479">
        <v>2001</v>
      </c>
      <c r="G3479">
        <v>367.40334999999999</v>
      </c>
    </row>
    <row r="3480" spans="5:7" x14ac:dyDescent="0.75">
      <c r="E3480" t="s">
        <v>150</v>
      </c>
      <c r="F3480">
        <v>2002</v>
      </c>
      <c r="G3480">
        <v>386.30135999999999</v>
      </c>
    </row>
    <row r="3481" spans="5:7" x14ac:dyDescent="0.75">
      <c r="E3481" t="s">
        <v>150</v>
      </c>
      <c r="F3481">
        <v>2003</v>
      </c>
      <c r="G3481">
        <v>394.79395</v>
      </c>
    </row>
    <row r="3482" spans="5:7" x14ac:dyDescent="0.75">
      <c r="E3482" t="s">
        <v>150</v>
      </c>
      <c r="F3482">
        <v>2004</v>
      </c>
      <c r="G3482">
        <v>364.11259999999999</v>
      </c>
    </row>
    <row r="3483" spans="5:7" x14ac:dyDescent="0.75">
      <c r="E3483" t="s">
        <v>150</v>
      </c>
      <c r="F3483">
        <v>2005</v>
      </c>
      <c r="G3483">
        <v>370.61547999999999</v>
      </c>
    </row>
    <row r="3484" spans="5:7" x14ac:dyDescent="0.75">
      <c r="E3484" t="s">
        <v>150</v>
      </c>
      <c r="F3484">
        <v>2006</v>
      </c>
      <c r="G3484">
        <v>383.85178000000002</v>
      </c>
    </row>
    <row r="3485" spans="5:7" x14ac:dyDescent="0.75">
      <c r="E3485" t="s">
        <v>150</v>
      </c>
      <c r="F3485">
        <v>2007</v>
      </c>
      <c r="G3485">
        <v>388.96276999999998</v>
      </c>
    </row>
    <row r="3486" spans="5:7" x14ac:dyDescent="0.75">
      <c r="E3486" t="s">
        <v>150</v>
      </c>
      <c r="F3486">
        <v>2008</v>
      </c>
      <c r="G3486">
        <v>350.39612</v>
      </c>
    </row>
    <row r="3487" spans="5:7" x14ac:dyDescent="0.75">
      <c r="E3487" t="s">
        <v>150</v>
      </c>
      <c r="F3487">
        <v>2009</v>
      </c>
      <c r="G3487">
        <v>341.67174999999997</v>
      </c>
    </row>
    <row r="3488" spans="5:7" x14ac:dyDescent="0.75">
      <c r="E3488" t="s">
        <v>150</v>
      </c>
      <c r="F3488">
        <v>2010</v>
      </c>
      <c r="G3488">
        <v>353.62853999999999</v>
      </c>
    </row>
    <row r="3489" spans="5:7" x14ac:dyDescent="0.75">
      <c r="E3489" t="s">
        <v>150</v>
      </c>
      <c r="F3489">
        <v>2011</v>
      </c>
      <c r="G3489">
        <v>358.66833000000003</v>
      </c>
    </row>
    <row r="3490" spans="5:7" x14ac:dyDescent="0.75">
      <c r="E3490" t="s">
        <v>150</v>
      </c>
      <c r="F3490">
        <v>2012</v>
      </c>
      <c r="G3490">
        <v>359.48552999999998</v>
      </c>
    </row>
    <row r="3491" spans="5:7" x14ac:dyDescent="0.75">
      <c r="E3491" t="s">
        <v>150</v>
      </c>
      <c r="F3491">
        <v>2013</v>
      </c>
      <c r="G3491">
        <v>336.70886000000002</v>
      </c>
    </row>
    <row r="3492" spans="5:7" x14ac:dyDescent="0.75">
      <c r="E3492" t="s">
        <v>150</v>
      </c>
      <c r="F3492">
        <v>2014</v>
      </c>
      <c r="G3492">
        <v>244.31487999999999</v>
      </c>
    </row>
    <row r="3493" spans="5:7" x14ac:dyDescent="0.75">
      <c r="E3493" t="s">
        <v>150</v>
      </c>
      <c r="F3493">
        <v>2015</v>
      </c>
      <c r="G3493">
        <v>316.89190000000002</v>
      </c>
    </row>
    <row r="3494" spans="5:7" x14ac:dyDescent="0.75">
      <c r="E3494" t="s">
        <v>150</v>
      </c>
      <c r="F3494">
        <v>2016</v>
      </c>
      <c r="G3494">
        <v>325.93964</v>
      </c>
    </row>
    <row r="3495" spans="5:7" x14ac:dyDescent="0.75">
      <c r="E3495" t="s">
        <v>150</v>
      </c>
      <c r="F3495">
        <v>2017</v>
      </c>
      <c r="G3495">
        <v>318.38010000000003</v>
      </c>
    </row>
    <row r="3496" spans="5:7" x14ac:dyDescent="0.75">
      <c r="E3496" t="s">
        <v>150</v>
      </c>
      <c r="F3496">
        <v>2018</v>
      </c>
      <c r="G3496">
        <v>304.59055000000001</v>
      </c>
    </row>
    <row r="3497" spans="5:7" x14ac:dyDescent="0.75">
      <c r="E3497" t="s">
        <v>150</v>
      </c>
      <c r="F3497">
        <v>2019</v>
      </c>
      <c r="G3497">
        <v>298.93015000000003</v>
      </c>
    </row>
    <row r="3498" spans="5:7" x14ac:dyDescent="0.75">
      <c r="E3498" t="s">
        <v>150</v>
      </c>
      <c r="F3498">
        <v>2020</v>
      </c>
      <c r="G3498">
        <v>277.08704</v>
      </c>
    </row>
    <row r="3499" spans="5:7" x14ac:dyDescent="0.75">
      <c r="E3499" t="s">
        <v>150</v>
      </c>
      <c r="F3499">
        <v>2021</v>
      </c>
      <c r="G3499">
        <v>269.40343999999999</v>
      </c>
    </row>
    <row r="3500" spans="5:7" x14ac:dyDescent="0.75">
      <c r="E3500" t="s">
        <v>150</v>
      </c>
      <c r="F3500">
        <v>2022</v>
      </c>
      <c r="G3500">
        <v>257.48505</v>
      </c>
    </row>
    <row r="3501" spans="5:7" x14ac:dyDescent="0.75">
      <c r="E3501" t="s">
        <v>150</v>
      </c>
      <c r="F3501">
        <v>2023</v>
      </c>
      <c r="G3501">
        <v>225.08037999999999</v>
      </c>
    </row>
    <row r="3502" spans="5:7" x14ac:dyDescent="0.75">
      <c r="E3502" t="s">
        <v>150</v>
      </c>
      <c r="F3502">
        <v>2024</v>
      </c>
      <c r="G3502">
        <v>227.64705000000001</v>
      </c>
    </row>
    <row r="3503" spans="5:7" x14ac:dyDescent="0.75">
      <c r="E3503" t="s">
        <v>151</v>
      </c>
      <c r="F3503">
        <v>2000</v>
      </c>
      <c r="G3503">
        <v>640</v>
      </c>
    </row>
    <row r="3504" spans="5:7" x14ac:dyDescent="0.75">
      <c r="E3504" t="s">
        <v>151</v>
      </c>
      <c r="F3504">
        <v>2001</v>
      </c>
      <c r="G3504">
        <v>653.84619999999995</v>
      </c>
    </row>
    <row r="3505" spans="5:7" x14ac:dyDescent="0.75">
      <c r="E3505" t="s">
        <v>151</v>
      </c>
      <c r="F3505">
        <v>2002</v>
      </c>
      <c r="G3505">
        <v>666.66669999999999</v>
      </c>
    </row>
    <row r="3506" spans="5:7" x14ac:dyDescent="0.75">
      <c r="E3506" t="s">
        <v>151</v>
      </c>
      <c r="F3506">
        <v>2003</v>
      </c>
      <c r="G3506">
        <v>642.85720000000003</v>
      </c>
    </row>
    <row r="3507" spans="5:7" x14ac:dyDescent="0.75">
      <c r="E3507" t="s">
        <v>151</v>
      </c>
      <c r="F3507">
        <v>2004</v>
      </c>
      <c r="G3507">
        <v>642.85720000000003</v>
      </c>
    </row>
    <row r="3508" spans="5:7" x14ac:dyDescent="0.75">
      <c r="E3508" t="s">
        <v>151</v>
      </c>
      <c r="F3508">
        <v>2005</v>
      </c>
      <c r="G3508">
        <v>655.17240000000004</v>
      </c>
    </row>
    <row r="3509" spans="5:7" x14ac:dyDescent="0.75">
      <c r="E3509" t="s">
        <v>151</v>
      </c>
      <c r="F3509">
        <v>2006</v>
      </c>
      <c r="G3509">
        <v>666.66660000000002</v>
      </c>
    </row>
    <row r="3510" spans="5:7" x14ac:dyDescent="0.75">
      <c r="E3510" t="s">
        <v>151</v>
      </c>
      <c r="F3510">
        <v>2007</v>
      </c>
      <c r="G3510">
        <v>645.16129999999998</v>
      </c>
    </row>
    <row r="3511" spans="5:7" x14ac:dyDescent="0.75">
      <c r="E3511" t="s">
        <v>151</v>
      </c>
      <c r="F3511">
        <v>2008</v>
      </c>
      <c r="G3511">
        <v>656.25</v>
      </c>
    </row>
    <row r="3512" spans="5:7" x14ac:dyDescent="0.75">
      <c r="E3512" t="s">
        <v>151</v>
      </c>
      <c r="F3512">
        <v>2009</v>
      </c>
      <c r="G3512">
        <v>666.66660000000002</v>
      </c>
    </row>
    <row r="3513" spans="5:7" x14ac:dyDescent="0.75">
      <c r="E3513" t="s">
        <v>151</v>
      </c>
      <c r="F3513">
        <v>2010</v>
      </c>
      <c r="G3513">
        <v>666.66660000000002</v>
      </c>
    </row>
    <row r="3514" spans="5:7" x14ac:dyDescent="0.75">
      <c r="E3514" t="s">
        <v>151</v>
      </c>
      <c r="F3514">
        <v>2011</v>
      </c>
      <c r="G3514">
        <v>666.66660000000002</v>
      </c>
    </row>
    <row r="3515" spans="5:7" x14ac:dyDescent="0.75">
      <c r="E3515" t="s">
        <v>151</v>
      </c>
      <c r="F3515">
        <v>2012</v>
      </c>
      <c r="G3515">
        <v>647.05884000000003</v>
      </c>
    </row>
    <row r="3516" spans="5:7" x14ac:dyDescent="0.75">
      <c r="E3516" t="s">
        <v>151</v>
      </c>
      <c r="F3516">
        <v>2013</v>
      </c>
      <c r="G3516">
        <v>657.14290000000005</v>
      </c>
    </row>
    <row r="3517" spans="5:7" x14ac:dyDescent="0.75">
      <c r="E3517" t="s">
        <v>151</v>
      </c>
      <c r="F3517">
        <v>2014</v>
      </c>
      <c r="G3517">
        <v>657.14290000000005</v>
      </c>
    </row>
    <row r="3518" spans="5:7" x14ac:dyDescent="0.75">
      <c r="E3518" t="s">
        <v>151</v>
      </c>
      <c r="F3518">
        <v>2015</v>
      </c>
      <c r="G3518">
        <v>657.14290000000005</v>
      </c>
    </row>
    <row r="3519" spans="5:7" x14ac:dyDescent="0.75">
      <c r="E3519" t="s">
        <v>151</v>
      </c>
      <c r="F3519">
        <v>2016</v>
      </c>
      <c r="G3519">
        <v>638.88885000000005</v>
      </c>
    </row>
    <row r="3520" spans="5:7" x14ac:dyDescent="0.75">
      <c r="E3520" t="s">
        <v>151</v>
      </c>
      <c r="F3520">
        <v>2017</v>
      </c>
      <c r="G3520">
        <v>621.62163999999996</v>
      </c>
    </row>
    <row r="3521" spans="5:7" x14ac:dyDescent="0.75">
      <c r="E3521" t="s">
        <v>151</v>
      </c>
      <c r="F3521">
        <v>2018</v>
      </c>
      <c r="G3521">
        <v>621.62163999999996</v>
      </c>
    </row>
    <row r="3522" spans="5:7" x14ac:dyDescent="0.75">
      <c r="E3522" t="s">
        <v>151</v>
      </c>
      <c r="F3522">
        <v>2019</v>
      </c>
      <c r="G3522">
        <v>621.62163999999996</v>
      </c>
    </row>
    <row r="3523" spans="5:7" x14ac:dyDescent="0.75">
      <c r="E3523" t="s">
        <v>151</v>
      </c>
      <c r="F3523">
        <v>2020</v>
      </c>
      <c r="G3523">
        <v>594.59460000000001</v>
      </c>
    </row>
    <row r="3524" spans="5:7" x14ac:dyDescent="0.75">
      <c r="E3524" t="s">
        <v>151</v>
      </c>
      <c r="F3524">
        <v>2021</v>
      </c>
      <c r="G3524">
        <v>578.94740000000002</v>
      </c>
    </row>
    <row r="3525" spans="5:7" x14ac:dyDescent="0.75">
      <c r="E3525" t="s">
        <v>151</v>
      </c>
      <c r="F3525">
        <v>2022</v>
      </c>
      <c r="G3525">
        <v>523.80949999999996</v>
      </c>
    </row>
    <row r="3526" spans="5:7" x14ac:dyDescent="0.75">
      <c r="E3526" t="s">
        <v>151</v>
      </c>
      <c r="F3526">
        <v>2023</v>
      </c>
      <c r="G3526">
        <v>523.80949999999996</v>
      </c>
    </row>
    <row r="3527" spans="5:7" x14ac:dyDescent="0.75">
      <c r="E3527" t="s">
        <v>152</v>
      </c>
      <c r="F3527">
        <v>2000</v>
      </c>
      <c r="G3527">
        <v>799.40189999999996</v>
      </c>
    </row>
    <row r="3528" spans="5:7" x14ac:dyDescent="0.75">
      <c r="E3528" t="s">
        <v>152</v>
      </c>
      <c r="F3528">
        <v>2001</v>
      </c>
      <c r="G3528">
        <v>806.23509999999999</v>
      </c>
    </row>
    <row r="3529" spans="5:7" x14ac:dyDescent="0.75">
      <c r="E3529" t="s">
        <v>152</v>
      </c>
      <c r="F3529">
        <v>2002</v>
      </c>
      <c r="G3529">
        <v>802.28499999999997</v>
      </c>
    </row>
    <row r="3530" spans="5:7" x14ac:dyDescent="0.75">
      <c r="E3530" t="s">
        <v>152</v>
      </c>
      <c r="F3530">
        <v>2003</v>
      </c>
      <c r="G3530">
        <v>807.66765999999996</v>
      </c>
    </row>
    <row r="3531" spans="5:7" x14ac:dyDescent="0.75">
      <c r="E3531" t="s">
        <v>152</v>
      </c>
      <c r="F3531">
        <v>2004</v>
      </c>
      <c r="G3531">
        <v>806.91719999999998</v>
      </c>
    </row>
    <row r="3532" spans="5:7" x14ac:dyDescent="0.75">
      <c r="E3532" t="s">
        <v>152</v>
      </c>
      <c r="F3532">
        <v>2005</v>
      </c>
      <c r="G3532">
        <v>812.68119999999999</v>
      </c>
    </row>
    <row r="3533" spans="5:7" x14ac:dyDescent="0.75">
      <c r="E3533" t="s">
        <v>152</v>
      </c>
      <c r="F3533">
        <v>2006</v>
      </c>
      <c r="G3533">
        <v>813.48253999999997</v>
      </c>
    </row>
    <row r="3534" spans="5:7" x14ac:dyDescent="0.75">
      <c r="E3534" t="s">
        <v>152</v>
      </c>
      <c r="F3534">
        <v>2007</v>
      </c>
      <c r="G3534">
        <v>810.04974000000004</v>
      </c>
    </row>
    <row r="3535" spans="5:7" x14ac:dyDescent="0.75">
      <c r="E3535" t="s">
        <v>152</v>
      </c>
      <c r="F3535">
        <v>2008</v>
      </c>
      <c r="G3535">
        <v>809.40026999999998</v>
      </c>
    </row>
    <row r="3536" spans="5:7" x14ac:dyDescent="0.75">
      <c r="E3536" t="s">
        <v>152</v>
      </c>
      <c r="F3536">
        <v>2009</v>
      </c>
      <c r="G3536">
        <v>807.90189999999996</v>
      </c>
    </row>
    <row r="3537" spans="5:7" x14ac:dyDescent="0.75">
      <c r="E3537" t="s">
        <v>152</v>
      </c>
      <c r="F3537">
        <v>2010</v>
      </c>
      <c r="G3537">
        <v>807.58856000000003</v>
      </c>
    </row>
    <row r="3538" spans="5:7" x14ac:dyDescent="0.75">
      <c r="E3538" t="s">
        <v>152</v>
      </c>
      <c r="F3538">
        <v>2011</v>
      </c>
      <c r="G3538">
        <v>803.38229999999999</v>
      </c>
    </row>
    <row r="3539" spans="5:7" x14ac:dyDescent="0.75">
      <c r="E3539" t="s">
        <v>152</v>
      </c>
      <c r="F3539">
        <v>2012</v>
      </c>
      <c r="G3539">
        <v>806.84685999999999</v>
      </c>
    </row>
    <row r="3540" spans="5:7" x14ac:dyDescent="0.75">
      <c r="E3540" t="s">
        <v>152</v>
      </c>
      <c r="F3540">
        <v>2013</v>
      </c>
      <c r="G3540">
        <v>799.13324</v>
      </c>
    </row>
    <row r="3541" spans="5:7" x14ac:dyDescent="0.75">
      <c r="E3541" t="s">
        <v>152</v>
      </c>
      <c r="F3541">
        <v>2014</v>
      </c>
      <c r="G3541">
        <v>791.6078</v>
      </c>
    </row>
    <row r="3542" spans="5:7" x14ac:dyDescent="0.75">
      <c r="E3542" t="s">
        <v>152</v>
      </c>
      <c r="F3542">
        <v>2015</v>
      </c>
      <c r="G3542">
        <v>789.93615999999997</v>
      </c>
    </row>
    <row r="3543" spans="5:7" x14ac:dyDescent="0.75">
      <c r="E3543" t="s">
        <v>152</v>
      </c>
      <c r="F3543">
        <v>2016</v>
      </c>
      <c r="G3543">
        <v>778.67780000000005</v>
      </c>
    </row>
    <row r="3544" spans="5:7" x14ac:dyDescent="0.75">
      <c r="E3544" t="s">
        <v>152</v>
      </c>
      <c r="F3544">
        <v>2017</v>
      </c>
      <c r="G3544">
        <v>768.04729999999995</v>
      </c>
    </row>
    <row r="3545" spans="5:7" x14ac:dyDescent="0.75">
      <c r="E3545" t="s">
        <v>152</v>
      </c>
      <c r="F3545">
        <v>2018</v>
      </c>
      <c r="G3545">
        <v>774.58749999999998</v>
      </c>
    </row>
    <row r="3546" spans="5:7" x14ac:dyDescent="0.75">
      <c r="E3546" t="s">
        <v>152</v>
      </c>
      <c r="F3546">
        <v>2019</v>
      </c>
      <c r="G3546">
        <v>765.64909999999998</v>
      </c>
    </row>
    <row r="3547" spans="5:7" x14ac:dyDescent="0.75">
      <c r="E3547" t="s">
        <v>152</v>
      </c>
      <c r="F3547">
        <v>2020</v>
      </c>
      <c r="G3547">
        <v>766.97569999999996</v>
      </c>
    </row>
    <row r="3548" spans="5:7" x14ac:dyDescent="0.75">
      <c r="E3548" t="s">
        <v>152</v>
      </c>
      <c r="F3548">
        <v>2021</v>
      </c>
      <c r="G3548">
        <v>744.46405000000004</v>
      </c>
    </row>
    <row r="3549" spans="5:7" x14ac:dyDescent="0.75">
      <c r="E3549" t="s">
        <v>152</v>
      </c>
      <c r="F3549">
        <v>2022</v>
      </c>
      <c r="G3549">
        <v>729.72515999999996</v>
      </c>
    </row>
    <row r="3550" spans="5:7" x14ac:dyDescent="0.75">
      <c r="E3550" t="s">
        <v>152</v>
      </c>
      <c r="F3550">
        <v>2023</v>
      </c>
      <c r="G3550">
        <v>709.69259999999997</v>
      </c>
    </row>
    <row r="3551" spans="5:7" x14ac:dyDescent="0.75">
      <c r="E3551" t="s">
        <v>152</v>
      </c>
      <c r="F3551">
        <v>2024</v>
      </c>
      <c r="G3551">
        <v>708.87620000000004</v>
      </c>
    </row>
    <row r="3552" spans="5:7" x14ac:dyDescent="0.75">
      <c r="E3552" t="s">
        <v>153</v>
      </c>
      <c r="F3552">
        <v>2000</v>
      </c>
      <c r="G3552">
        <v>461.59410000000003</v>
      </c>
    </row>
    <row r="3553" spans="5:7" x14ac:dyDescent="0.75">
      <c r="E3553" t="s">
        <v>153</v>
      </c>
      <c r="F3553">
        <v>2001</v>
      </c>
      <c r="G3553">
        <v>475.28073000000001</v>
      </c>
    </row>
    <row r="3554" spans="5:7" x14ac:dyDescent="0.75">
      <c r="E3554" t="s">
        <v>153</v>
      </c>
      <c r="F3554">
        <v>2002</v>
      </c>
      <c r="G3554">
        <v>472.78696000000002</v>
      </c>
    </row>
    <row r="3555" spans="5:7" x14ac:dyDescent="0.75">
      <c r="E3555" t="s">
        <v>153</v>
      </c>
      <c r="F3555">
        <v>2003</v>
      </c>
      <c r="G3555">
        <v>457.88884999999999</v>
      </c>
    </row>
    <row r="3556" spans="5:7" x14ac:dyDescent="0.75">
      <c r="E3556" t="s">
        <v>153</v>
      </c>
      <c r="F3556">
        <v>2004</v>
      </c>
      <c r="G3556">
        <v>462.61075</v>
      </c>
    </row>
    <row r="3557" spans="5:7" x14ac:dyDescent="0.75">
      <c r="E3557" t="s">
        <v>153</v>
      </c>
      <c r="F3557">
        <v>2005</v>
      </c>
      <c r="G3557">
        <v>449.55966000000001</v>
      </c>
    </row>
    <row r="3558" spans="5:7" x14ac:dyDescent="0.75">
      <c r="E3558" t="s">
        <v>153</v>
      </c>
      <c r="F3558">
        <v>2006</v>
      </c>
      <c r="G3558">
        <v>451.17750000000001</v>
      </c>
    </row>
    <row r="3559" spans="5:7" x14ac:dyDescent="0.75">
      <c r="E3559" t="s">
        <v>153</v>
      </c>
      <c r="F3559">
        <v>2007</v>
      </c>
      <c r="G3559">
        <v>473.61367999999999</v>
      </c>
    </row>
    <row r="3560" spans="5:7" x14ac:dyDescent="0.75">
      <c r="E3560" t="s">
        <v>153</v>
      </c>
      <c r="F3560">
        <v>2008</v>
      </c>
      <c r="G3560">
        <v>477.46325999999999</v>
      </c>
    </row>
    <row r="3561" spans="5:7" x14ac:dyDescent="0.75">
      <c r="E3561" t="s">
        <v>153</v>
      </c>
      <c r="F3561">
        <v>2009</v>
      </c>
      <c r="G3561">
        <v>495.67908</v>
      </c>
    </row>
    <row r="3562" spans="5:7" x14ac:dyDescent="0.75">
      <c r="E3562" t="s">
        <v>153</v>
      </c>
      <c r="F3562">
        <v>2010</v>
      </c>
      <c r="G3562">
        <v>500.68686000000002</v>
      </c>
    </row>
    <row r="3563" spans="5:7" x14ac:dyDescent="0.75">
      <c r="E3563" t="s">
        <v>153</v>
      </c>
      <c r="F3563">
        <v>2011</v>
      </c>
      <c r="G3563">
        <v>497.06655999999998</v>
      </c>
    </row>
    <row r="3564" spans="5:7" x14ac:dyDescent="0.75">
      <c r="E3564" t="s">
        <v>153</v>
      </c>
      <c r="F3564">
        <v>2012</v>
      </c>
      <c r="G3564">
        <v>502.25900000000001</v>
      </c>
    </row>
    <row r="3565" spans="5:7" x14ac:dyDescent="0.75">
      <c r="E3565" t="s">
        <v>153</v>
      </c>
      <c r="F3565">
        <v>2013</v>
      </c>
      <c r="G3565">
        <v>512.29596000000004</v>
      </c>
    </row>
    <row r="3566" spans="5:7" x14ac:dyDescent="0.75">
      <c r="E3566" t="s">
        <v>153</v>
      </c>
      <c r="F3566">
        <v>2014</v>
      </c>
      <c r="G3566">
        <v>493.63409999999999</v>
      </c>
    </row>
    <row r="3567" spans="5:7" x14ac:dyDescent="0.75">
      <c r="E3567" t="s">
        <v>153</v>
      </c>
      <c r="F3567">
        <v>2015</v>
      </c>
      <c r="G3567">
        <v>488.11615</v>
      </c>
    </row>
    <row r="3568" spans="5:7" x14ac:dyDescent="0.75">
      <c r="E3568" t="s">
        <v>153</v>
      </c>
      <c r="F3568">
        <v>2016</v>
      </c>
      <c r="G3568">
        <v>489.88396999999998</v>
      </c>
    </row>
    <row r="3569" spans="5:7" x14ac:dyDescent="0.75">
      <c r="E3569" t="s">
        <v>153</v>
      </c>
      <c r="F3569">
        <v>2017</v>
      </c>
      <c r="G3569">
        <v>510.88637999999997</v>
      </c>
    </row>
    <row r="3570" spans="5:7" x14ac:dyDescent="0.75">
      <c r="E3570" t="s">
        <v>153</v>
      </c>
      <c r="F3570">
        <v>2018</v>
      </c>
      <c r="G3570">
        <v>518.28300000000002</v>
      </c>
    </row>
    <row r="3571" spans="5:7" x14ac:dyDescent="0.75">
      <c r="E3571" t="s">
        <v>153</v>
      </c>
      <c r="F3571">
        <v>2019</v>
      </c>
      <c r="G3571">
        <v>496.43831999999998</v>
      </c>
    </row>
    <row r="3572" spans="5:7" x14ac:dyDescent="0.75">
      <c r="E3572" t="s">
        <v>153</v>
      </c>
      <c r="F3572">
        <v>2020</v>
      </c>
      <c r="G3572">
        <v>457.35723999999999</v>
      </c>
    </row>
    <row r="3573" spans="5:7" x14ac:dyDescent="0.75">
      <c r="E3573" t="s">
        <v>153</v>
      </c>
      <c r="F3573">
        <v>2021</v>
      </c>
      <c r="G3573">
        <v>459.27670000000001</v>
      </c>
    </row>
    <row r="3574" spans="5:7" x14ac:dyDescent="0.75">
      <c r="E3574" t="s">
        <v>153</v>
      </c>
      <c r="F3574">
        <v>2022</v>
      </c>
      <c r="G3574">
        <v>438.18445000000003</v>
      </c>
    </row>
    <row r="3575" spans="5:7" x14ac:dyDescent="0.75">
      <c r="E3575" t="s">
        <v>153</v>
      </c>
      <c r="F3575">
        <v>2023</v>
      </c>
      <c r="G3575">
        <v>432.11099999999999</v>
      </c>
    </row>
    <row r="3576" spans="5:7" x14ac:dyDescent="0.75">
      <c r="E3576" t="s">
        <v>153</v>
      </c>
      <c r="F3576">
        <v>2024</v>
      </c>
      <c r="G3576">
        <v>414.27260000000001</v>
      </c>
    </row>
    <row r="3577" spans="5:7" x14ac:dyDescent="0.75">
      <c r="E3577" t="s">
        <v>154</v>
      </c>
      <c r="F3577">
        <v>2012</v>
      </c>
      <c r="G3577">
        <v>659.09090000000003</v>
      </c>
    </row>
    <row r="3578" spans="5:7" x14ac:dyDescent="0.75">
      <c r="E3578" t="s">
        <v>154</v>
      </c>
      <c r="F3578">
        <v>2013</v>
      </c>
      <c r="G3578">
        <v>659.57446000000004</v>
      </c>
    </row>
    <row r="3579" spans="5:7" x14ac:dyDescent="0.75">
      <c r="E3579" t="s">
        <v>154</v>
      </c>
      <c r="F3579">
        <v>2014</v>
      </c>
      <c r="G3579">
        <v>666.66669999999999</v>
      </c>
    </row>
    <row r="3580" spans="5:7" x14ac:dyDescent="0.75">
      <c r="E3580" t="s">
        <v>154</v>
      </c>
      <c r="F3580">
        <v>2015</v>
      </c>
      <c r="G3580">
        <v>655.17240000000004</v>
      </c>
    </row>
    <row r="3581" spans="5:7" x14ac:dyDescent="0.75">
      <c r="E3581" t="s">
        <v>154</v>
      </c>
      <c r="F3581">
        <v>2016</v>
      </c>
      <c r="G3581">
        <v>653.84619999999995</v>
      </c>
    </row>
    <row r="3582" spans="5:7" x14ac:dyDescent="0.75">
      <c r="E3582" t="s">
        <v>154</v>
      </c>
      <c r="F3582">
        <v>2017</v>
      </c>
      <c r="G3582">
        <v>666.66669999999999</v>
      </c>
    </row>
    <row r="3583" spans="5:7" x14ac:dyDescent="0.75">
      <c r="E3583" t="s">
        <v>154</v>
      </c>
      <c r="F3583">
        <v>2018</v>
      </c>
      <c r="G3583">
        <v>654.54549999999995</v>
      </c>
    </row>
    <row r="3584" spans="5:7" x14ac:dyDescent="0.75">
      <c r="E3584" t="s">
        <v>154</v>
      </c>
      <c r="F3584">
        <v>2019</v>
      </c>
      <c r="G3584">
        <v>642.85720000000003</v>
      </c>
    </row>
    <row r="3585" spans="5:7" x14ac:dyDescent="0.75">
      <c r="E3585" t="s">
        <v>154</v>
      </c>
      <c r="F3585">
        <v>2020</v>
      </c>
      <c r="G3585">
        <v>642.85720000000003</v>
      </c>
    </row>
    <row r="3586" spans="5:7" x14ac:dyDescent="0.75">
      <c r="E3586" t="s">
        <v>154</v>
      </c>
      <c r="F3586">
        <v>2021</v>
      </c>
      <c r="G3586">
        <v>637.93110000000001</v>
      </c>
    </row>
    <row r="3587" spans="5:7" x14ac:dyDescent="0.75">
      <c r="E3587" t="s">
        <v>154</v>
      </c>
      <c r="F3587">
        <v>2022</v>
      </c>
      <c r="G3587">
        <v>611.11109999999996</v>
      </c>
    </row>
    <row r="3588" spans="5:7" x14ac:dyDescent="0.75">
      <c r="E3588" t="s">
        <v>154</v>
      </c>
      <c r="F3588">
        <v>2023</v>
      </c>
      <c r="G3588">
        <v>610.16956000000005</v>
      </c>
    </row>
    <row r="3589" spans="5:7" x14ac:dyDescent="0.75">
      <c r="E3589" t="s">
        <v>155</v>
      </c>
      <c r="F3589">
        <v>2000</v>
      </c>
      <c r="G3589">
        <v>470.93973</v>
      </c>
    </row>
    <row r="3590" spans="5:7" x14ac:dyDescent="0.75">
      <c r="E3590" t="s">
        <v>155</v>
      </c>
      <c r="F3590">
        <v>2001</v>
      </c>
      <c r="G3590">
        <v>422.53399999999999</v>
      </c>
    </row>
    <row r="3591" spans="5:7" x14ac:dyDescent="0.75">
      <c r="E3591" t="s">
        <v>155</v>
      </c>
      <c r="F3591">
        <v>2002</v>
      </c>
      <c r="G3591">
        <v>481.93072999999998</v>
      </c>
    </row>
    <row r="3592" spans="5:7" x14ac:dyDescent="0.75">
      <c r="E3592" t="s">
        <v>155</v>
      </c>
      <c r="F3592">
        <v>2003</v>
      </c>
      <c r="G3592">
        <v>429.26546999999999</v>
      </c>
    </row>
    <row r="3593" spans="5:7" x14ac:dyDescent="0.75">
      <c r="E3593" t="s">
        <v>155</v>
      </c>
      <c r="F3593">
        <v>2004</v>
      </c>
      <c r="G3593">
        <v>449.15224999999998</v>
      </c>
    </row>
    <row r="3594" spans="5:7" x14ac:dyDescent="0.75">
      <c r="E3594" t="s">
        <v>155</v>
      </c>
      <c r="F3594">
        <v>2005</v>
      </c>
      <c r="G3594">
        <v>475.09158000000002</v>
      </c>
    </row>
    <row r="3595" spans="5:7" x14ac:dyDescent="0.75">
      <c r="E3595" t="s">
        <v>155</v>
      </c>
      <c r="F3595">
        <v>2006</v>
      </c>
      <c r="G3595">
        <v>432.79543999999999</v>
      </c>
    </row>
    <row r="3596" spans="5:7" x14ac:dyDescent="0.75">
      <c r="E3596" t="s">
        <v>155</v>
      </c>
      <c r="F3596">
        <v>2007</v>
      </c>
      <c r="G3596">
        <v>438.87896999999998</v>
      </c>
    </row>
    <row r="3597" spans="5:7" x14ac:dyDescent="0.75">
      <c r="E3597" t="s">
        <v>155</v>
      </c>
      <c r="F3597">
        <v>2008</v>
      </c>
      <c r="G3597">
        <v>390.26436999999999</v>
      </c>
    </row>
    <row r="3598" spans="5:7" x14ac:dyDescent="0.75">
      <c r="E3598" t="s">
        <v>155</v>
      </c>
      <c r="F3598">
        <v>2009</v>
      </c>
      <c r="G3598">
        <v>355.04953</v>
      </c>
    </row>
    <row r="3599" spans="5:7" x14ac:dyDescent="0.75">
      <c r="E3599" t="s">
        <v>155</v>
      </c>
      <c r="F3599">
        <v>2010</v>
      </c>
      <c r="G3599">
        <v>288.24713000000003</v>
      </c>
    </row>
    <row r="3600" spans="5:7" x14ac:dyDescent="0.75">
      <c r="E3600" t="s">
        <v>155</v>
      </c>
      <c r="F3600">
        <v>2011</v>
      </c>
      <c r="G3600">
        <v>337.31220000000002</v>
      </c>
    </row>
    <row r="3601" spans="5:7" x14ac:dyDescent="0.75">
      <c r="E3601" t="s">
        <v>155</v>
      </c>
      <c r="F3601">
        <v>2012</v>
      </c>
      <c r="G3601">
        <v>351.14812999999998</v>
      </c>
    </row>
    <row r="3602" spans="5:7" x14ac:dyDescent="0.75">
      <c r="E3602" t="s">
        <v>155</v>
      </c>
      <c r="F3602">
        <v>2013</v>
      </c>
      <c r="G3602">
        <v>286.89690000000002</v>
      </c>
    </row>
    <row r="3603" spans="5:7" x14ac:dyDescent="0.75">
      <c r="E3603" t="s">
        <v>155</v>
      </c>
      <c r="F3603">
        <v>2014</v>
      </c>
      <c r="G3603">
        <v>289.02492999999998</v>
      </c>
    </row>
    <row r="3604" spans="5:7" x14ac:dyDescent="0.75">
      <c r="E3604" t="s">
        <v>155</v>
      </c>
      <c r="F3604">
        <v>2015</v>
      </c>
      <c r="G3604">
        <v>328.53482000000002</v>
      </c>
    </row>
    <row r="3605" spans="5:7" x14ac:dyDescent="0.75">
      <c r="E3605" t="s">
        <v>155</v>
      </c>
      <c r="F3605">
        <v>2016</v>
      </c>
      <c r="G3605">
        <v>282.93310000000002</v>
      </c>
    </row>
    <row r="3606" spans="5:7" x14ac:dyDescent="0.75">
      <c r="E3606" t="s">
        <v>155</v>
      </c>
      <c r="F3606">
        <v>2017</v>
      </c>
      <c r="G3606">
        <v>329.20916999999997</v>
      </c>
    </row>
    <row r="3607" spans="5:7" x14ac:dyDescent="0.75">
      <c r="E3607" t="s">
        <v>155</v>
      </c>
      <c r="F3607">
        <v>2018</v>
      </c>
      <c r="G3607">
        <v>290.86219999999997</v>
      </c>
    </row>
    <row r="3608" spans="5:7" x14ac:dyDescent="0.75">
      <c r="E3608" t="s">
        <v>155</v>
      </c>
      <c r="F3608">
        <v>2019</v>
      </c>
      <c r="G3608">
        <v>246.67310000000001</v>
      </c>
    </row>
    <row r="3609" spans="5:7" x14ac:dyDescent="0.75">
      <c r="E3609" t="s">
        <v>155</v>
      </c>
      <c r="F3609">
        <v>2020</v>
      </c>
      <c r="G3609">
        <v>199.09816000000001</v>
      </c>
    </row>
    <row r="3610" spans="5:7" x14ac:dyDescent="0.75">
      <c r="E3610" t="s">
        <v>155</v>
      </c>
      <c r="F3610">
        <v>2021</v>
      </c>
      <c r="G3610">
        <v>193.53648000000001</v>
      </c>
    </row>
    <row r="3611" spans="5:7" x14ac:dyDescent="0.75">
      <c r="E3611" t="s">
        <v>155</v>
      </c>
      <c r="F3611">
        <v>2022</v>
      </c>
      <c r="G3611">
        <v>217.13390000000001</v>
      </c>
    </row>
    <row r="3612" spans="5:7" x14ac:dyDescent="0.75">
      <c r="E3612" t="s">
        <v>155</v>
      </c>
      <c r="F3612">
        <v>2023</v>
      </c>
      <c r="G3612">
        <v>169.27529999999999</v>
      </c>
    </row>
    <row r="3613" spans="5:7" x14ac:dyDescent="0.75">
      <c r="E3613" t="s">
        <v>155</v>
      </c>
      <c r="F3613">
        <v>2024</v>
      </c>
      <c r="G3613">
        <v>146.15356</v>
      </c>
    </row>
    <row r="3614" spans="5:7" x14ac:dyDescent="0.75">
      <c r="E3614" t="s">
        <v>156</v>
      </c>
      <c r="F3614">
        <v>2000</v>
      </c>
      <c r="G3614">
        <v>358.40706999999998</v>
      </c>
    </row>
    <row r="3615" spans="5:7" x14ac:dyDescent="0.75">
      <c r="E3615" t="s">
        <v>156</v>
      </c>
      <c r="F3615">
        <v>2001</v>
      </c>
      <c r="G3615">
        <v>361.31934000000001</v>
      </c>
    </row>
    <row r="3616" spans="5:7" x14ac:dyDescent="0.75">
      <c r="E3616" t="s">
        <v>156</v>
      </c>
      <c r="F3616">
        <v>2002</v>
      </c>
      <c r="G3616">
        <v>410.6628</v>
      </c>
    </row>
    <row r="3617" spans="5:7" x14ac:dyDescent="0.75">
      <c r="E3617" t="s">
        <v>156</v>
      </c>
      <c r="F3617">
        <v>2003</v>
      </c>
      <c r="G3617">
        <v>382.69986</v>
      </c>
    </row>
    <row r="3618" spans="5:7" x14ac:dyDescent="0.75">
      <c r="E3618" t="s">
        <v>156</v>
      </c>
      <c r="F3618">
        <v>2004</v>
      </c>
      <c r="G3618">
        <v>425.21629999999999</v>
      </c>
    </row>
    <row r="3619" spans="5:7" x14ac:dyDescent="0.75">
      <c r="E3619" t="s">
        <v>156</v>
      </c>
      <c r="F3619">
        <v>2005</v>
      </c>
      <c r="G3619">
        <v>408.62653</v>
      </c>
    </row>
    <row r="3620" spans="5:7" x14ac:dyDescent="0.75">
      <c r="E3620" t="s">
        <v>156</v>
      </c>
      <c r="F3620">
        <v>2006</v>
      </c>
      <c r="G3620">
        <v>345.70517000000001</v>
      </c>
    </row>
    <row r="3621" spans="5:7" x14ac:dyDescent="0.75">
      <c r="E3621" t="s">
        <v>156</v>
      </c>
      <c r="F3621">
        <v>2007</v>
      </c>
      <c r="G3621">
        <v>403.24216000000001</v>
      </c>
    </row>
    <row r="3622" spans="5:7" x14ac:dyDescent="0.75">
      <c r="E3622" t="s">
        <v>156</v>
      </c>
      <c r="F3622">
        <v>2008</v>
      </c>
      <c r="G3622">
        <v>392.53280000000001</v>
      </c>
    </row>
    <row r="3623" spans="5:7" x14ac:dyDescent="0.75">
      <c r="E3623" t="s">
        <v>156</v>
      </c>
      <c r="F3623">
        <v>2009</v>
      </c>
      <c r="G3623">
        <v>406.88260000000002</v>
      </c>
    </row>
    <row r="3624" spans="5:7" x14ac:dyDescent="0.75">
      <c r="E3624" t="s">
        <v>156</v>
      </c>
      <c r="F3624">
        <v>2010</v>
      </c>
      <c r="G3624">
        <v>319.32772999999997</v>
      </c>
    </row>
    <row r="3625" spans="5:7" x14ac:dyDescent="0.75">
      <c r="E3625" t="s">
        <v>156</v>
      </c>
      <c r="F3625">
        <v>2011</v>
      </c>
      <c r="G3625">
        <v>415.94454999999999</v>
      </c>
    </row>
    <row r="3626" spans="5:7" x14ac:dyDescent="0.75">
      <c r="E3626" t="s">
        <v>156</v>
      </c>
      <c r="F3626">
        <v>2012</v>
      </c>
      <c r="G3626">
        <v>496.1832</v>
      </c>
    </row>
    <row r="3627" spans="5:7" x14ac:dyDescent="0.75">
      <c r="E3627" t="s">
        <v>156</v>
      </c>
      <c r="F3627">
        <v>2013</v>
      </c>
      <c r="G3627">
        <v>301.58728000000002</v>
      </c>
    </row>
    <row r="3628" spans="5:7" x14ac:dyDescent="0.75">
      <c r="E3628" t="s">
        <v>156</v>
      </c>
      <c r="F3628">
        <v>2014</v>
      </c>
      <c r="G3628">
        <v>461.41480000000001</v>
      </c>
    </row>
    <row r="3629" spans="5:7" x14ac:dyDescent="0.75">
      <c r="E3629" t="s">
        <v>156</v>
      </c>
      <c r="F3629">
        <v>2015</v>
      </c>
      <c r="G3629">
        <v>418.18182000000002</v>
      </c>
    </row>
    <row r="3630" spans="5:7" x14ac:dyDescent="0.75">
      <c r="E3630" t="s">
        <v>156</v>
      </c>
      <c r="F3630">
        <v>2016</v>
      </c>
      <c r="G3630">
        <v>522.74315999999999</v>
      </c>
    </row>
    <row r="3631" spans="5:7" x14ac:dyDescent="0.75">
      <c r="E3631" t="s">
        <v>156</v>
      </c>
      <c r="F3631">
        <v>2017</v>
      </c>
      <c r="G3631">
        <v>533.60220000000004</v>
      </c>
    </row>
    <row r="3632" spans="5:7" x14ac:dyDescent="0.75">
      <c r="E3632" t="s">
        <v>156</v>
      </c>
      <c r="F3632">
        <v>2018</v>
      </c>
      <c r="G3632">
        <v>448.94150000000002</v>
      </c>
    </row>
    <row r="3633" spans="5:7" x14ac:dyDescent="0.75">
      <c r="E3633" t="s">
        <v>156</v>
      </c>
      <c r="F3633">
        <v>2019</v>
      </c>
      <c r="G3633">
        <v>518.60749999999996</v>
      </c>
    </row>
    <row r="3634" spans="5:7" x14ac:dyDescent="0.75">
      <c r="E3634" t="s">
        <v>156</v>
      </c>
      <c r="F3634">
        <v>2020</v>
      </c>
      <c r="G3634">
        <v>513.03819999999996</v>
      </c>
    </row>
    <row r="3635" spans="5:7" x14ac:dyDescent="0.75">
      <c r="E3635" t="s">
        <v>156</v>
      </c>
      <c r="F3635">
        <v>2021</v>
      </c>
      <c r="G3635">
        <v>418.28573999999998</v>
      </c>
    </row>
    <row r="3636" spans="5:7" x14ac:dyDescent="0.75">
      <c r="E3636" t="s">
        <v>156</v>
      </c>
      <c r="F3636">
        <v>2022</v>
      </c>
      <c r="G3636">
        <v>509.78136999999998</v>
      </c>
    </row>
    <row r="3637" spans="5:7" x14ac:dyDescent="0.75">
      <c r="E3637" t="s">
        <v>157</v>
      </c>
      <c r="F3637">
        <v>2000</v>
      </c>
      <c r="G3637">
        <v>350.39370000000002</v>
      </c>
    </row>
    <row r="3638" spans="5:7" x14ac:dyDescent="0.75">
      <c r="E3638" t="s">
        <v>157</v>
      </c>
      <c r="F3638">
        <v>2001</v>
      </c>
      <c r="G3638">
        <v>343.28357</v>
      </c>
    </row>
    <row r="3639" spans="5:7" x14ac:dyDescent="0.75">
      <c r="E3639" t="s">
        <v>157</v>
      </c>
      <c r="F3639">
        <v>2002</v>
      </c>
      <c r="G3639">
        <v>373.33334000000002</v>
      </c>
    </row>
    <row r="3640" spans="5:7" x14ac:dyDescent="0.75">
      <c r="E3640" t="s">
        <v>157</v>
      </c>
      <c r="F3640">
        <v>2003</v>
      </c>
      <c r="G3640">
        <v>432.27663999999999</v>
      </c>
    </row>
    <row r="3641" spans="5:7" x14ac:dyDescent="0.75">
      <c r="E3641" t="s">
        <v>157</v>
      </c>
      <c r="F3641">
        <v>2004</v>
      </c>
      <c r="G3641">
        <v>447.22223000000002</v>
      </c>
    </row>
    <row r="3642" spans="5:7" x14ac:dyDescent="0.75">
      <c r="E3642" t="s">
        <v>157</v>
      </c>
      <c r="F3642">
        <v>2005</v>
      </c>
      <c r="G3642">
        <v>441.91919999999999</v>
      </c>
    </row>
    <row r="3643" spans="5:7" x14ac:dyDescent="0.75">
      <c r="E3643" t="s">
        <v>157</v>
      </c>
      <c r="F3643">
        <v>2006</v>
      </c>
      <c r="G3643">
        <v>458.06454000000002</v>
      </c>
    </row>
    <row r="3644" spans="5:7" x14ac:dyDescent="0.75">
      <c r="E3644" t="s">
        <v>157</v>
      </c>
      <c r="F3644">
        <v>2007</v>
      </c>
      <c r="G3644">
        <v>467.05430000000001</v>
      </c>
    </row>
    <row r="3645" spans="5:7" x14ac:dyDescent="0.75">
      <c r="E3645" t="s">
        <v>157</v>
      </c>
      <c r="F3645">
        <v>2008</v>
      </c>
      <c r="G3645">
        <v>482.26952999999997</v>
      </c>
    </row>
    <row r="3646" spans="5:7" x14ac:dyDescent="0.75">
      <c r="E3646" t="s">
        <v>157</v>
      </c>
      <c r="F3646">
        <v>2009</v>
      </c>
      <c r="G3646">
        <v>341.90620000000001</v>
      </c>
    </row>
    <row r="3647" spans="5:7" x14ac:dyDescent="0.75">
      <c r="E3647" t="s">
        <v>157</v>
      </c>
      <c r="F3647">
        <v>2010</v>
      </c>
      <c r="G3647">
        <v>137.20316</v>
      </c>
    </row>
    <row r="3648" spans="5:7" x14ac:dyDescent="0.75">
      <c r="E3648" t="s">
        <v>157</v>
      </c>
      <c r="F3648">
        <v>2011</v>
      </c>
      <c r="G3648">
        <v>175.08813000000001</v>
      </c>
    </row>
    <row r="3649" spans="5:7" x14ac:dyDescent="0.75">
      <c r="E3649" t="s">
        <v>157</v>
      </c>
      <c r="F3649">
        <v>2012</v>
      </c>
      <c r="G3649">
        <v>215.78946999999999</v>
      </c>
    </row>
    <row r="3650" spans="5:7" x14ac:dyDescent="0.75">
      <c r="E3650" t="s">
        <v>157</v>
      </c>
      <c r="F3650">
        <v>2013</v>
      </c>
      <c r="G3650">
        <v>147.82607999999999</v>
      </c>
    </row>
    <row r="3651" spans="5:7" x14ac:dyDescent="0.75">
      <c r="E3651" t="s">
        <v>157</v>
      </c>
      <c r="F3651">
        <v>2014</v>
      </c>
      <c r="G3651">
        <v>163.01490999999999</v>
      </c>
    </row>
    <row r="3652" spans="5:7" x14ac:dyDescent="0.75">
      <c r="E3652" t="s">
        <v>157</v>
      </c>
      <c r="F3652">
        <v>2015</v>
      </c>
      <c r="G3652">
        <v>249.809</v>
      </c>
    </row>
    <row r="3653" spans="5:7" x14ac:dyDescent="0.75">
      <c r="E3653" t="s">
        <v>157</v>
      </c>
      <c r="F3653">
        <v>2016</v>
      </c>
      <c r="G3653">
        <v>303.36309999999997</v>
      </c>
    </row>
    <row r="3654" spans="5:7" x14ac:dyDescent="0.75">
      <c r="E3654" t="s">
        <v>157</v>
      </c>
      <c r="F3654">
        <v>2017</v>
      </c>
      <c r="G3654">
        <v>275.79617000000002</v>
      </c>
    </row>
    <row r="3655" spans="5:7" x14ac:dyDescent="0.75">
      <c r="E3655" t="s">
        <v>157</v>
      </c>
      <c r="F3655">
        <v>2018</v>
      </c>
      <c r="G3655">
        <v>280.48779999999999</v>
      </c>
    </row>
    <row r="3656" spans="5:7" x14ac:dyDescent="0.75">
      <c r="E3656" t="s">
        <v>157</v>
      </c>
      <c r="F3656">
        <v>2019</v>
      </c>
      <c r="G3656">
        <v>254.62393</v>
      </c>
    </row>
    <row r="3657" spans="5:7" x14ac:dyDescent="0.75">
      <c r="E3657" t="s">
        <v>157</v>
      </c>
      <c r="F3657">
        <v>2020</v>
      </c>
      <c r="G3657">
        <v>247.67442</v>
      </c>
    </row>
    <row r="3658" spans="5:7" x14ac:dyDescent="0.75">
      <c r="E3658" t="s">
        <v>157</v>
      </c>
      <c r="F3658">
        <v>2021</v>
      </c>
      <c r="G3658">
        <v>261.58190000000002</v>
      </c>
    </row>
    <row r="3659" spans="5:7" x14ac:dyDescent="0.75">
      <c r="E3659" t="s">
        <v>157</v>
      </c>
      <c r="F3659">
        <v>2022</v>
      </c>
      <c r="G3659">
        <v>204.41</v>
      </c>
    </row>
    <row r="3660" spans="5:7" x14ac:dyDescent="0.75">
      <c r="E3660" t="s">
        <v>157</v>
      </c>
      <c r="F3660">
        <v>2023</v>
      </c>
      <c r="G3660">
        <v>214.32835</v>
      </c>
    </row>
    <row r="3661" spans="5:7" x14ac:dyDescent="0.75">
      <c r="E3661" t="s">
        <v>158</v>
      </c>
      <c r="F3661">
        <v>2000</v>
      </c>
      <c r="G3661">
        <v>187.50002000000001</v>
      </c>
    </row>
    <row r="3662" spans="5:7" x14ac:dyDescent="0.75">
      <c r="E3662" t="s">
        <v>158</v>
      </c>
      <c r="F3662">
        <v>2001</v>
      </c>
      <c r="G3662">
        <v>221.15385000000001</v>
      </c>
    </row>
    <row r="3663" spans="5:7" x14ac:dyDescent="0.75">
      <c r="E3663" t="s">
        <v>158</v>
      </c>
      <c r="F3663">
        <v>2002</v>
      </c>
      <c r="G3663">
        <v>284.55282999999997</v>
      </c>
    </row>
    <row r="3664" spans="5:7" x14ac:dyDescent="0.75">
      <c r="E3664" t="s">
        <v>158</v>
      </c>
      <c r="F3664">
        <v>2003</v>
      </c>
      <c r="G3664">
        <v>300</v>
      </c>
    </row>
    <row r="3665" spans="5:7" x14ac:dyDescent="0.75">
      <c r="E3665" t="s">
        <v>158</v>
      </c>
      <c r="F3665">
        <v>2004</v>
      </c>
      <c r="G3665">
        <v>321.67833999999999</v>
      </c>
    </row>
    <row r="3666" spans="5:7" x14ac:dyDescent="0.75">
      <c r="E3666" t="s">
        <v>158</v>
      </c>
      <c r="F3666">
        <v>2005</v>
      </c>
      <c r="G3666">
        <v>355.02960000000002</v>
      </c>
    </row>
    <row r="3667" spans="5:7" x14ac:dyDescent="0.75">
      <c r="E3667" t="s">
        <v>158</v>
      </c>
      <c r="F3667">
        <v>2006</v>
      </c>
      <c r="G3667">
        <v>312.1019</v>
      </c>
    </row>
    <row r="3668" spans="5:7" x14ac:dyDescent="0.75">
      <c r="E3668" t="s">
        <v>158</v>
      </c>
      <c r="F3668">
        <v>2007</v>
      </c>
      <c r="G3668">
        <v>293.33334000000002</v>
      </c>
    </row>
    <row r="3669" spans="5:7" x14ac:dyDescent="0.75">
      <c r="E3669" t="s">
        <v>158</v>
      </c>
      <c r="F3669">
        <v>2008</v>
      </c>
      <c r="G3669">
        <v>291.39071999999999</v>
      </c>
    </row>
    <row r="3670" spans="5:7" x14ac:dyDescent="0.75">
      <c r="E3670" t="s">
        <v>158</v>
      </c>
      <c r="F3670">
        <v>2009</v>
      </c>
      <c r="G3670">
        <v>300.65359999999998</v>
      </c>
    </row>
    <row r="3671" spans="5:7" x14ac:dyDescent="0.75">
      <c r="E3671" t="s">
        <v>158</v>
      </c>
      <c r="F3671">
        <v>2010</v>
      </c>
      <c r="G3671">
        <v>270.40814</v>
      </c>
    </row>
    <row r="3672" spans="5:7" x14ac:dyDescent="0.75">
      <c r="E3672" t="s">
        <v>158</v>
      </c>
      <c r="F3672">
        <v>2011</v>
      </c>
      <c r="G3672">
        <v>228.75816</v>
      </c>
    </row>
    <row r="3673" spans="5:7" x14ac:dyDescent="0.75">
      <c r="E3673" t="s">
        <v>158</v>
      </c>
      <c r="F3673">
        <v>2012</v>
      </c>
      <c r="G3673">
        <v>347.30540000000002</v>
      </c>
    </row>
    <row r="3674" spans="5:7" x14ac:dyDescent="0.75">
      <c r="E3674" t="s">
        <v>158</v>
      </c>
      <c r="F3674">
        <v>2013</v>
      </c>
      <c r="G3674">
        <v>357.95456000000001</v>
      </c>
    </row>
    <row r="3675" spans="5:7" x14ac:dyDescent="0.75">
      <c r="E3675" t="s">
        <v>158</v>
      </c>
      <c r="F3675">
        <v>2014</v>
      </c>
      <c r="G3675">
        <v>467.03296</v>
      </c>
    </row>
    <row r="3676" spans="5:7" x14ac:dyDescent="0.75">
      <c r="E3676" t="s">
        <v>158</v>
      </c>
      <c r="F3676">
        <v>2015</v>
      </c>
      <c r="G3676">
        <v>489.2473</v>
      </c>
    </row>
    <row r="3677" spans="5:7" x14ac:dyDescent="0.75">
      <c r="E3677" t="s">
        <v>158</v>
      </c>
      <c r="F3677">
        <v>2016</v>
      </c>
      <c r="G3677">
        <v>379.12088</v>
      </c>
    </row>
    <row r="3678" spans="5:7" x14ac:dyDescent="0.75">
      <c r="E3678" t="s">
        <v>158</v>
      </c>
      <c r="F3678">
        <v>2017</v>
      </c>
      <c r="G3678">
        <v>331.49173000000002</v>
      </c>
    </row>
    <row r="3679" spans="5:7" x14ac:dyDescent="0.75">
      <c r="E3679" t="s">
        <v>158</v>
      </c>
      <c r="F3679">
        <v>2018</v>
      </c>
      <c r="G3679">
        <v>315.78949999999998</v>
      </c>
    </row>
    <row r="3680" spans="5:7" x14ac:dyDescent="0.75">
      <c r="E3680" t="s">
        <v>158</v>
      </c>
      <c r="F3680">
        <v>2019</v>
      </c>
      <c r="G3680">
        <v>352.94119999999998</v>
      </c>
    </row>
    <row r="3681" spans="5:7" x14ac:dyDescent="0.75">
      <c r="E3681" t="s">
        <v>158</v>
      </c>
      <c r="F3681">
        <v>2020</v>
      </c>
      <c r="G3681">
        <v>346.34145999999998</v>
      </c>
    </row>
    <row r="3682" spans="5:7" x14ac:dyDescent="0.75">
      <c r="E3682" t="s">
        <v>158</v>
      </c>
      <c r="F3682">
        <v>2021</v>
      </c>
      <c r="G3682">
        <v>349.28232000000003</v>
      </c>
    </row>
    <row r="3683" spans="5:7" x14ac:dyDescent="0.75">
      <c r="E3683" t="s">
        <v>158</v>
      </c>
      <c r="F3683">
        <v>2022</v>
      </c>
      <c r="G3683">
        <v>374.40762000000001</v>
      </c>
    </row>
    <row r="3684" spans="5:7" x14ac:dyDescent="0.75">
      <c r="E3684" t="s">
        <v>158</v>
      </c>
      <c r="F3684">
        <v>2023</v>
      </c>
      <c r="G3684">
        <v>383.17755</v>
      </c>
    </row>
    <row r="3685" spans="5:7" x14ac:dyDescent="0.75">
      <c r="E3685" t="s">
        <v>159</v>
      </c>
      <c r="F3685">
        <v>2000</v>
      </c>
      <c r="G3685">
        <v>44.894306</v>
      </c>
    </row>
    <row r="3686" spans="5:7" x14ac:dyDescent="0.75">
      <c r="E3686" t="s">
        <v>159</v>
      </c>
      <c r="F3686">
        <v>2001</v>
      </c>
      <c r="G3686">
        <v>46.782176999999997</v>
      </c>
    </row>
    <row r="3687" spans="5:7" x14ac:dyDescent="0.75">
      <c r="E3687" t="s">
        <v>159</v>
      </c>
      <c r="F3687">
        <v>2002</v>
      </c>
      <c r="G3687">
        <v>56.237220000000001</v>
      </c>
    </row>
    <row r="3688" spans="5:7" x14ac:dyDescent="0.75">
      <c r="E3688" t="s">
        <v>159</v>
      </c>
      <c r="F3688">
        <v>2003</v>
      </c>
      <c r="G3688">
        <v>68.542725000000004</v>
      </c>
    </row>
    <row r="3689" spans="5:7" x14ac:dyDescent="0.75">
      <c r="E3689" t="s">
        <v>159</v>
      </c>
      <c r="F3689">
        <v>2004</v>
      </c>
      <c r="G3689">
        <v>48.033783</v>
      </c>
    </row>
    <row r="3690" spans="5:7" x14ac:dyDescent="0.75">
      <c r="E3690" t="s">
        <v>159</v>
      </c>
      <c r="F3690">
        <v>2005</v>
      </c>
      <c r="G3690">
        <v>43.129578000000002</v>
      </c>
    </row>
    <row r="3691" spans="5:7" x14ac:dyDescent="0.75">
      <c r="E3691" t="s">
        <v>159</v>
      </c>
      <c r="F3691">
        <v>2006</v>
      </c>
      <c r="G3691">
        <v>49.692909999999998</v>
      </c>
    </row>
    <row r="3692" spans="5:7" x14ac:dyDescent="0.75">
      <c r="E3692" t="s">
        <v>159</v>
      </c>
      <c r="F3692">
        <v>2007</v>
      </c>
      <c r="G3692">
        <v>46.028754999999997</v>
      </c>
    </row>
    <row r="3693" spans="5:7" x14ac:dyDescent="0.75">
      <c r="E3693" t="s">
        <v>159</v>
      </c>
      <c r="F3693">
        <v>2008</v>
      </c>
      <c r="G3693">
        <v>47.831890000000001</v>
      </c>
    </row>
    <row r="3694" spans="5:7" x14ac:dyDescent="0.75">
      <c r="E3694" t="s">
        <v>159</v>
      </c>
      <c r="F3694">
        <v>2009</v>
      </c>
      <c r="G3694">
        <v>51.098095000000001</v>
      </c>
    </row>
    <row r="3695" spans="5:7" x14ac:dyDescent="0.75">
      <c r="E3695" t="s">
        <v>159</v>
      </c>
      <c r="F3695">
        <v>2010</v>
      </c>
      <c r="G3695">
        <v>63.725163000000002</v>
      </c>
    </row>
    <row r="3696" spans="5:7" x14ac:dyDescent="0.75">
      <c r="E3696" t="s">
        <v>159</v>
      </c>
      <c r="F3696">
        <v>2011</v>
      </c>
      <c r="G3696">
        <v>52.302371999999998</v>
      </c>
    </row>
    <row r="3697" spans="5:7" x14ac:dyDescent="0.75">
      <c r="E3697" t="s">
        <v>159</v>
      </c>
      <c r="F3697">
        <v>2012</v>
      </c>
      <c r="G3697">
        <v>44.700794000000002</v>
      </c>
    </row>
    <row r="3698" spans="5:7" x14ac:dyDescent="0.75">
      <c r="E3698" t="s">
        <v>159</v>
      </c>
      <c r="F3698">
        <v>2013</v>
      </c>
      <c r="G3698">
        <v>44.697119999999998</v>
      </c>
    </row>
    <row r="3699" spans="5:7" x14ac:dyDescent="0.75">
      <c r="E3699" t="s">
        <v>159</v>
      </c>
      <c r="F3699">
        <v>2014</v>
      </c>
      <c r="G3699">
        <v>40.179737000000003</v>
      </c>
    </row>
    <row r="3700" spans="5:7" x14ac:dyDescent="0.75">
      <c r="E3700" t="s">
        <v>159</v>
      </c>
      <c r="F3700">
        <v>2015</v>
      </c>
      <c r="G3700">
        <v>40.864196999999997</v>
      </c>
    </row>
    <row r="3701" spans="5:7" x14ac:dyDescent="0.75">
      <c r="E3701" t="s">
        <v>159</v>
      </c>
      <c r="F3701">
        <v>2016</v>
      </c>
      <c r="G3701">
        <v>42.979022999999998</v>
      </c>
    </row>
    <row r="3702" spans="5:7" x14ac:dyDescent="0.75">
      <c r="E3702" t="s">
        <v>159</v>
      </c>
      <c r="F3702">
        <v>2017</v>
      </c>
      <c r="G3702">
        <v>42.501370000000001</v>
      </c>
    </row>
    <row r="3703" spans="5:7" x14ac:dyDescent="0.75">
      <c r="E3703" t="s">
        <v>159</v>
      </c>
      <c r="F3703">
        <v>2018</v>
      </c>
      <c r="G3703">
        <v>42.727719999999998</v>
      </c>
    </row>
    <row r="3704" spans="5:7" x14ac:dyDescent="0.75">
      <c r="E3704" t="s">
        <v>159</v>
      </c>
      <c r="F3704">
        <v>2019</v>
      </c>
      <c r="G3704">
        <v>42.33464</v>
      </c>
    </row>
    <row r="3705" spans="5:7" x14ac:dyDescent="0.75">
      <c r="E3705" t="s">
        <v>159</v>
      </c>
      <c r="F3705">
        <v>2020</v>
      </c>
      <c r="G3705">
        <v>38.710470000000001</v>
      </c>
    </row>
    <row r="3706" spans="5:7" x14ac:dyDescent="0.75">
      <c r="E3706" t="s">
        <v>159</v>
      </c>
      <c r="F3706">
        <v>2021</v>
      </c>
      <c r="G3706">
        <v>41.739432999999998</v>
      </c>
    </row>
    <row r="3707" spans="5:7" x14ac:dyDescent="0.75">
      <c r="E3707" t="s">
        <v>159</v>
      </c>
      <c r="F3707">
        <v>2022</v>
      </c>
      <c r="G3707">
        <v>41.028602999999997</v>
      </c>
    </row>
    <row r="3708" spans="5:7" x14ac:dyDescent="0.75">
      <c r="E3708" t="s">
        <v>159</v>
      </c>
      <c r="F3708">
        <v>2023</v>
      </c>
      <c r="G3708">
        <v>38.392212000000001</v>
      </c>
    </row>
    <row r="3709" spans="5:7" x14ac:dyDescent="0.75">
      <c r="E3709" t="s">
        <v>159</v>
      </c>
      <c r="F3709">
        <v>2024</v>
      </c>
      <c r="G3709">
        <v>35.823833</v>
      </c>
    </row>
    <row r="3710" spans="5:7" x14ac:dyDescent="0.75">
      <c r="E3710" t="s">
        <v>160</v>
      </c>
      <c r="F3710">
        <v>2000</v>
      </c>
      <c r="G3710">
        <v>33.575316999999998</v>
      </c>
    </row>
    <row r="3711" spans="5:7" x14ac:dyDescent="0.75">
      <c r="E3711" t="s">
        <v>160</v>
      </c>
      <c r="F3711">
        <v>2001</v>
      </c>
      <c r="G3711">
        <v>33.356789999999997</v>
      </c>
    </row>
    <row r="3712" spans="5:7" x14ac:dyDescent="0.75">
      <c r="E3712" t="s">
        <v>160</v>
      </c>
      <c r="F3712">
        <v>2002</v>
      </c>
      <c r="G3712">
        <v>34.245525000000001</v>
      </c>
    </row>
    <row r="3713" spans="5:7" x14ac:dyDescent="0.75">
      <c r="E3713" t="s">
        <v>160</v>
      </c>
      <c r="F3713">
        <v>2003</v>
      </c>
      <c r="G3713">
        <v>34.435265000000001</v>
      </c>
    </row>
    <row r="3714" spans="5:7" x14ac:dyDescent="0.75">
      <c r="E3714" t="s">
        <v>160</v>
      </c>
      <c r="F3714">
        <v>2004</v>
      </c>
      <c r="G3714">
        <v>35.227806000000001</v>
      </c>
    </row>
    <row r="3715" spans="5:7" x14ac:dyDescent="0.75">
      <c r="E3715" t="s">
        <v>160</v>
      </c>
      <c r="F3715">
        <v>2005</v>
      </c>
      <c r="G3715">
        <v>38.062286</v>
      </c>
    </row>
    <row r="3716" spans="5:7" x14ac:dyDescent="0.75">
      <c r="E3716" t="s">
        <v>160</v>
      </c>
      <c r="F3716">
        <v>2006</v>
      </c>
      <c r="G3716">
        <v>36.214390000000002</v>
      </c>
    </row>
    <row r="3717" spans="5:7" x14ac:dyDescent="0.75">
      <c r="E3717" t="s">
        <v>160</v>
      </c>
      <c r="F3717">
        <v>2007</v>
      </c>
      <c r="G3717">
        <v>34.472377999999999</v>
      </c>
    </row>
    <row r="3718" spans="5:7" x14ac:dyDescent="0.75">
      <c r="E3718" t="s">
        <v>160</v>
      </c>
      <c r="F3718">
        <v>2008</v>
      </c>
      <c r="G3718">
        <v>34.158709999999999</v>
      </c>
    </row>
    <row r="3719" spans="5:7" x14ac:dyDescent="0.75">
      <c r="E3719" t="s">
        <v>160</v>
      </c>
      <c r="F3719">
        <v>2009</v>
      </c>
      <c r="G3719">
        <v>34.048298000000003</v>
      </c>
    </row>
    <row r="3720" spans="5:7" x14ac:dyDescent="0.75">
      <c r="E3720" t="s">
        <v>160</v>
      </c>
      <c r="F3720">
        <v>2010</v>
      </c>
      <c r="G3720">
        <v>35.881905000000003</v>
      </c>
    </row>
    <row r="3721" spans="5:7" x14ac:dyDescent="0.75">
      <c r="E3721" t="s">
        <v>160</v>
      </c>
      <c r="F3721">
        <v>2011</v>
      </c>
      <c r="G3721">
        <v>36.259540000000001</v>
      </c>
    </row>
    <row r="3722" spans="5:7" x14ac:dyDescent="0.75">
      <c r="E3722" t="s">
        <v>160</v>
      </c>
      <c r="F3722">
        <v>2012</v>
      </c>
      <c r="G3722">
        <v>36.254223000000003</v>
      </c>
    </row>
    <row r="3723" spans="5:7" x14ac:dyDescent="0.75">
      <c r="E3723" t="s">
        <v>160</v>
      </c>
      <c r="F3723">
        <v>2013</v>
      </c>
      <c r="G3723">
        <v>35.521908000000003</v>
      </c>
    </row>
    <row r="3724" spans="5:7" x14ac:dyDescent="0.75">
      <c r="E3724" t="s">
        <v>160</v>
      </c>
      <c r="F3724">
        <v>2014</v>
      </c>
      <c r="G3724">
        <v>34.389270000000003</v>
      </c>
    </row>
    <row r="3725" spans="5:7" x14ac:dyDescent="0.75">
      <c r="E3725" t="s">
        <v>160</v>
      </c>
      <c r="F3725">
        <v>2015</v>
      </c>
      <c r="G3725">
        <v>35.568336000000002</v>
      </c>
    </row>
    <row r="3726" spans="5:7" x14ac:dyDescent="0.75">
      <c r="E3726" t="s">
        <v>160</v>
      </c>
      <c r="F3726">
        <v>2016</v>
      </c>
      <c r="G3726">
        <v>39.443539999999999</v>
      </c>
    </row>
    <row r="3727" spans="5:7" x14ac:dyDescent="0.75">
      <c r="E3727" t="s">
        <v>160</v>
      </c>
      <c r="F3727">
        <v>2017</v>
      </c>
      <c r="G3727">
        <v>39.733997000000002</v>
      </c>
    </row>
    <row r="3728" spans="5:7" x14ac:dyDescent="0.75">
      <c r="E3728" t="s">
        <v>160</v>
      </c>
      <c r="F3728">
        <v>2018</v>
      </c>
      <c r="G3728">
        <v>36.053702999999999</v>
      </c>
    </row>
    <row r="3729" spans="5:7" x14ac:dyDescent="0.75">
      <c r="E3729" t="s">
        <v>160</v>
      </c>
      <c r="F3729">
        <v>2019</v>
      </c>
      <c r="G3729">
        <v>35.284115</v>
      </c>
    </row>
    <row r="3730" spans="5:7" x14ac:dyDescent="0.75">
      <c r="E3730" t="s">
        <v>160</v>
      </c>
      <c r="F3730">
        <v>2020</v>
      </c>
      <c r="G3730">
        <v>36.647686</v>
      </c>
    </row>
    <row r="3731" spans="5:7" x14ac:dyDescent="0.75">
      <c r="E3731" t="s">
        <v>160</v>
      </c>
      <c r="F3731">
        <v>2021</v>
      </c>
      <c r="G3731">
        <v>38.516407000000001</v>
      </c>
    </row>
    <row r="3732" spans="5:7" x14ac:dyDescent="0.75">
      <c r="E3732" t="s">
        <v>160</v>
      </c>
      <c r="F3732">
        <v>2022</v>
      </c>
      <c r="G3732">
        <v>37.259030000000003</v>
      </c>
    </row>
    <row r="3733" spans="5:7" x14ac:dyDescent="0.75">
      <c r="E3733" t="s">
        <v>160</v>
      </c>
      <c r="F3733">
        <v>2023</v>
      </c>
      <c r="G3733">
        <v>38.00712</v>
      </c>
    </row>
    <row r="3734" spans="5:7" x14ac:dyDescent="0.75">
      <c r="E3734" t="s">
        <v>160</v>
      </c>
      <c r="F3734">
        <v>2024</v>
      </c>
      <c r="G3734">
        <v>36.599316000000002</v>
      </c>
    </row>
    <row r="3735" spans="5:7" x14ac:dyDescent="0.75">
      <c r="E3735" t="s">
        <v>161</v>
      </c>
      <c r="F3735">
        <v>2000</v>
      </c>
      <c r="G3735">
        <v>626.53467000000001</v>
      </c>
    </row>
    <row r="3736" spans="5:7" x14ac:dyDescent="0.75">
      <c r="E3736" t="s">
        <v>161</v>
      </c>
      <c r="F3736">
        <v>2001</v>
      </c>
      <c r="G3736">
        <v>632.38589999999999</v>
      </c>
    </row>
    <row r="3737" spans="5:7" x14ac:dyDescent="0.75">
      <c r="E3737" t="s">
        <v>161</v>
      </c>
      <c r="F3737">
        <v>2002</v>
      </c>
      <c r="G3737">
        <v>663.6979</v>
      </c>
    </row>
    <row r="3738" spans="5:7" x14ac:dyDescent="0.75">
      <c r="E3738" t="s">
        <v>161</v>
      </c>
      <c r="F3738">
        <v>2003</v>
      </c>
      <c r="G3738">
        <v>667.76310000000001</v>
      </c>
    </row>
    <row r="3739" spans="5:7" x14ac:dyDescent="0.75">
      <c r="E3739" t="s">
        <v>161</v>
      </c>
      <c r="F3739">
        <v>2004</v>
      </c>
      <c r="G3739">
        <v>630.71190000000001</v>
      </c>
    </row>
    <row r="3740" spans="5:7" x14ac:dyDescent="0.75">
      <c r="E3740" t="s">
        <v>161</v>
      </c>
      <c r="F3740">
        <v>2005</v>
      </c>
      <c r="G3740">
        <v>634.1463</v>
      </c>
    </row>
    <row r="3741" spans="5:7" x14ac:dyDescent="0.75">
      <c r="E3741" t="s">
        <v>161</v>
      </c>
      <c r="F3741">
        <v>2006</v>
      </c>
      <c r="G3741">
        <v>642.476</v>
      </c>
    </row>
    <row r="3742" spans="5:7" x14ac:dyDescent="0.75">
      <c r="E3742" t="s">
        <v>161</v>
      </c>
      <c r="F3742">
        <v>2007</v>
      </c>
      <c r="G3742">
        <v>642.61707000000001</v>
      </c>
    </row>
    <row r="3743" spans="5:7" x14ac:dyDescent="0.75">
      <c r="E3743" t="s">
        <v>161</v>
      </c>
      <c r="F3743">
        <v>2008</v>
      </c>
      <c r="G3743">
        <v>655.38229999999999</v>
      </c>
    </row>
    <row r="3744" spans="5:7" x14ac:dyDescent="0.75">
      <c r="E3744" t="s">
        <v>161</v>
      </c>
      <c r="F3744">
        <v>2009</v>
      </c>
      <c r="G3744">
        <v>691.73974999999996</v>
      </c>
    </row>
    <row r="3745" spans="5:7" x14ac:dyDescent="0.75">
      <c r="E3745" t="s">
        <v>161</v>
      </c>
      <c r="F3745">
        <v>2010</v>
      </c>
      <c r="G3745">
        <v>696.38244999999995</v>
      </c>
    </row>
    <row r="3746" spans="5:7" x14ac:dyDescent="0.75">
      <c r="E3746" t="s">
        <v>161</v>
      </c>
      <c r="F3746">
        <v>2011</v>
      </c>
      <c r="G3746">
        <v>684.51239999999996</v>
      </c>
    </row>
    <row r="3747" spans="5:7" x14ac:dyDescent="0.75">
      <c r="E3747" t="s">
        <v>161</v>
      </c>
      <c r="F3747">
        <v>2012</v>
      </c>
      <c r="G3747">
        <v>676.16980000000001</v>
      </c>
    </row>
    <row r="3748" spans="5:7" x14ac:dyDescent="0.75">
      <c r="E3748" t="s">
        <v>161</v>
      </c>
      <c r="F3748">
        <v>2013</v>
      </c>
      <c r="G3748">
        <v>662.69366000000002</v>
      </c>
    </row>
    <row r="3749" spans="5:7" x14ac:dyDescent="0.75">
      <c r="E3749" t="s">
        <v>161</v>
      </c>
      <c r="F3749">
        <v>2014</v>
      </c>
      <c r="G3749">
        <v>676.23530000000005</v>
      </c>
    </row>
    <row r="3750" spans="5:7" x14ac:dyDescent="0.75">
      <c r="E3750" t="s">
        <v>161</v>
      </c>
      <c r="F3750">
        <v>2015</v>
      </c>
      <c r="G3750">
        <v>734.59186</v>
      </c>
    </row>
    <row r="3751" spans="5:7" x14ac:dyDescent="0.75">
      <c r="E3751" t="s">
        <v>161</v>
      </c>
      <c r="F3751">
        <v>2016</v>
      </c>
      <c r="G3751">
        <v>703.90752999999995</v>
      </c>
    </row>
    <row r="3752" spans="5:7" x14ac:dyDescent="0.75">
      <c r="E3752" t="s">
        <v>161</v>
      </c>
      <c r="F3752">
        <v>2017</v>
      </c>
      <c r="G3752">
        <v>708.78520000000003</v>
      </c>
    </row>
    <row r="3753" spans="5:7" x14ac:dyDescent="0.75">
      <c r="E3753" t="s">
        <v>161</v>
      </c>
      <c r="F3753">
        <v>2018</v>
      </c>
      <c r="G3753">
        <v>699.37274000000002</v>
      </c>
    </row>
    <row r="3754" spans="5:7" x14ac:dyDescent="0.75">
      <c r="E3754" t="s">
        <v>161</v>
      </c>
      <c r="F3754">
        <v>2019</v>
      </c>
      <c r="G3754">
        <v>697.13260000000002</v>
      </c>
    </row>
    <row r="3755" spans="5:7" x14ac:dyDescent="0.75">
      <c r="E3755" t="s">
        <v>161</v>
      </c>
      <c r="F3755">
        <v>2020</v>
      </c>
      <c r="G3755">
        <v>690.91769999999997</v>
      </c>
    </row>
    <row r="3756" spans="5:7" x14ac:dyDescent="0.75">
      <c r="E3756" t="s">
        <v>161</v>
      </c>
      <c r="F3756">
        <v>2021</v>
      </c>
      <c r="G3756">
        <v>692.30773999999997</v>
      </c>
    </row>
    <row r="3757" spans="5:7" x14ac:dyDescent="0.75">
      <c r="E3757" t="s">
        <v>161</v>
      </c>
      <c r="F3757">
        <v>2022</v>
      </c>
      <c r="G3757">
        <v>682.27094</v>
      </c>
    </row>
    <row r="3758" spans="5:7" x14ac:dyDescent="0.75">
      <c r="E3758" t="s">
        <v>162</v>
      </c>
      <c r="F3758">
        <v>2000</v>
      </c>
      <c r="G3758">
        <v>636.38824</v>
      </c>
    </row>
    <row r="3759" spans="5:7" x14ac:dyDescent="0.75">
      <c r="E3759" t="s">
        <v>162</v>
      </c>
      <c r="F3759">
        <v>2001</v>
      </c>
      <c r="G3759">
        <v>654.27250000000004</v>
      </c>
    </row>
    <row r="3760" spans="5:7" x14ac:dyDescent="0.75">
      <c r="E3760" t="s">
        <v>162</v>
      </c>
      <c r="F3760">
        <v>2002</v>
      </c>
      <c r="G3760">
        <v>654.29499999999996</v>
      </c>
    </row>
    <row r="3761" spans="5:7" x14ac:dyDescent="0.75">
      <c r="E3761" t="s">
        <v>162</v>
      </c>
      <c r="F3761">
        <v>2003</v>
      </c>
      <c r="G3761">
        <v>665.88544000000002</v>
      </c>
    </row>
    <row r="3762" spans="5:7" x14ac:dyDescent="0.75">
      <c r="E3762" t="s">
        <v>162</v>
      </c>
      <c r="F3762">
        <v>2004</v>
      </c>
      <c r="G3762">
        <v>663.84325999999999</v>
      </c>
    </row>
    <row r="3763" spans="5:7" x14ac:dyDescent="0.75">
      <c r="E3763" t="s">
        <v>162</v>
      </c>
      <c r="F3763">
        <v>2005</v>
      </c>
      <c r="G3763">
        <v>665.23080000000004</v>
      </c>
    </row>
    <row r="3764" spans="5:7" x14ac:dyDescent="0.75">
      <c r="E3764" t="s">
        <v>162</v>
      </c>
      <c r="F3764">
        <v>2006</v>
      </c>
      <c r="G3764">
        <v>669.44039999999995</v>
      </c>
    </row>
    <row r="3765" spans="5:7" x14ac:dyDescent="0.75">
      <c r="E3765" t="s">
        <v>162</v>
      </c>
      <c r="F3765">
        <v>2007</v>
      </c>
      <c r="G3765">
        <v>669.61455999999998</v>
      </c>
    </row>
    <row r="3766" spans="5:7" x14ac:dyDescent="0.75">
      <c r="E3766" t="s">
        <v>162</v>
      </c>
      <c r="F3766">
        <v>2008</v>
      </c>
      <c r="G3766">
        <v>660.02264000000002</v>
      </c>
    </row>
    <row r="3767" spans="5:7" x14ac:dyDescent="0.75">
      <c r="E3767" t="s">
        <v>162</v>
      </c>
      <c r="F3767">
        <v>2009</v>
      </c>
      <c r="G3767">
        <v>657.63959999999997</v>
      </c>
    </row>
    <row r="3768" spans="5:7" x14ac:dyDescent="0.75">
      <c r="E3768" t="s">
        <v>162</v>
      </c>
      <c r="F3768">
        <v>2010</v>
      </c>
      <c r="G3768">
        <v>653.14715999999999</v>
      </c>
    </row>
    <row r="3769" spans="5:7" x14ac:dyDescent="0.75">
      <c r="E3769" t="s">
        <v>162</v>
      </c>
      <c r="F3769">
        <v>2011</v>
      </c>
      <c r="G3769">
        <v>652.23082999999997</v>
      </c>
    </row>
    <row r="3770" spans="5:7" x14ac:dyDescent="0.75">
      <c r="E3770" t="s">
        <v>162</v>
      </c>
      <c r="F3770">
        <v>2012</v>
      </c>
      <c r="G3770">
        <v>649.23914000000002</v>
      </c>
    </row>
    <row r="3771" spans="5:7" x14ac:dyDescent="0.75">
      <c r="E3771" t="s">
        <v>162</v>
      </c>
      <c r="F3771">
        <v>2013</v>
      </c>
      <c r="G3771">
        <v>643.99789999999996</v>
      </c>
    </row>
    <row r="3772" spans="5:7" x14ac:dyDescent="0.75">
      <c r="E3772" t="s">
        <v>162</v>
      </c>
      <c r="F3772">
        <v>2014</v>
      </c>
      <c r="G3772">
        <v>645.44542999999999</v>
      </c>
    </row>
    <row r="3773" spans="5:7" x14ac:dyDescent="0.75">
      <c r="E3773" t="s">
        <v>162</v>
      </c>
      <c r="F3773">
        <v>2015</v>
      </c>
      <c r="G3773">
        <v>650.18975999999998</v>
      </c>
    </row>
    <row r="3774" spans="5:7" x14ac:dyDescent="0.75">
      <c r="E3774" t="s">
        <v>162</v>
      </c>
      <c r="F3774">
        <v>2016</v>
      </c>
      <c r="G3774">
        <v>659.11929999999995</v>
      </c>
    </row>
    <row r="3775" spans="5:7" x14ac:dyDescent="0.75">
      <c r="E3775" t="s">
        <v>162</v>
      </c>
      <c r="F3775">
        <v>2017</v>
      </c>
      <c r="G3775">
        <v>684.63696000000004</v>
      </c>
    </row>
    <row r="3776" spans="5:7" x14ac:dyDescent="0.75">
      <c r="E3776" t="s">
        <v>162</v>
      </c>
      <c r="F3776">
        <v>2018</v>
      </c>
      <c r="G3776">
        <v>672.12279999999998</v>
      </c>
    </row>
    <row r="3777" spans="5:7" x14ac:dyDescent="0.75">
      <c r="E3777" t="s">
        <v>162</v>
      </c>
      <c r="F3777">
        <v>2019</v>
      </c>
      <c r="G3777">
        <v>648.96605999999997</v>
      </c>
    </row>
    <row r="3778" spans="5:7" x14ac:dyDescent="0.75">
      <c r="E3778" t="s">
        <v>162</v>
      </c>
      <c r="F3778">
        <v>2020</v>
      </c>
      <c r="G3778">
        <v>648.02319999999997</v>
      </c>
    </row>
    <row r="3779" spans="5:7" x14ac:dyDescent="0.75">
      <c r="E3779" t="s">
        <v>162</v>
      </c>
      <c r="F3779">
        <v>2021</v>
      </c>
      <c r="G3779">
        <v>652.029</v>
      </c>
    </row>
    <row r="3780" spans="5:7" x14ac:dyDescent="0.75">
      <c r="E3780" t="s">
        <v>162</v>
      </c>
      <c r="F3780">
        <v>2022</v>
      </c>
      <c r="G3780">
        <v>639.26575000000003</v>
      </c>
    </row>
    <row r="3781" spans="5:7" x14ac:dyDescent="0.75">
      <c r="E3781" t="s">
        <v>162</v>
      </c>
      <c r="F3781">
        <v>2023</v>
      </c>
      <c r="G3781">
        <v>644.39635999999996</v>
      </c>
    </row>
    <row r="3782" spans="5:7" x14ac:dyDescent="0.75">
      <c r="E3782" t="s">
        <v>162</v>
      </c>
      <c r="F3782">
        <v>2024</v>
      </c>
      <c r="G3782">
        <v>635.65106000000003</v>
      </c>
    </row>
    <row r="3783" spans="5:7" x14ac:dyDescent="0.75">
      <c r="E3783" t="s">
        <v>163</v>
      </c>
      <c r="F3783">
        <v>2000</v>
      </c>
      <c r="G3783">
        <v>32.303370000000001</v>
      </c>
    </row>
    <row r="3784" spans="5:7" x14ac:dyDescent="0.75">
      <c r="E3784" t="s">
        <v>163</v>
      </c>
      <c r="F3784">
        <v>2001</v>
      </c>
      <c r="G3784">
        <v>30.576788000000001</v>
      </c>
    </row>
    <row r="3785" spans="5:7" x14ac:dyDescent="0.75">
      <c r="E3785" t="s">
        <v>163</v>
      </c>
      <c r="F3785">
        <v>2002</v>
      </c>
      <c r="G3785">
        <v>28.75817</v>
      </c>
    </row>
    <row r="3786" spans="5:7" x14ac:dyDescent="0.75">
      <c r="E3786" t="s">
        <v>163</v>
      </c>
      <c r="F3786">
        <v>2003</v>
      </c>
      <c r="G3786">
        <v>29.678982000000001</v>
      </c>
    </row>
    <row r="3787" spans="5:7" x14ac:dyDescent="0.75">
      <c r="E3787" t="s">
        <v>163</v>
      </c>
      <c r="F3787">
        <v>2004</v>
      </c>
      <c r="G3787">
        <v>29.108550999999999</v>
      </c>
    </row>
    <row r="3788" spans="5:7" x14ac:dyDescent="0.75">
      <c r="E3788" t="s">
        <v>163</v>
      </c>
      <c r="F3788">
        <v>2005</v>
      </c>
      <c r="G3788">
        <v>27.501463000000001</v>
      </c>
    </row>
    <row r="3789" spans="5:7" x14ac:dyDescent="0.75">
      <c r="E3789" t="s">
        <v>163</v>
      </c>
      <c r="F3789">
        <v>2006</v>
      </c>
      <c r="G3789">
        <v>31.305371999999998</v>
      </c>
    </row>
    <row r="3790" spans="5:7" x14ac:dyDescent="0.75">
      <c r="E3790" t="s">
        <v>163</v>
      </c>
      <c r="F3790">
        <v>2007</v>
      </c>
      <c r="G3790">
        <v>36.020583999999999</v>
      </c>
    </row>
    <row r="3791" spans="5:7" x14ac:dyDescent="0.75">
      <c r="E3791" t="s">
        <v>163</v>
      </c>
      <c r="F3791">
        <v>2008</v>
      </c>
      <c r="G3791">
        <v>35.913310000000003</v>
      </c>
    </row>
    <row r="3792" spans="5:7" x14ac:dyDescent="0.75">
      <c r="E3792" t="s">
        <v>163</v>
      </c>
      <c r="F3792">
        <v>2009</v>
      </c>
      <c r="G3792">
        <v>31.637713999999999</v>
      </c>
    </row>
    <row r="3793" spans="5:7" x14ac:dyDescent="0.75">
      <c r="E3793" t="s">
        <v>163</v>
      </c>
      <c r="F3793">
        <v>2010</v>
      </c>
      <c r="G3793">
        <v>24.939170000000001</v>
      </c>
    </row>
    <row r="3794" spans="5:7" x14ac:dyDescent="0.75">
      <c r="E3794" t="s">
        <v>163</v>
      </c>
      <c r="F3794">
        <v>2011</v>
      </c>
      <c r="G3794">
        <v>24.630542999999999</v>
      </c>
    </row>
    <row r="3795" spans="5:7" x14ac:dyDescent="0.75">
      <c r="E3795" t="s">
        <v>163</v>
      </c>
      <c r="F3795">
        <v>2012</v>
      </c>
      <c r="G3795">
        <v>25.92811</v>
      </c>
    </row>
    <row r="3796" spans="5:7" x14ac:dyDescent="0.75">
      <c r="E3796" t="s">
        <v>163</v>
      </c>
      <c r="F3796">
        <v>2013</v>
      </c>
      <c r="G3796">
        <v>26.300407</v>
      </c>
    </row>
    <row r="3797" spans="5:7" x14ac:dyDescent="0.75">
      <c r="E3797" t="s">
        <v>163</v>
      </c>
      <c r="F3797">
        <v>2014</v>
      </c>
      <c r="G3797">
        <v>32.797027999999997</v>
      </c>
    </row>
    <row r="3798" spans="5:7" x14ac:dyDescent="0.75">
      <c r="E3798" t="s">
        <v>163</v>
      </c>
      <c r="F3798">
        <v>2015</v>
      </c>
      <c r="G3798">
        <v>32.051285</v>
      </c>
    </row>
    <row r="3799" spans="5:7" x14ac:dyDescent="0.75">
      <c r="E3799" t="s">
        <v>163</v>
      </c>
      <c r="F3799">
        <v>2016</v>
      </c>
      <c r="G3799">
        <v>56.844549999999998</v>
      </c>
    </row>
    <row r="3800" spans="5:7" x14ac:dyDescent="0.75">
      <c r="E3800" t="s">
        <v>163</v>
      </c>
      <c r="F3800">
        <v>2017</v>
      </c>
      <c r="G3800">
        <v>74.544449999999998</v>
      </c>
    </row>
    <row r="3801" spans="5:7" x14ac:dyDescent="0.75">
      <c r="E3801" t="s">
        <v>163</v>
      </c>
      <c r="F3801">
        <v>2018</v>
      </c>
      <c r="G3801">
        <v>87.639309999999995</v>
      </c>
    </row>
    <row r="3802" spans="5:7" x14ac:dyDescent="0.75">
      <c r="E3802" t="s">
        <v>163</v>
      </c>
      <c r="F3802">
        <v>2019</v>
      </c>
      <c r="G3802">
        <v>98.282449999999997</v>
      </c>
    </row>
    <row r="3803" spans="5:7" x14ac:dyDescent="0.75">
      <c r="E3803" t="s">
        <v>163</v>
      </c>
      <c r="F3803">
        <v>2020</v>
      </c>
      <c r="G3803">
        <v>109.95025</v>
      </c>
    </row>
    <row r="3804" spans="5:7" x14ac:dyDescent="0.75">
      <c r="E3804" t="s">
        <v>163</v>
      </c>
      <c r="F3804">
        <v>2021</v>
      </c>
      <c r="G3804">
        <v>110.52124000000001</v>
      </c>
    </row>
    <row r="3805" spans="5:7" x14ac:dyDescent="0.75">
      <c r="E3805" t="s">
        <v>163</v>
      </c>
      <c r="F3805">
        <v>2022</v>
      </c>
      <c r="G3805">
        <v>86.55189</v>
      </c>
    </row>
    <row r="3806" spans="5:7" x14ac:dyDescent="0.75">
      <c r="E3806" t="s">
        <v>163</v>
      </c>
      <c r="F3806">
        <v>2023</v>
      </c>
      <c r="G3806">
        <v>87.5</v>
      </c>
    </row>
    <row r="3807" spans="5:7" x14ac:dyDescent="0.75">
      <c r="E3807" t="s">
        <v>163</v>
      </c>
      <c r="F3807">
        <v>2024</v>
      </c>
      <c r="G3807">
        <v>115.87792</v>
      </c>
    </row>
    <row r="3808" spans="5:7" x14ac:dyDescent="0.75">
      <c r="E3808" t="s">
        <v>164</v>
      </c>
      <c r="F3808">
        <v>2000</v>
      </c>
      <c r="G3808">
        <v>120.00001</v>
      </c>
    </row>
    <row r="3809" spans="5:7" x14ac:dyDescent="0.75">
      <c r="E3809" t="s">
        <v>164</v>
      </c>
      <c r="F3809">
        <v>2001</v>
      </c>
      <c r="G3809">
        <v>67.137810000000002</v>
      </c>
    </row>
    <row r="3810" spans="5:7" x14ac:dyDescent="0.75">
      <c r="E3810" t="s">
        <v>164</v>
      </c>
      <c r="F3810">
        <v>2002</v>
      </c>
      <c r="G3810">
        <v>62.283737000000002</v>
      </c>
    </row>
    <row r="3811" spans="5:7" x14ac:dyDescent="0.75">
      <c r="E3811" t="s">
        <v>164</v>
      </c>
      <c r="F3811">
        <v>2003</v>
      </c>
      <c r="G3811">
        <v>59.040590000000002</v>
      </c>
    </row>
    <row r="3812" spans="5:7" x14ac:dyDescent="0.75">
      <c r="E3812" t="s">
        <v>164</v>
      </c>
      <c r="F3812">
        <v>2004</v>
      </c>
      <c r="G3812">
        <v>141.76247000000001</v>
      </c>
    </row>
    <row r="3813" spans="5:7" x14ac:dyDescent="0.75">
      <c r="E3813" t="s">
        <v>164</v>
      </c>
      <c r="F3813">
        <v>2005</v>
      </c>
      <c r="G3813">
        <v>292.34973000000002</v>
      </c>
    </row>
    <row r="3814" spans="5:7" x14ac:dyDescent="0.75">
      <c r="E3814" t="s">
        <v>164</v>
      </c>
      <c r="F3814">
        <v>2006</v>
      </c>
      <c r="G3814">
        <v>324.78631999999999</v>
      </c>
    </row>
    <row r="3815" spans="5:7" x14ac:dyDescent="0.75">
      <c r="E3815" t="s">
        <v>164</v>
      </c>
      <c r="F3815">
        <v>2007</v>
      </c>
      <c r="G3815">
        <v>233.49059</v>
      </c>
    </row>
    <row r="3816" spans="5:7" x14ac:dyDescent="0.75">
      <c r="E3816" t="s">
        <v>164</v>
      </c>
      <c r="F3816">
        <v>2008</v>
      </c>
      <c r="G3816">
        <v>222.47192000000001</v>
      </c>
    </row>
    <row r="3817" spans="5:7" x14ac:dyDescent="0.75">
      <c r="E3817" t="s">
        <v>164</v>
      </c>
      <c r="F3817">
        <v>2009</v>
      </c>
      <c r="G3817">
        <v>231.25</v>
      </c>
    </row>
    <row r="3818" spans="5:7" x14ac:dyDescent="0.75">
      <c r="E3818" t="s">
        <v>164</v>
      </c>
      <c r="F3818">
        <v>2010</v>
      </c>
      <c r="G3818">
        <v>255.15948</v>
      </c>
    </row>
    <row r="3819" spans="5:7" x14ac:dyDescent="0.75">
      <c r="E3819" t="s">
        <v>164</v>
      </c>
      <c r="F3819">
        <v>2011</v>
      </c>
      <c r="G3819">
        <v>321.08316000000002</v>
      </c>
    </row>
    <row r="3820" spans="5:7" x14ac:dyDescent="0.75">
      <c r="E3820" t="s">
        <v>164</v>
      </c>
      <c r="F3820">
        <v>2012</v>
      </c>
      <c r="G3820">
        <v>363.31567000000001</v>
      </c>
    </row>
    <row r="3821" spans="5:7" x14ac:dyDescent="0.75">
      <c r="E3821" t="s">
        <v>164</v>
      </c>
      <c r="F3821">
        <v>2013</v>
      </c>
      <c r="G3821">
        <v>387.31220000000002</v>
      </c>
    </row>
    <row r="3822" spans="5:7" x14ac:dyDescent="0.75">
      <c r="E3822" t="s">
        <v>164</v>
      </c>
      <c r="F3822">
        <v>2014</v>
      </c>
      <c r="G3822">
        <v>316.29390000000001</v>
      </c>
    </row>
    <row r="3823" spans="5:7" x14ac:dyDescent="0.75">
      <c r="E3823" t="s">
        <v>164</v>
      </c>
      <c r="F3823">
        <v>2015</v>
      </c>
      <c r="G3823">
        <v>370.59723000000002</v>
      </c>
    </row>
    <row r="3824" spans="5:7" x14ac:dyDescent="0.75">
      <c r="E3824" t="s">
        <v>164</v>
      </c>
      <c r="F3824">
        <v>2016</v>
      </c>
      <c r="G3824">
        <v>328.44574</v>
      </c>
    </row>
    <row r="3825" spans="5:7" x14ac:dyDescent="0.75">
      <c r="E3825" t="s">
        <v>164</v>
      </c>
      <c r="F3825">
        <v>2017</v>
      </c>
      <c r="G3825">
        <v>336.63367</v>
      </c>
    </row>
    <row r="3826" spans="5:7" x14ac:dyDescent="0.75">
      <c r="E3826" t="s">
        <v>164</v>
      </c>
      <c r="F3826">
        <v>2018</v>
      </c>
      <c r="G3826">
        <v>344.73325</v>
      </c>
    </row>
    <row r="3827" spans="5:7" x14ac:dyDescent="0.75">
      <c r="E3827" t="s">
        <v>164</v>
      </c>
      <c r="F3827">
        <v>2019</v>
      </c>
      <c r="G3827">
        <v>337.19434000000001</v>
      </c>
    </row>
    <row r="3828" spans="5:7" x14ac:dyDescent="0.75">
      <c r="E3828" t="s">
        <v>164</v>
      </c>
      <c r="F3828">
        <v>2020</v>
      </c>
      <c r="G3828">
        <v>298.85055999999997</v>
      </c>
    </row>
    <row r="3829" spans="5:7" x14ac:dyDescent="0.75">
      <c r="E3829" t="s">
        <v>164</v>
      </c>
      <c r="F3829">
        <v>2021</v>
      </c>
      <c r="G3829">
        <v>320.23122999999998</v>
      </c>
    </row>
    <row r="3830" spans="5:7" x14ac:dyDescent="0.75">
      <c r="E3830" t="s">
        <v>164</v>
      </c>
      <c r="F3830">
        <v>2022</v>
      </c>
      <c r="G3830">
        <v>349.27233999999999</v>
      </c>
    </row>
    <row r="3831" spans="5:7" x14ac:dyDescent="0.75">
      <c r="E3831" t="s">
        <v>164</v>
      </c>
      <c r="F3831">
        <v>2023</v>
      </c>
      <c r="G3831">
        <v>371.58472</v>
      </c>
    </row>
    <row r="3832" spans="5:7" x14ac:dyDescent="0.75">
      <c r="E3832" t="s">
        <v>165</v>
      </c>
      <c r="F3832">
        <v>2000</v>
      </c>
      <c r="G3832">
        <v>608.45899999999995</v>
      </c>
    </row>
    <row r="3833" spans="5:7" x14ac:dyDescent="0.75">
      <c r="E3833" t="s">
        <v>165</v>
      </c>
      <c r="F3833">
        <v>2001</v>
      </c>
      <c r="G3833">
        <v>605.50549999999998</v>
      </c>
    </row>
    <row r="3834" spans="5:7" x14ac:dyDescent="0.75">
      <c r="E3834" t="s">
        <v>165</v>
      </c>
      <c r="F3834">
        <v>2002</v>
      </c>
      <c r="G3834">
        <v>593.13904000000002</v>
      </c>
    </row>
    <row r="3835" spans="5:7" x14ac:dyDescent="0.75">
      <c r="E3835" t="s">
        <v>165</v>
      </c>
      <c r="F3835">
        <v>2003</v>
      </c>
      <c r="G3835">
        <v>591.42660000000001</v>
      </c>
    </row>
    <row r="3836" spans="5:7" x14ac:dyDescent="0.75">
      <c r="E3836" t="s">
        <v>165</v>
      </c>
      <c r="F3836">
        <v>2004</v>
      </c>
      <c r="G3836">
        <v>599.29110000000003</v>
      </c>
    </row>
    <row r="3837" spans="5:7" x14ac:dyDescent="0.75">
      <c r="E3837" t="s">
        <v>165</v>
      </c>
      <c r="F3837">
        <v>2005</v>
      </c>
      <c r="G3837">
        <v>600.78204000000005</v>
      </c>
    </row>
    <row r="3838" spans="5:7" x14ac:dyDescent="0.75">
      <c r="E3838" t="s">
        <v>165</v>
      </c>
      <c r="F3838">
        <v>2006</v>
      </c>
      <c r="G3838">
        <v>598.55240000000003</v>
      </c>
    </row>
    <row r="3839" spans="5:7" x14ac:dyDescent="0.75">
      <c r="E3839" t="s">
        <v>165</v>
      </c>
      <c r="F3839">
        <v>2007</v>
      </c>
      <c r="G3839">
        <v>606.88980000000004</v>
      </c>
    </row>
    <row r="3840" spans="5:7" x14ac:dyDescent="0.75">
      <c r="E3840" t="s">
        <v>165</v>
      </c>
      <c r="F3840">
        <v>2008</v>
      </c>
      <c r="G3840">
        <v>608.91089999999997</v>
      </c>
    </row>
    <row r="3841" spans="5:7" x14ac:dyDescent="0.75">
      <c r="E3841" t="s">
        <v>165</v>
      </c>
      <c r="F3841">
        <v>2009</v>
      </c>
      <c r="G3841">
        <v>605.89449999999999</v>
      </c>
    </row>
    <row r="3842" spans="5:7" x14ac:dyDescent="0.75">
      <c r="E3842" t="s">
        <v>165</v>
      </c>
      <c r="F3842">
        <v>2010</v>
      </c>
      <c r="G3842">
        <v>606.33370000000002</v>
      </c>
    </row>
    <row r="3843" spans="5:7" x14ac:dyDescent="0.75">
      <c r="E3843" t="s">
        <v>165</v>
      </c>
      <c r="F3843">
        <v>2011</v>
      </c>
      <c r="G3843">
        <v>600.97844999999995</v>
      </c>
    </row>
    <row r="3844" spans="5:7" x14ac:dyDescent="0.75">
      <c r="E3844" t="s">
        <v>165</v>
      </c>
      <c r="F3844">
        <v>2012</v>
      </c>
      <c r="G3844">
        <v>597.89293999999995</v>
      </c>
    </row>
    <row r="3845" spans="5:7" x14ac:dyDescent="0.75">
      <c r="E3845" t="s">
        <v>165</v>
      </c>
      <c r="F3845">
        <v>2013</v>
      </c>
      <c r="G3845">
        <v>602.76329999999996</v>
      </c>
    </row>
    <row r="3846" spans="5:7" x14ac:dyDescent="0.75">
      <c r="E3846" t="s">
        <v>165</v>
      </c>
      <c r="F3846">
        <v>2014</v>
      </c>
      <c r="G3846">
        <v>602.26750000000004</v>
      </c>
    </row>
    <row r="3847" spans="5:7" x14ac:dyDescent="0.75">
      <c r="E3847" t="s">
        <v>165</v>
      </c>
      <c r="F3847">
        <v>2015</v>
      </c>
      <c r="G3847">
        <v>598.04300000000001</v>
      </c>
    </row>
    <row r="3848" spans="5:7" x14ac:dyDescent="0.75">
      <c r="E3848" t="s">
        <v>165</v>
      </c>
      <c r="F3848">
        <v>2016</v>
      </c>
      <c r="G3848">
        <v>596.42975000000001</v>
      </c>
    </row>
    <row r="3849" spans="5:7" x14ac:dyDescent="0.75">
      <c r="E3849" t="s">
        <v>165</v>
      </c>
      <c r="F3849">
        <v>2017</v>
      </c>
      <c r="G3849">
        <v>584.22455000000002</v>
      </c>
    </row>
    <row r="3850" spans="5:7" x14ac:dyDescent="0.75">
      <c r="E3850" t="s">
        <v>165</v>
      </c>
      <c r="F3850">
        <v>2018</v>
      </c>
      <c r="G3850">
        <v>568.68809999999996</v>
      </c>
    </row>
    <row r="3851" spans="5:7" x14ac:dyDescent="0.75">
      <c r="E3851" t="s">
        <v>165</v>
      </c>
      <c r="F3851">
        <v>2019</v>
      </c>
      <c r="G3851">
        <v>563.0797</v>
      </c>
    </row>
    <row r="3852" spans="5:7" x14ac:dyDescent="0.75">
      <c r="E3852" t="s">
        <v>165</v>
      </c>
      <c r="F3852">
        <v>2020</v>
      </c>
      <c r="G3852">
        <v>571.39620000000002</v>
      </c>
    </row>
    <row r="3853" spans="5:7" x14ac:dyDescent="0.75">
      <c r="E3853" t="s">
        <v>165</v>
      </c>
      <c r="F3853">
        <v>2021</v>
      </c>
      <c r="G3853">
        <v>566.90859999999998</v>
      </c>
    </row>
    <row r="3854" spans="5:7" x14ac:dyDescent="0.75">
      <c r="E3854" t="s">
        <v>165</v>
      </c>
      <c r="F3854">
        <v>2022</v>
      </c>
      <c r="G3854">
        <v>561.12440000000004</v>
      </c>
    </row>
    <row r="3855" spans="5:7" x14ac:dyDescent="0.75">
      <c r="E3855" t="s">
        <v>165</v>
      </c>
      <c r="F3855">
        <v>2023</v>
      </c>
      <c r="G3855">
        <v>549.8451</v>
      </c>
    </row>
    <row r="3856" spans="5:7" x14ac:dyDescent="0.75">
      <c r="E3856" t="s">
        <v>165</v>
      </c>
      <c r="F3856">
        <v>2024</v>
      </c>
      <c r="G3856">
        <v>554.49760000000003</v>
      </c>
    </row>
    <row r="3857" spans="5:7" x14ac:dyDescent="0.75">
      <c r="E3857" t="s">
        <v>167</v>
      </c>
      <c r="F3857">
        <v>2000</v>
      </c>
      <c r="G3857">
        <v>277.77776999999998</v>
      </c>
    </row>
    <row r="3858" spans="5:7" x14ac:dyDescent="0.75">
      <c r="E3858" t="s">
        <v>167</v>
      </c>
      <c r="F3858">
        <v>2001</v>
      </c>
      <c r="G3858">
        <v>384.61541999999997</v>
      </c>
    </row>
    <row r="3859" spans="5:7" x14ac:dyDescent="0.75">
      <c r="E3859" t="s">
        <v>167</v>
      </c>
      <c r="F3859">
        <v>2002</v>
      </c>
      <c r="G3859">
        <v>312.5</v>
      </c>
    </row>
    <row r="3860" spans="5:7" x14ac:dyDescent="0.75">
      <c r="E3860" t="s">
        <v>167</v>
      </c>
      <c r="F3860">
        <v>2003</v>
      </c>
      <c r="G3860">
        <v>222.22220999999999</v>
      </c>
    </row>
    <row r="3861" spans="5:7" x14ac:dyDescent="0.75">
      <c r="E3861" t="s">
        <v>167</v>
      </c>
      <c r="F3861">
        <v>2004</v>
      </c>
      <c r="G3861">
        <v>368.42104999999998</v>
      </c>
    </row>
    <row r="3862" spans="5:7" x14ac:dyDescent="0.75">
      <c r="E3862" t="s">
        <v>167</v>
      </c>
      <c r="F3862">
        <v>2005</v>
      </c>
      <c r="G3862">
        <v>421.05259999999998</v>
      </c>
    </row>
    <row r="3863" spans="5:7" x14ac:dyDescent="0.75">
      <c r="E3863" t="s">
        <v>167</v>
      </c>
      <c r="F3863">
        <v>2006</v>
      </c>
      <c r="G3863">
        <v>409.09093999999999</v>
      </c>
    </row>
    <row r="3864" spans="5:7" x14ac:dyDescent="0.75">
      <c r="E3864" t="s">
        <v>167</v>
      </c>
      <c r="F3864">
        <v>2007</v>
      </c>
      <c r="G3864">
        <v>315.78946000000002</v>
      </c>
    </row>
    <row r="3865" spans="5:7" x14ac:dyDescent="0.75">
      <c r="E3865" t="s">
        <v>167</v>
      </c>
      <c r="F3865">
        <v>2008</v>
      </c>
      <c r="G3865">
        <v>230.76924</v>
      </c>
    </row>
    <row r="3866" spans="5:7" x14ac:dyDescent="0.75">
      <c r="E3866" t="s">
        <v>167</v>
      </c>
      <c r="F3866">
        <v>2009</v>
      </c>
      <c r="G3866">
        <v>199.99997999999999</v>
      </c>
    </row>
    <row r="3867" spans="5:7" x14ac:dyDescent="0.75">
      <c r="E3867" t="s">
        <v>167</v>
      </c>
      <c r="F3867">
        <v>2010</v>
      </c>
      <c r="G3867">
        <v>409.09093999999999</v>
      </c>
    </row>
    <row r="3868" spans="5:7" x14ac:dyDescent="0.75">
      <c r="E3868" t="s">
        <v>167</v>
      </c>
      <c r="F3868">
        <v>2011</v>
      </c>
      <c r="G3868">
        <v>333.33334000000002</v>
      </c>
    </row>
    <row r="3869" spans="5:7" x14ac:dyDescent="0.75">
      <c r="E3869" t="s">
        <v>167</v>
      </c>
      <c r="F3869">
        <v>2012</v>
      </c>
      <c r="G3869">
        <v>468.75002999999998</v>
      </c>
    </row>
    <row r="3870" spans="5:7" x14ac:dyDescent="0.75">
      <c r="E3870" t="s">
        <v>167</v>
      </c>
      <c r="F3870">
        <v>2013</v>
      </c>
      <c r="G3870">
        <v>562.50005999999996</v>
      </c>
    </row>
    <row r="3871" spans="5:7" x14ac:dyDescent="0.75">
      <c r="E3871" t="s">
        <v>167</v>
      </c>
      <c r="F3871">
        <v>2014</v>
      </c>
      <c r="G3871">
        <v>428.57144</v>
      </c>
    </row>
    <row r="3872" spans="5:7" x14ac:dyDescent="0.75">
      <c r="E3872" t="s">
        <v>167</v>
      </c>
      <c r="F3872">
        <v>2015</v>
      </c>
      <c r="G3872">
        <v>522.72730000000001</v>
      </c>
    </row>
    <row r="3873" spans="5:7" x14ac:dyDescent="0.75">
      <c r="E3873" t="s">
        <v>167</v>
      </c>
      <c r="F3873">
        <v>2016</v>
      </c>
      <c r="G3873">
        <v>521.27660000000003</v>
      </c>
    </row>
    <row r="3874" spans="5:7" x14ac:dyDescent="0.75">
      <c r="E3874" t="s">
        <v>167</v>
      </c>
      <c r="F3874">
        <v>2017</v>
      </c>
      <c r="G3874">
        <v>481.48147999999998</v>
      </c>
    </row>
    <row r="3875" spans="5:7" x14ac:dyDescent="0.75">
      <c r="E3875" t="s">
        <v>167</v>
      </c>
      <c r="F3875">
        <v>2018</v>
      </c>
      <c r="G3875">
        <v>399.99997000000002</v>
      </c>
    </row>
    <row r="3876" spans="5:7" x14ac:dyDescent="0.75">
      <c r="E3876" t="s">
        <v>167</v>
      </c>
      <c r="F3876">
        <v>2019</v>
      </c>
      <c r="G3876">
        <v>459.01639999999998</v>
      </c>
    </row>
    <row r="3877" spans="5:7" x14ac:dyDescent="0.75">
      <c r="E3877" t="s">
        <v>167</v>
      </c>
      <c r="F3877">
        <v>2020</v>
      </c>
      <c r="G3877">
        <v>508.19672000000003</v>
      </c>
    </row>
    <row r="3878" spans="5:7" x14ac:dyDescent="0.75">
      <c r="E3878" t="s">
        <v>167</v>
      </c>
      <c r="F3878">
        <v>2021</v>
      </c>
      <c r="G3878">
        <v>464.78876000000002</v>
      </c>
    </row>
    <row r="3879" spans="5:7" x14ac:dyDescent="0.75">
      <c r="E3879" t="s">
        <v>167</v>
      </c>
      <c r="F3879">
        <v>2022</v>
      </c>
      <c r="G3879">
        <v>477.77780000000001</v>
      </c>
    </row>
    <row r="3880" spans="5:7" x14ac:dyDescent="0.75">
      <c r="E3880" t="s">
        <v>167</v>
      </c>
      <c r="F3880">
        <v>2023</v>
      </c>
      <c r="G3880">
        <v>478.26085999999998</v>
      </c>
    </row>
    <row r="3881" spans="5:7" x14ac:dyDescent="0.75">
      <c r="E3881" t="s">
        <v>168</v>
      </c>
      <c r="F3881">
        <v>2000</v>
      </c>
      <c r="G3881">
        <v>679.48720000000003</v>
      </c>
    </row>
    <row r="3882" spans="5:7" x14ac:dyDescent="0.75">
      <c r="E3882" t="s">
        <v>168</v>
      </c>
      <c r="F3882">
        <v>2001</v>
      </c>
      <c r="G3882">
        <v>680.85109999999997</v>
      </c>
    </row>
    <row r="3883" spans="5:7" x14ac:dyDescent="0.75">
      <c r="E3883" t="s">
        <v>168</v>
      </c>
      <c r="F3883">
        <v>2002</v>
      </c>
      <c r="G3883">
        <v>680.85109999999997</v>
      </c>
    </row>
    <row r="3884" spans="5:7" x14ac:dyDescent="0.75">
      <c r="E3884" t="s">
        <v>168</v>
      </c>
      <c r="F3884">
        <v>2003</v>
      </c>
      <c r="G3884">
        <v>681.67700000000002</v>
      </c>
    </row>
    <row r="3885" spans="5:7" x14ac:dyDescent="0.75">
      <c r="E3885" t="s">
        <v>168</v>
      </c>
      <c r="F3885">
        <v>2004</v>
      </c>
      <c r="G3885">
        <v>681.18200000000002</v>
      </c>
    </row>
    <row r="3886" spans="5:7" x14ac:dyDescent="0.75">
      <c r="E3886" t="s">
        <v>168</v>
      </c>
      <c r="F3886">
        <v>2005</v>
      </c>
      <c r="G3886">
        <v>680.85109999999997</v>
      </c>
    </row>
    <row r="3887" spans="5:7" x14ac:dyDescent="0.75">
      <c r="E3887" t="s">
        <v>168</v>
      </c>
      <c r="F3887">
        <v>2006</v>
      </c>
      <c r="G3887">
        <v>680.61365000000001</v>
      </c>
    </row>
    <row r="3888" spans="5:7" x14ac:dyDescent="0.75">
      <c r="E3888" t="s">
        <v>168</v>
      </c>
      <c r="F3888">
        <v>2007</v>
      </c>
      <c r="G3888">
        <v>679.6875</v>
      </c>
    </row>
    <row r="3889" spans="5:7" x14ac:dyDescent="0.75">
      <c r="E3889" t="s">
        <v>168</v>
      </c>
      <c r="F3889">
        <v>2008</v>
      </c>
      <c r="G3889">
        <v>679.17205999999999</v>
      </c>
    </row>
    <row r="3890" spans="5:7" x14ac:dyDescent="0.75">
      <c r="E3890" t="s">
        <v>168</v>
      </c>
      <c r="F3890">
        <v>2009</v>
      </c>
      <c r="G3890">
        <v>679.84690000000001</v>
      </c>
    </row>
    <row r="3891" spans="5:7" x14ac:dyDescent="0.75">
      <c r="E3891" t="s">
        <v>168</v>
      </c>
      <c r="F3891">
        <v>2010</v>
      </c>
      <c r="G3891">
        <v>681.60379999999998</v>
      </c>
    </row>
    <row r="3892" spans="5:7" x14ac:dyDescent="0.75">
      <c r="E3892" t="s">
        <v>168</v>
      </c>
      <c r="F3892">
        <v>2011</v>
      </c>
      <c r="G3892">
        <v>681.50684000000001</v>
      </c>
    </row>
    <row r="3893" spans="5:7" x14ac:dyDescent="0.75">
      <c r="E3893" t="s">
        <v>168</v>
      </c>
      <c r="F3893">
        <v>2012</v>
      </c>
      <c r="G3893">
        <v>682.01750000000004</v>
      </c>
    </row>
    <row r="3894" spans="5:7" x14ac:dyDescent="0.75">
      <c r="E3894" t="s">
        <v>168</v>
      </c>
      <c r="F3894">
        <v>2013</v>
      </c>
      <c r="G3894">
        <v>682.10530000000006</v>
      </c>
    </row>
    <row r="3895" spans="5:7" x14ac:dyDescent="0.75">
      <c r="E3895" t="s">
        <v>168</v>
      </c>
      <c r="F3895">
        <v>2014</v>
      </c>
      <c r="G3895">
        <v>681.19024999999999</v>
      </c>
    </row>
    <row r="3896" spans="5:7" x14ac:dyDescent="0.75">
      <c r="E3896" t="s">
        <v>168</v>
      </c>
      <c r="F3896">
        <v>2015</v>
      </c>
      <c r="G3896">
        <v>681.29570000000001</v>
      </c>
    </row>
    <row r="3897" spans="5:7" x14ac:dyDescent="0.75">
      <c r="E3897" t="s">
        <v>168</v>
      </c>
      <c r="F3897">
        <v>2016</v>
      </c>
      <c r="G3897">
        <v>681.52869999999996</v>
      </c>
    </row>
    <row r="3898" spans="5:7" x14ac:dyDescent="0.75">
      <c r="E3898" t="s">
        <v>168</v>
      </c>
      <c r="F3898">
        <v>2017</v>
      </c>
      <c r="G3898">
        <v>681.33050000000003</v>
      </c>
    </row>
    <row r="3899" spans="5:7" x14ac:dyDescent="0.75">
      <c r="E3899" t="s">
        <v>168</v>
      </c>
      <c r="F3899">
        <v>2018</v>
      </c>
      <c r="G3899">
        <v>681.47349999999994</v>
      </c>
    </row>
    <row r="3900" spans="5:7" x14ac:dyDescent="0.75">
      <c r="E3900" t="s">
        <v>168</v>
      </c>
      <c r="F3900">
        <v>2019</v>
      </c>
      <c r="G3900">
        <v>681.52170000000001</v>
      </c>
    </row>
    <row r="3901" spans="5:7" x14ac:dyDescent="0.75">
      <c r="E3901" t="s">
        <v>168</v>
      </c>
      <c r="F3901">
        <v>2020</v>
      </c>
      <c r="G3901">
        <v>681.47349999999994</v>
      </c>
    </row>
    <row r="3902" spans="5:7" x14ac:dyDescent="0.75">
      <c r="E3902" t="s">
        <v>168</v>
      </c>
      <c r="F3902">
        <v>2021</v>
      </c>
      <c r="G3902">
        <v>681.76909999999998</v>
      </c>
    </row>
    <row r="3903" spans="5:7" x14ac:dyDescent="0.75">
      <c r="E3903" t="s">
        <v>168</v>
      </c>
      <c r="F3903">
        <v>2022</v>
      </c>
      <c r="G3903">
        <v>682.10530000000006</v>
      </c>
    </row>
    <row r="3904" spans="5:7" x14ac:dyDescent="0.75">
      <c r="E3904" t="s">
        <v>168</v>
      </c>
      <c r="F3904">
        <v>2023</v>
      </c>
      <c r="G3904">
        <v>682.10530000000006</v>
      </c>
    </row>
    <row r="3905" spans="5:7" x14ac:dyDescent="0.75">
      <c r="E3905" t="s">
        <v>169</v>
      </c>
      <c r="F3905">
        <v>2000</v>
      </c>
      <c r="G3905">
        <v>586.40229999999997</v>
      </c>
    </row>
    <row r="3906" spans="5:7" x14ac:dyDescent="0.75">
      <c r="E3906" t="s">
        <v>169</v>
      </c>
      <c r="F3906">
        <v>2001</v>
      </c>
      <c r="G3906">
        <v>586.11596999999995</v>
      </c>
    </row>
    <row r="3907" spans="5:7" x14ac:dyDescent="0.75">
      <c r="E3907" t="s">
        <v>169</v>
      </c>
      <c r="F3907">
        <v>2002</v>
      </c>
      <c r="G3907">
        <v>584.45950000000005</v>
      </c>
    </row>
    <row r="3908" spans="5:7" x14ac:dyDescent="0.75">
      <c r="E3908" t="s">
        <v>169</v>
      </c>
      <c r="F3908">
        <v>2003</v>
      </c>
      <c r="G3908">
        <v>572.69506999999999</v>
      </c>
    </row>
    <row r="3909" spans="5:7" x14ac:dyDescent="0.75">
      <c r="E3909" t="s">
        <v>169</v>
      </c>
      <c r="F3909">
        <v>2004</v>
      </c>
      <c r="G3909">
        <v>573.34450000000004</v>
      </c>
    </row>
    <row r="3910" spans="5:7" x14ac:dyDescent="0.75">
      <c r="E3910" t="s">
        <v>169</v>
      </c>
      <c r="F3910">
        <v>2005</v>
      </c>
      <c r="G3910">
        <v>574.24963000000002</v>
      </c>
    </row>
    <row r="3911" spans="5:7" x14ac:dyDescent="0.75">
      <c r="E3911" t="s">
        <v>169</v>
      </c>
      <c r="F3911">
        <v>2006</v>
      </c>
      <c r="G3911">
        <v>581.48429999999996</v>
      </c>
    </row>
    <row r="3912" spans="5:7" x14ac:dyDescent="0.75">
      <c r="E3912" t="s">
        <v>169</v>
      </c>
      <c r="F3912">
        <v>2007</v>
      </c>
      <c r="G3912">
        <v>585.88070000000005</v>
      </c>
    </row>
    <row r="3913" spans="5:7" x14ac:dyDescent="0.75">
      <c r="E3913" t="s">
        <v>169</v>
      </c>
      <c r="F3913">
        <v>2008</v>
      </c>
      <c r="G3913">
        <v>582.46343999999999</v>
      </c>
    </row>
    <row r="3914" spans="5:7" x14ac:dyDescent="0.75">
      <c r="E3914" t="s">
        <v>169</v>
      </c>
      <c r="F3914">
        <v>2009</v>
      </c>
      <c r="G3914">
        <v>577.32635000000005</v>
      </c>
    </row>
    <row r="3915" spans="5:7" x14ac:dyDescent="0.75">
      <c r="E3915" t="s">
        <v>169</v>
      </c>
      <c r="F3915">
        <v>2010</v>
      </c>
      <c r="G3915">
        <v>574.5752</v>
      </c>
    </row>
    <row r="3916" spans="5:7" x14ac:dyDescent="0.75">
      <c r="E3916" t="s">
        <v>169</v>
      </c>
      <c r="F3916">
        <v>2011</v>
      </c>
      <c r="G3916">
        <v>576.07366999999999</v>
      </c>
    </row>
    <row r="3917" spans="5:7" x14ac:dyDescent="0.75">
      <c r="E3917" t="s">
        <v>169</v>
      </c>
      <c r="F3917">
        <v>2012</v>
      </c>
      <c r="G3917">
        <v>571.18830000000003</v>
      </c>
    </row>
    <row r="3918" spans="5:7" x14ac:dyDescent="0.75">
      <c r="E3918" t="s">
        <v>169</v>
      </c>
      <c r="F3918">
        <v>2013</v>
      </c>
      <c r="G3918">
        <v>568.35724000000005</v>
      </c>
    </row>
    <row r="3919" spans="5:7" x14ac:dyDescent="0.75">
      <c r="E3919" t="s">
        <v>169</v>
      </c>
      <c r="F3919">
        <v>2014</v>
      </c>
      <c r="G3919">
        <v>564.57569999999998</v>
      </c>
    </row>
    <row r="3920" spans="5:7" x14ac:dyDescent="0.75">
      <c r="E3920" t="s">
        <v>169</v>
      </c>
      <c r="F3920">
        <v>2015</v>
      </c>
      <c r="G3920">
        <v>567.76184000000001</v>
      </c>
    </row>
    <row r="3921" spans="5:7" x14ac:dyDescent="0.75">
      <c r="E3921" t="s">
        <v>169</v>
      </c>
      <c r="F3921">
        <v>2016</v>
      </c>
      <c r="G3921">
        <v>563.42340000000002</v>
      </c>
    </row>
    <row r="3922" spans="5:7" x14ac:dyDescent="0.75">
      <c r="E3922" t="s">
        <v>169</v>
      </c>
      <c r="F3922">
        <v>2017</v>
      </c>
      <c r="G3922">
        <v>566.08356000000003</v>
      </c>
    </row>
    <row r="3923" spans="5:7" x14ac:dyDescent="0.75">
      <c r="E3923" t="s">
        <v>169</v>
      </c>
      <c r="F3923">
        <v>2018</v>
      </c>
      <c r="G3923">
        <v>567.39959999999996</v>
      </c>
    </row>
    <row r="3924" spans="5:7" x14ac:dyDescent="0.75">
      <c r="E3924" t="s">
        <v>169</v>
      </c>
      <c r="F3924">
        <v>2019</v>
      </c>
      <c r="G3924">
        <v>564.94090000000006</v>
      </c>
    </row>
    <row r="3925" spans="5:7" x14ac:dyDescent="0.75">
      <c r="E3925" t="s">
        <v>169</v>
      </c>
      <c r="F3925">
        <v>2020</v>
      </c>
      <c r="G3925">
        <v>564.54629999999997</v>
      </c>
    </row>
    <row r="3926" spans="5:7" x14ac:dyDescent="0.75">
      <c r="E3926" t="s">
        <v>169</v>
      </c>
      <c r="F3926">
        <v>2021</v>
      </c>
      <c r="G3926">
        <v>564.38354000000004</v>
      </c>
    </row>
    <row r="3927" spans="5:7" x14ac:dyDescent="0.75">
      <c r="E3927" t="s">
        <v>169</v>
      </c>
      <c r="F3927">
        <v>2022</v>
      </c>
      <c r="G3927">
        <v>565.62354000000005</v>
      </c>
    </row>
    <row r="3928" spans="5:7" x14ac:dyDescent="0.75">
      <c r="E3928" t="s">
        <v>169</v>
      </c>
      <c r="F3928">
        <v>2023</v>
      </c>
      <c r="G3928">
        <v>560.35699999999997</v>
      </c>
    </row>
    <row r="3929" spans="5:7" x14ac:dyDescent="0.75">
      <c r="E3929" t="s">
        <v>169</v>
      </c>
      <c r="F3929">
        <v>2024</v>
      </c>
      <c r="G3929">
        <v>560.24963000000002</v>
      </c>
    </row>
    <row r="3930" spans="5:7" x14ac:dyDescent="0.75">
      <c r="E3930" t="s">
        <v>170</v>
      </c>
      <c r="F3930">
        <v>2000</v>
      </c>
      <c r="G3930">
        <v>574.1277</v>
      </c>
    </row>
    <row r="3931" spans="5:7" x14ac:dyDescent="0.75">
      <c r="E3931" t="s">
        <v>170</v>
      </c>
      <c r="F3931">
        <v>2001</v>
      </c>
      <c r="G3931">
        <v>605.28467000000001</v>
      </c>
    </row>
    <row r="3932" spans="5:7" x14ac:dyDescent="0.75">
      <c r="E3932" t="s">
        <v>170</v>
      </c>
      <c r="F3932">
        <v>2002</v>
      </c>
      <c r="G3932">
        <v>536.4316</v>
      </c>
    </row>
    <row r="3933" spans="5:7" x14ac:dyDescent="0.75">
      <c r="E3933" t="s">
        <v>170</v>
      </c>
      <c r="F3933">
        <v>2003</v>
      </c>
      <c r="G3933">
        <v>524.79579999999999</v>
      </c>
    </row>
    <row r="3934" spans="5:7" x14ac:dyDescent="0.75">
      <c r="E3934" t="s">
        <v>170</v>
      </c>
      <c r="F3934">
        <v>2004</v>
      </c>
      <c r="G3934">
        <v>494.22372000000001</v>
      </c>
    </row>
    <row r="3935" spans="5:7" x14ac:dyDescent="0.75">
      <c r="E3935" t="s">
        <v>170</v>
      </c>
      <c r="F3935">
        <v>2005</v>
      </c>
      <c r="G3935">
        <v>543.58720000000005</v>
      </c>
    </row>
    <row r="3936" spans="5:7" x14ac:dyDescent="0.75">
      <c r="E3936" t="s">
        <v>170</v>
      </c>
      <c r="F3936">
        <v>2006</v>
      </c>
      <c r="G3936">
        <v>537.47519999999997</v>
      </c>
    </row>
    <row r="3937" spans="5:7" x14ac:dyDescent="0.75">
      <c r="E3937" t="s">
        <v>170</v>
      </c>
      <c r="F3937">
        <v>2007</v>
      </c>
      <c r="G3937">
        <v>577.79864999999995</v>
      </c>
    </row>
    <row r="3938" spans="5:7" x14ac:dyDescent="0.75">
      <c r="E3938" t="s">
        <v>170</v>
      </c>
      <c r="F3938">
        <v>2008</v>
      </c>
      <c r="G3938">
        <v>593.53734999999995</v>
      </c>
    </row>
    <row r="3939" spans="5:7" x14ac:dyDescent="0.75">
      <c r="E3939" t="s">
        <v>170</v>
      </c>
      <c r="F3939">
        <v>2009</v>
      </c>
      <c r="G3939">
        <v>577.02380000000005</v>
      </c>
    </row>
    <row r="3940" spans="5:7" x14ac:dyDescent="0.75">
      <c r="E3940" t="s">
        <v>170</v>
      </c>
      <c r="F3940">
        <v>2010</v>
      </c>
      <c r="G3940">
        <v>525.04974000000004</v>
      </c>
    </row>
    <row r="3941" spans="5:7" x14ac:dyDescent="0.75">
      <c r="E3941" t="s">
        <v>170</v>
      </c>
      <c r="F3941">
        <v>2011</v>
      </c>
      <c r="G3941">
        <v>541.00005999999996</v>
      </c>
    </row>
    <row r="3942" spans="5:7" x14ac:dyDescent="0.75">
      <c r="E3942" t="s">
        <v>170</v>
      </c>
      <c r="F3942">
        <v>2012</v>
      </c>
      <c r="G3942">
        <v>527.78819999999996</v>
      </c>
    </row>
    <row r="3943" spans="5:7" x14ac:dyDescent="0.75">
      <c r="E3943" t="s">
        <v>170</v>
      </c>
      <c r="F3943">
        <v>2013</v>
      </c>
      <c r="G3943">
        <v>509.97296</v>
      </c>
    </row>
    <row r="3944" spans="5:7" x14ac:dyDescent="0.75">
      <c r="E3944" t="s">
        <v>170</v>
      </c>
      <c r="F3944">
        <v>2014</v>
      </c>
      <c r="G3944">
        <v>567.25543000000005</v>
      </c>
    </row>
    <row r="3945" spans="5:7" x14ac:dyDescent="0.75">
      <c r="E3945" t="s">
        <v>170</v>
      </c>
      <c r="F3945">
        <v>2015</v>
      </c>
      <c r="G3945">
        <v>504.64150000000001</v>
      </c>
    </row>
    <row r="3946" spans="5:7" x14ac:dyDescent="0.75">
      <c r="E3946" t="s">
        <v>170</v>
      </c>
      <c r="F3946">
        <v>2016</v>
      </c>
      <c r="G3946">
        <v>522.77700000000004</v>
      </c>
    </row>
    <row r="3947" spans="5:7" x14ac:dyDescent="0.75">
      <c r="E3947" t="s">
        <v>170</v>
      </c>
      <c r="F3947">
        <v>2017</v>
      </c>
      <c r="G3947">
        <v>534.29309999999998</v>
      </c>
    </row>
    <row r="3948" spans="5:7" x14ac:dyDescent="0.75">
      <c r="E3948" t="s">
        <v>170</v>
      </c>
      <c r="F3948">
        <v>2018</v>
      </c>
      <c r="G3948">
        <v>541.86239999999998</v>
      </c>
    </row>
    <row r="3949" spans="5:7" x14ac:dyDescent="0.75">
      <c r="E3949" t="s">
        <v>170</v>
      </c>
      <c r="F3949">
        <v>2019</v>
      </c>
      <c r="G3949">
        <v>488.44027999999997</v>
      </c>
    </row>
    <row r="3950" spans="5:7" x14ac:dyDescent="0.75">
      <c r="E3950" t="s">
        <v>170</v>
      </c>
      <c r="F3950">
        <v>2020</v>
      </c>
      <c r="G3950">
        <v>482.45031999999998</v>
      </c>
    </row>
    <row r="3951" spans="5:7" x14ac:dyDescent="0.75">
      <c r="E3951" t="s">
        <v>170</v>
      </c>
      <c r="F3951">
        <v>2021</v>
      </c>
      <c r="G3951">
        <v>500.60995000000003</v>
      </c>
    </row>
    <row r="3952" spans="5:7" x14ac:dyDescent="0.75">
      <c r="E3952" t="s">
        <v>170</v>
      </c>
      <c r="F3952">
        <v>2022</v>
      </c>
      <c r="G3952">
        <v>487.89618000000002</v>
      </c>
    </row>
    <row r="3953" spans="5:7" x14ac:dyDescent="0.75">
      <c r="E3953" t="s">
        <v>170</v>
      </c>
      <c r="F3953">
        <v>2023</v>
      </c>
      <c r="G3953">
        <v>493.69900000000001</v>
      </c>
    </row>
    <row r="3954" spans="5:7" x14ac:dyDescent="0.75">
      <c r="E3954" t="s">
        <v>170</v>
      </c>
      <c r="F3954">
        <v>2024</v>
      </c>
      <c r="G3954">
        <v>469.697</v>
      </c>
    </row>
    <row r="3955" spans="5:7" x14ac:dyDescent="0.75">
      <c r="E3955" t="s">
        <v>171</v>
      </c>
      <c r="F3955">
        <v>2000</v>
      </c>
      <c r="G3955">
        <v>1306.5989</v>
      </c>
    </row>
    <row r="3956" spans="5:7" x14ac:dyDescent="0.75">
      <c r="E3956" t="s">
        <v>171</v>
      </c>
      <c r="F3956">
        <v>2001</v>
      </c>
      <c r="G3956">
        <v>1306.3148000000001</v>
      </c>
    </row>
    <row r="3957" spans="5:7" x14ac:dyDescent="0.75">
      <c r="E3957" t="s">
        <v>171</v>
      </c>
      <c r="F3957">
        <v>2002</v>
      </c>
      <c r="G3957">
        <v>1306.5419999999999</v>
      </c>
    </row>
    <row r="3958" spans="5:7" x14ac:dyDescent="0.75">
      <c r="E3958" t="s">
        <v>171</v>
      </c>
      <c r="F3958">
        <v>2003</v>
      </c>
      <c r="G3958">
        <v>1306.4813999999999</v>
      </c>
    </row>
    <row r="3959" spans="5:7" x14ac:dyDescent="0.75">
      <c r="E3959" t="s">
        <v>171</v>
      </c>
      <c r="F3959">
        <v>2004</v>
      </c>
      <c r="G3959">
        <v>1306.2080000000001</v>
      </c>
    </row>
    <row r="3960" spans="5:7" x14ac:dyDescent="0.75">
      <c r="E3960" t="s">
        <v>171</v>
      </c>
      <c r="F3960">
        <v>2005</v>
      </c>
      <c r="G3960">
        <v>1306.5522000000001</v>
      </c>
    </row>
    <row r="3961" spans="5:7" x14ac:dyDescent="0.75">
      <c r="E3961" t="s">
        <v>171</v>
      </c>
      <c r="F3961">
        <v>2006</v>
      </c>
      <c r="G3961">
        <v>1306.2272</v>
      </c>
    </row>
    <row r="3962" spans="5:7" x14ac:dyDescent="0.75">
      <c r="E3962" t="s">
        <v>171</v>
      </c>
      <c r="F3962">
        <v>2007</v>
      </c>
      <c r="G3962">
        <v>1306.4517000000001</v>
      </c>
    </row>
    <row r="3963" spans="5:7" x14ac:dyDescent="0.75">
      <c r="E3963" t="s">
        <v>171</v>
      </c>
      <c r="F3963">
        <v>2008</v>
      </c>
      <c r="G3963">
        <v>1306.5160000000001</v>
      </c>
    </row>
    <row r="3964" spans="5:7" x14ac:dyDescent="0.75">
      <c r="E3964" t="s">
        <v>171</v>
      </c>
      <c r="F3964">
        <v>2009</v>
      </c>
      <c r="G3964">
        <v>1306.6333</v>
      </c>
    </row>
    <row r="3965" spans="5:7" x14ac:dyDescent="0.75">
      <c r="E3965" t="s">
        <v>171</v>
      </c>
      <c r="F3965">
        <v>2010</v>
      </c>
      <c r="G3965">
        <v>1306.7228</v>
      </c>
    </row>
    <row r="3966" spans="5:7" x14ac:dyDescent="0.75">
      <c r="E3966" t="s">
        <v>171</v>
      </c>
      <c r="F3966">
        <v>2011</v>
      </c>
      <c r="G3966">
        <v>1306.6202000000001</v>
      </c>
    </row>
    <row r="3967" spans="5:7" x14ac:dyDescent="0.75">
      <c r="E3967" t="s">
        <v>171</v>
      </c>
      <c r="F3967">
        <v>2012</v>
      </c>
      <c r="G3967">
        <v>1306.4789000000001</v>
      </c>
    </row>
    <row r="3968" spans="5:7" x14ac:dyDescent="0.75">
      <c r="E3968" t="s">
        <v>171</v>
      </c>
      <c r="F3968">
        <v>2013</v>
      </c>
      <c r="G3968">
        <v>1306.3063</v>
      </c>
    </row>
    <row r="3969" spans="5:7" x14ac:dyDescent="0.75">
      <c r="E3969" t="s">
        <v>171</v>
      </c>
      <c r="F3969">
        <v>2014</v>
      </c>
      <c r="G3969">
        <v>1306.3725999999999</v>
      </c>
    </row>
    <row r="3970" spans="5:7" x14ac:dyDescent="0.75">
      <c r="E3970" t="s">
        <v>171</v>
      </c>
      <c r="F3970">
        <v>2015</v>
      </c>
      <c r="G3970">
        <v>1306.7021</v>
      </c>
    </row>
    <row r="3971" spans="5:7" x14ac:dyDescent="0.75">
      <c r="E3971" t="s">
        <v>171</v>
      </c>
      <c r="F3971">
        <v>2016</v>
      </c>
      <c r="G3971">
        <v>1306.7021</v>
      </c>
    </row>
    <row r="3972" spans="5:7" x14ac:dyDescent="0.75">
      <c r="E3972" t="s">
        <v>171</v>
      </c>
      <c r="F3972">
        <v>2017</v>
      </c>
      <c r="G3972">
        <v>1306.4042999999999</v>
      </c>
    </row>
    <row r="3973" spans="5:7" x14ac:dyDescent="0.75">
      <c r="E3973" t="s">
        <v>171</v>
      </c>
      <c r="F3973">
        <v>2018</v>
      </c>
      <c r="G3973">
        <v>1306.3880999999999</v>
      </c>
    </row>
    <row r="3974" spans="5:7" x14ac:dyDescent="0.75">
      <c r="E3974" t="s">
        <v>171</v>
      </c>
      <c r="F3974">
        <v>2019</v>
      </c>
      <c r="G3974">
        <v>1306.6666</v>
      </c>
    </row>
    <row r="3975" spans="5:7" x14ac:dyDescent="0.75">
      <c r="E3975" t="s">
        <v>171</v>
      </c>
      <c r="F3975">
        <v>2020</v>
      </c>
      <c r="G3975">
        <v>1306.6769999999999</v>
      </c>
    </row>
    <row r="3976" spans="5:7" x14ac:dyDescent="0.75">
      <c r="E3976" t="s">
        <v>171</v>
      </c>
      <c r="F3976">
        <v>2021</v>
      </c>
      <c r="G3976">
        <v>1305.9860000000001</v>
      </c>
    </row>
    <row r="3977" spans="5:7" x14ac:dyDescent="0.75">
      <c r="E3977" t="s">
        <v>171</v>
      </c>
      <c r="F3977">
        <v>2022</v>
      </c>
      <c r="G3977">
        <v>1306.1351</v>
      </c>
    </row>
    <row r="3978" spans="5:7" x14ac:dyDescent="0.75">
      <c r="E3978" t="s">
        <v>171</v>
      </c>
      <c r="F3978">
        <v>2023</v>
      </c>
      <c r="G3978">
        <v>1306.3036</v>
      </c>
    </row>
    <row r="3979" spans="5:7" x14ac:dyDescent="0.75">
      <c r="E3979" t="s">
        <v>172</v>
      </c>
      <c r="F3979">
        <v>2000</v>
      </c>
      <c r="G3979">
        <v>37.735847</v>
      </c>
    </row>
    <row r="3980" spans="5:7" x14ac:dyDescent="0.75">
      <c r="E3980" t="s">
        <v>172</v>
      </c>
      <c r="F3980">
        <v>2001</v>
      </c>
      <c r="G3980">
        <v>37.735847</v>
      </c>
    </row>
    <row r="3981" spans="5:7" x14ac:dyDescent="0.75">
      <c r="E3981" t="s">
        <v>172</v>
      </c>
      <c r="F3981">
        <v>2002</v>
      </c>
      <c r="G3981">
        <v>34.883719999999997</v>
      </c>
    </row>
    <row r="3982" spans="5:7" x14ac:dyDescent="0.75">
      <c r="E3982" t="s">
        <v>172</v>
      </c>
      <c r="F3982">
        <v>2003</v>
      </c>
      <c r="G3982">
        <v>33.333331999999999</v>
      </c>
    </row>
    <row r="3983" spans="5:7" x14ac:dyDescent="0.75">
      <c r="E3983" t="s">
        <v>172</v>
      </c>
      <c r="F3983">
        <v>2004</v>
      </c>
      <c r="G3983">
        <v>25.773195000000001</v>
      </c>
    </row>
    <row r="3984" spans="5:7" x14ac:dyDescent="0.75">
      <c r="E3984" t="s">
        <v>172</v>
      </c>
      <c r="F3984">
        <v>2005</v>
      </c>
      <c r="G3984">
        <v>51.020409999999998</v>
      </c>
    </row>
    <row r="3985" spans="5:7" x14ac:dyDescent="0.75">
      <c r="E3985" t="s">
        <v>172</v>
      </c>
      <c r="F3985">
        <v>2006</v>
      </c>
      <c r="G3985">
        <v>181.24997999999999</v>
      </c>
    </row>
    <row r="3986" spans="5:7" x14ac:dyDescent="0.75">
      <c r="E3986" t="s">
        <v>172</v>
      </c>
      <c r="F3986">
        <v>2007</v>
      </c>
      <c r="G3986">
        <v>200</v>
      </c>
    </row>
    <row r="3987" spans="5:7" x14ac:dyDescent="0.75">
      <c r="E3987" t="s">
        <v>172</v>
      </c>
      <c r="F3987">
        <v>2008</v>
      </c>
      <c r="G3987">
        <v>193.13303999999999</v>
      </c>
    </row>
    <row r="3988" spans="5:7" x14ac:dyDescent="0.75">
      <c r="E3988" t="s">
        <v>172</v>
      </c>
      <c r="F3988">
        <v>2009</v>
      </c>
      <c r="G3988">
        <v>264.46280000000002</v>
      </c>
    </row>
    <row r="3989" spans="5:7" x14ac:dyDescent="0.75">
      <c r="E3989" t="s">
        <v>172</v>
      </c>
      <c r="F3989">
        <v>2010</v>
      </c>
      <c r="G3989">
        <v>291.9708</v>
      </c>
    </row>
    <row r="3990" spans="5:7" x14ac:dyDescent="0.75">
      <c r="E3990" t="s">
        <v>172</v>
      </c>
      <c r="F3990">
        <v>2011</v>
      </c>
      <c r="G3990">
        <v>278.19549999999998</v>
      </c>
    </row>
    <row r="3991" spans="5:7" x14ac:dyDescent="0.75">
      <c r="E3991" t="s">
        <v>172</v>
      </c>
      <c r="F3991">
        <v>2012</v>
      </c>
      <c r="G3991">
        <v>96.551720000000003</v>
      </c>
    </row>
    <row r="3992" spans="5:7" x14ac:dyDescent="0.75">
      <c r="E3992" t="s">
        <v>172</v>
      </c>
      <c r="F3992">
        <v>2013</v>
      </c>
      <c r="G3992">
        <v>35.830620000000003</v>
      </c>
    </row>
    <row r="3993" spans="5:7" x14ac:dyDescent="0.75">
      <c r="E3993" t="s">
        <v>172</v>
      </c>
      <c r="F3993">
        <v>2014</v>
      </c>
      <c r="G3993">
        <v>55.727553999999998</v>
      </c>
    </row>
    <row r="3994" spans="5:7" x14ac:dyDescent="0.75">
      <c r="E3994" t="s">
        <v>172</v>
      </c>
      <c r="F3994">
        <v>2015</v>
      </c>
      <c r="G3994">
        <v>56.338028000000001</v>
      </c>
    </row>
    <row r="3995" spans="5:7" x14ac:dyDescent="0.75">
      <c r="E3995" t="s">
        <v>172</v>
      </c>
      <c r="F3995">
        <v>2016</v>
      </c>
      <c r="G3995">
        <v>55.702914999999997</v>
      </c>
    </row>
    <row r="3996" spans="5:7" x14ac:dyDescent="0.75">
      <c r="E3996" t="s">
        <v>172</v>
      </c>
      <c r="F3996">
        <v>2017</v>
      </c>
      <c r="G3996">
        <v>47.619050000000001</v>
      </c>
    </row>
    <row r="3997" spans="5:7" x14ac:dyDescent="0.75">
      <c r="E3997" t="s">
        <v>172</v>
      </c>
      <c r="F3997">
        <v>2018</v>
      </c>
      <c r="G3997">
        <v>81.395349999999993</v>
      </c>
    </row>
    <row r="3998" spans="5:7" x14ac:dyDescent="0.75">
      <c r="E3998" t="s">
        <v>172</v>
      </c>
      <c r="F3998">
        <v>2019</v>
      </c>
      <c r="G3998">
        <v>56.768560000000001</v>
      </c>
    </row>
    <row r="3999" spans="5:7" x14ac:dyDescent="0.75">
      <c r="E3999" t="s">
        <v>172</v>
      </c>
      <c r="F3999">
        <v>2020</v>
      </c>
      <c r="G3999">
        <v>54.347828</v>
      </c>
    </row>
    <row r="4000" spans="5:7" x14ac:dyDescent="0.75">
      <c r="E4000" t="s">
        <v>172</v>
      </c>
      <c r="F4000">
        <v>2021</v>
      </c>
      <c r="G4000">
        <v>55.028460000000003</v>
      </c>
    </row>
    <row r="4001" spans="5:7" x14ac:dyDescent="0.75">
      <c r="E4001" t="s">
        <v>172</v>
      </c>
      <c r="F4001">
        <v>2022</v>
      </c>
      <c r="G4001">
        <v>57.391308000000002</v>
      </c>
    </row>
    <row r="4002" spans="5:7" x14ac:dyDescent="0.75">
      <c r="E4002" t="s">
        <v>173</v>
      </c>
      <c r="F4002">
        <v>2000</v>
      </c>
      <c r="G4002">
        <v>402.40924000000001</v>
      </c>
    </row>
    <row r="4003" spans="5:7" x14ac:dyDescent="0.75">
      <c r="E4003" t="s">
        <v>173</v>
      </c>
      <c r="F4003">
        <v>2001</v>
      </c>
      <c r="G4003">
        <v>408.77087</v>
      </c>
    </row>
    <row r="4004" spans="5:7" x14ac:dyDescent="0.75">
      <c r="E4004" t="s">
        <v>173</v>
      </c>
      <c r="F4004">
        <v>2002</v>
      </c>
      <c r="G4004">
        <v>414.12400000000002</v>
      </c>
    </row>
    <row r="4005" spans="5:7" x14ac:dyDescent="0.75">
      <c r="E4005" t="s">
        <v>173</v>
      </c>
      <c r="F4005">
        <v>2003</v>
      </c>
      <c r="G4005">
        <v>410.67673000000002</v>
      </c>
    </row>
    <row r="4006" spans="5:7" x14ac:dyDescent="0.75">
      <c r="E4006" t="s">
        <v>173</v>
      </c>
      <c r="F4006">
        <v>2004</v>
      </c>
      <c r="G4006">
        <v>368.06621999999999</v>
      </c>
    </row>
    <row r="4007" spans="5:7" x14ac:dyDescent="0.75">
      <c r="E4007" t="s">
        <v>173</v>
      </c>
      <c r="F4007">
        <v>2005</v>
      </c>
      <c r="G4007">
        <v>374.80549999999999</v>
      </c>
    </row>
    <row r="4008" spans="5:7" x14ac:dyDescent="0.75">
      <c r="E4008" t="s">
        <v>173</v>
      </c>
      <c r="F4008">
        <v>2006</v>
      </c>
      <c r="G4008">
        <v>404.21465999999998</v>
      </c>
    </row>
    <row r="4009" spans="5:7" x14ac:dyDescent="0.75">
      <c r="E4009" t="s">
        <v>173</v>
      </c>
      <c r="F4009">
        <v>2007</v>
      </c>
      <c r="G4009">
        <v>416</v>
      </c>
    </row>
    <row r="4010" spans="5:7" x14ac:dyDescent="0.75">
      <c r="E4010" t="s">
        <v>173</v>
      </c>
      <c r="F4010">
        <v>2008</v>
      </c>
      <c r="G4010">
        <v>417.90427</v>
      </c>
    </row>
    <row r="4011" spans="5:7" x14ac:dyDescent="0.75">
      <c r="E4011" t="s">
        <v>173</v>
      </c>
      <c r="F4011">
        <v>2009</v>
      </c>
      <c r="G4011">
        <v>409.59622000000002</v>
      </c>
    </row>
    <row r="4012" spans="5:7" x14ac:dyDescent="0.75">
      <c r="E4012" t="s">
        <v>173</v>
      </c>
      <c r="F4012">
        <v>2010</v>
      </c>
      <c r="G4012">
        <v>409.80826000000002</v>
      </c>
    </row>
    <row r="4013" spans="5:7" x14ac:dyDescent="0.75">
      <c r="E4013" t="s">
        <v>173</v>
      </c>
      <c r="F4013">
        <v>2011</v>
      </c>
      <c r="G4013">
        <v>427.54552999999999</v>
      </c>
    </row>
    <row r="4014" spans="5:7" x14ac:dyDescent="0.75">
      <c r="E4014" t="s">
        <v>173</v>
      </c>
      <c r="F4014">
        <v>2012</v>
      </c>
      <c r="G4014">
        <v>441.82422000000003</v>
      </c>
    </row>
    <row r="4015" spans="5:7" x14ac:dyDescent="0.75">
      <c r="E4015" t="s">
        <v>173</v>
      </c>
      <c r="F4015">
        <v>2013</v>
      </c>
      <c r="G4015">
        <v>448.93761999999998</v>
      </c>
    </row>
    <row r="4016" spans="5:7" x14ac:dyDescent="0.75">
      <c r="E4016" t="s">
        <v>173</v>
      </c>
      <c r="F4016">
        <v>2014</v>
      </c>
      <c r="G4016">
        <v>417.62387000000001</v>
      </c>
    </row>
    <row r="4017" spans="5:7" x14ac:dyDescent="0.75">
      <c r="E4017" t="s">
        <v>173</v>
      </c>
      <c r="F4017">
        <v>2015</v>
      </c>
      <c r="G4017">
        <v>380.07089999999999</v>
      </c>
    </row>
    <row r="4018" spans="5:7" x14ac:dyDescent="0.75">
      <c r="E4018" t="s">
        <v>173</v>
      </c>
      <c r="F4018">
        <v>2016</v>
      </c>
      <c r="G4018">
        <v>408.43360000000001</v>
      </c>
    </row>
    <row r="4019" spans="5:7" x14ac:dyDescent="0.75">
      <c r="E4019" t="s">
        <v>173</v>
      </c>
      <c r="F4019">
        <v>2017</v>
      </c>
      <c r="G4019">
        <v>347.15456999999998</v>
      </c>
    </row>
    <row r="4020" spans="5:7" x14ac:dyDescent="0.75">
      <c r="E4020" t="s">
        <v>173</v>
      </c>
      <c r="F4020">
        <v>2018</v>
      </c>
      <c r="G4020">
        <v>349.24310000000003</v>
      </c>
    </row>
    <row r="4021" spans="5:7" x14ac:dyDescent="0.75">
      <c r="E4021" t="s">
        <v>173</v>
      </c>
      <c r="F4021">
        <v>2019</v>
      </c>
      <c r="G4021">
        <v>341.50772000000001</v>
      </c>
    </row>
    <row r="4022" spans="5:7" x14ac:dyDescent="0.75">
      <c r="E4022" t="s">
        <v>173</v>
      </c>
      <c r="F4022">
        <v>2020</v>
      </c>
      <c r="G4022">
        <v>325.39416999999997</v>
      </c>
    </row>
    <row r="4023" spans="5:7" x14ac:dyDescent="0.75">
      <c r="E4023" t="s">
        <v>173</v>
      </c>
      <c r="F4023">
        <v>2021</v>
      </c>
      <c r="G4023">
        <v>275.6979</v>
      </c>
    </row>
    <row r="4024" spans="5:7" x14ac:dyDescent="0.75">
      <c r="E4024" t="s">
        <v>173</v>
      </c>
      <c r="F4024">
        <v>2022</v>
      </c>
      <c r="G4024">
        <v>256.21008</v>
      </c>
    </row>
    <row r="4025" spans="5:7" x14ac:dyDescent="0.75">
      <c r="E4025" t="s">
        <v>174</v>
      </c>
      <c r="F4025">
        <v>2000</v>
      </c>
      <c r="G4025">
        <v>676.76520000000005</v>
      </c>
    </row>
    <row r="4026" spans="5:7" x14ac:dyDescent="0.75">
      <c r="E4026" t="s">
        <v>174</v>
      </c>
      <c r="F4026">
        <v>2001</v>
      </c>
      <c r="G4026">
        <v>676.62729999999999</v>
      </c>
    </row>
    <row r="4027" spans="5:7" x14ac:dyDescent="0.75">
      <c r="E4027" t="s">
        <v>174</v>
      </c>
      <c r="F4027">
        <v>2002</v>
      </c>
      <c r="G4027">
        <v>676.84100000000001</v>
      </c>
    </row>
    <row r="4028" spans="5:7" x14ac:dyDescent="0.75">
      <c r="E4028" t="s">
        <v>174</v>
      </c>
      <c r="F4028">
        <v>2003</v>
      </c>
      <c r="G4028">
        <v>676.64306999999997</v>
      </c>
    </row>
    <row r="4029" spans="5:7" x14ac:dyDescent="0.75">
      <c r="E4029" t="s">
        <v>174</v>
      </c>
      <c r="F4029">
        <v>2004</v>
      </c>
      <c r="G4029">
        <v>676.77923999999996</v>
      </c>
    </row>
    <row r="4030" spans="5:7" x14ac:dyDescent="0.75">
      <c r="E4030" t="s">
        <v>174</v>
      </c>
      <c r="F4030">
        <v>2005</v>
      </c>
      <c r="G4030">
        <v>676.77099999999996</v>
      </c>
    </row>
    <row r="4031" spans="5:7" x14ac:dyDescent="0.75">
      <c r="E4031" t="s">
        <v>174</v>
      </c>
      <c r="F4031">
        <v>2006</v>
      </c>
      <c r="G4031">
        <v>676.80975000000001</v>
      </c>
    </row>
    <row r="4032" spans="5:7" x14ac:dyDescent="0.75">
      <c r="E4032" t="s">
        <v>174</v>
      </c>
      <c r="F4032">
        <v>2007</v>
      </c>
      <c r="G4032">
        <v>676.73943999999995</v>
      </c>
    </row>
    <row r="4033" spans="5:7" x14ac:dyDescent="0.75">
      <c r="E4033" t="s">
        <v>174</v>
      </c>
      <c r="F4033">
        <v>2008</v>
      </c>
      <c r="G4033">
        <v>676.73379999999997</v>
      </c>
    </row>
    <row r="4034" spans="5:7" x14ac:dyDescent="0.75">
      <c r="E4034" t="s">
        <v>174</v>
      </c>
      <c r="F4034">
        <v>2009</v>
      </c>
      <c r="G4034">
        <v>676.66283999999996</v>
      </c>
    </row>
    <row r="4035" spans="5:7" x14ac:dyDescent="0.75">
      <c r="E4035" t="s">
        <v>174</v>
      </c>
      <c r="F4035">
        <v>2010</v>
      </c>
      <c r="G4035">
        <v>676.63653999999997</v>
      </c>
    </row>
    <row r="4036" spans="5:7" x14ac:dyDescent="0.75">
      <c r="E4036" t="s">
        <v>174</v>
      </c>
      <c r="F4036">
        <v>2011</v>
      </c>
      <c r="G4036">
        <v>676.58630000000005</v>
      </c>
    </row>
    <row r="4037" spans="5:7" x14ac:dyDescent="0.75">
      <c r="E4037" t="s">
        <v>174</v>
      </c>
      <c r="F4037">
        <v>2012</v>
      </c>
      <c r="G4037">
        <v>676.58416999999997</v>
      </c>
    </row>
    <row r="4038" spans="5:7" x14ac:dyDescent="0.75">
      <c r="E4038" t="s">
        <v>174</v>
      </c>
      <c r="F4038">
        <v>2013</v>
      </c>
      <c r="G4038">
        <v>676.15239999999994</v>
      </c>
    </row>
    <row r="4039" spans="5:7" x14ac:dyDescent="0.75">
      <c r="E4039" t="s">
        <v>174</v>
      </c>
      <c r="F4039">
        <v>2014</v>
      </c>
      <c r="G4039">
        <v>675.04719999999998</v>
      </c>
    </row>
    <row r="4040" spans="5:7" x14ac:dyDescent="0.75">
      <c r="E4040" t="s">
        <v>174</v>
      </c>
      <c r="F4040">
        <v>2015</v>
      </c>
      <c r="G4040">
        <v>675.22375</v>
      </c>
    </row>
    <row r="4041" spans="5:7" x14ac:dyDescent="0.75">
      <c r="E4041" t="s">
        <v>174</v>
      </c>
      <c r="F4041">
        <v>2016</v>
      </c>
      <c r="G4041">
        <v>675.25653</v>
      </c>
    </row>
    <row r="4042" spans="5:7" x14ac:dyDescent="0.75">
      <c r="E4042" t="s">
        <v>174</v>
      </c>
      <c r="F4042">
        <v>2017</v>
      </c>
      <c r="G4042">
        <v>673.25549999999998</v>
      </c>
    </row>
    <row r="4043" spans="5:7" x14ac:dyDescent="0.75">
      <c r="E4043" t="s">
        <v>174</v>
      </c>
      <c r="F4043">
        <v>2018</v>
      </c>
      <c r="G4043">
        <v>671.20069999999998</v>
      </c>
    </row>
    <row r="4044" spans="5:7" x14ac:dyDescent="0.75">
      <c r="E4044" t="s">
        <v>174</v>
      </c>
      <c r="F4044">
        <v>2019</v>
      </c>
      <c r="G4044">
        <v>660.09393</v>
      </c>
    </row>
    <row r="4045" spans="5:7" x14ac:dyDescent="0.75">
      <c r="E4045" t="s">
        <v>174</v>
      </c>
      <c r="F4045">
        <v>2020</v>
      </c>
      <c r="G4045">
        <v>645.69226000000003</v>
      </c>
    </row>
    <row r="4046" spans="5:7" x14ac:dyDescent="0.75">
      <c r="E4046" t="s">
        <v>174</v>
      </c>
      <c r="F4046">
        <v>2021</v>
      </c>
      <c r="G4046">
        <v>605.30023000000006</v>
      </c>
    </row>
    <row r="4047" spans="5:7" x14ac:dyDescent="0.75">
      <c r="E4047" t="s">
        <v>174</v>
      </c>
      <c r="F4047">
        <v>2022</v>
      </c>
      <c r="G4047">
        <v>556.84564</v>
      </c>
    </row>
    <row r="4048" spans="5:7" x14ac:dyDescent="0.75">
      <c r="E4048" t="s">
        <v>174</v>
      </c>
      <c r="F4048">
        <v>2023</v>
      </c>
      <c r="G4048">
        <v>492.69826999999998</v>
      </c>
    </row>
    <row r="4049" spans="5:7" x14ac:dyDescent="0.75">
      <c r="E4049" t="s">
        <v>175</v>
      </c>
      <c r="F4049">
        <v>2000</v>
      </c>
      <c r="G4049">
        <v>521.98590000000002</v>
      </c>
    </row>
    <row r="4050" spans="5:7" x14ac:dyDescent="0.75">
      <c r="E4050" t="s">
        <v>175</v>
      </c>
      <c r="F4050">
        <v>2001</v>
      </c>
      <c r="G4050">
        <v>528.99132999999995</v>
      </c>
    </row>
    <row r="4051" spans="5:7" x14ac:dyDescent="0.75">
      <c r="E4051" t="s">
        <v>175</v>
      </c>
      <c r="F4051">
        <v>2002</v>
      </c>
      <c r="G4051">
        <v>520.89149999999995</v>
      </c>
    </row>
    <row r="4052" spans="5:7" x14ac:dyDescent="0.75">
      <c r="E4052" t="s">
        <v>175</v>
      </c>
      <c r="F4052">
        <v>2003</v>
      </c>
      <c r="G4052">
        <v>536.77710000000002</v>
      </c>
    </row>
    <row r="4053" spans="5:7" x14ac:dyDescent="0.75">
      <c r="E4053" t="s">
        <v>175</v>
      </c>
      <c r="F4053">
        <v>2004</v>
      </c>
      <c r="G4053">
        <v>536.02250000000004</v>
      </c>
    </row>
    <row r="4054" spans="5:7" x14ac:dyDescent="0.75">
      <c r="E4054" t="s">
        <v>175</v>
      </c>
      <c r="F4054">
        <v>2005</v>
      </c>
      <c r="G4054">
        <v>535.25792999999999</v>
      </c>
    </row>
    <row r="4055" spans="5:7" x14ac:dyDescent="0.75">
      <c r="E4055" t="s">
        <v>175</v>
      </c>
      <c r="F4055">
        <v>2006</v>
      </c>
      <c r="G4055">
        <v>559.34249999999997</v>
      </c>
    </row>
    <row r="4056" spans="5:7" x14ac:dyDescent="0.75">
      <c r="E4056" t="s">
        <v>175</v>
      </c>
      <c r="F4056">
        <v>2007</v>
      </c>
      <c r="G4056">
        <v>556.05960000000005</v>
      </c>
    </row>
    <row r="4057" spans="5:7" x14ac:dyDescent="0.75">
      <c r="E4057" t="s">
        <v>175</v>
      </c>
      <c r="F4057">
        <v>2008</v>
      </c>
      <c r="G4057">
        <v>554.37580000000003</v>
      </c>
    </row>
    <row r="4058" spans="5:7" x14ac:dyDescent="0.75">
      <c r="E4058" t="s">
        <v>175</v>
      </c>
      <c r="F4058">
        <v>2009</v>
      </c>
      <c r="G4058">
        <v>504.64487000000003</v>
      </c>
    </row>
    <row r="4059" spans="5:7" x14ac:dyDescent="0.75">
      <c r="E4059" t="s">
        <v>175</v>
      </c>
      <c r="F4059">
        <v>2010</v>
      </c>
      <c r="G4059">
        <v>517.19629999999995</v>
      </c>
    </row>
    <row r="4060" spans="5:7" x14ac:dyDescent="0.75">
      <c r="E4060" t="s">
        <v>175</v>
      </c>
      <c r="F4060">
        <v>2011</v>
      </c>
      <c r="G4060">
        <v>499.63315</v>
      </c>
    </row>
    <row r="4061" spans="5:7" x14ac:dyDescent="0.75">
      <c r="E4061" t="s">
        <v>175</v>
      </c>
      <c r="F4061">
        <v>2012</v>
      </c>
      <c r="G4061">
        <v>537.22484999999995</v>
      </c>
    </row>
    <row r="4062" spans="5:7" x14ac:dyDescent="0.75">
      <c r="E4062" t="s">
        <v>175</v>
      </c>
      <c r="F4062">
        <v>2013</v>
      </c>
      <c r="G4062">
        <v>506.92194000000001</v>
      </c>
    </row>
    <row r="4063" spans="5:7" x14ac:dyDescent="0.75">
      <c r="E4063" t="s">
        <v>175</v>
      </c>
      <c r="F4063">
        <v>2014</v>
      </c>
      <c r="G4063">
        <v>462.87862999999999</v>
      </c>
    </row>
    <row r="4064" spans="5:7" x14ac:dyDescent="0.75">
      <c r="E4064" t="s">
        <v>175</v>
      </c>
      <c r="F4064">
        <v>2015</v>
      </c>
      <c r="G4064">
        <v>397.79266000000001</v>
      </c>
    </row>
    <row r="4065" spans="5:7" x14ac:dyDescent="0.75">
      <c r="E4065" t="s">
        <v>175</v>
      </c>
      <c r="F4065">
        <v>2016</v>
      </c>
      <c r="G4065">
        <v>333.45125999999999</v>
      </c>
    </row>
    <row r="4066" spans="5:7" x14ac:dyDescent="0.75">
      <c r="E4066" t="s">
        <v>175</v>
      </c>
      <c r="F4066">
        <v>2017</v>
      </c>
      <c r="G4066">
        <v>302.19974000000002</v>
      </c>
    </row>
    <row r="4067" spans="5:7" x14ac:dyDescent="0.75">
      <c r="E4067" t="s">
        <v>175</v>
      </c>
      <c r="F4067">
        <v>2018</v>
      </c>
      <c r="G4067">
        <v>285.59870000000001</v>
      </c>
    </row>
    <row r="4068" spans="5:7" x14ac:dyDescent="0.75">
      <c r="E4068" t="s">
        <v>175</v>
      </c>
      <c r="F4068">
        <v>2019</v>
      </c>
      <c r="G4068">
        <v>268.31952000000001</v>
      </c>
    </row>
    <row r="4069" spans="5:7" x14ac:dyDescent="0.75">
      <c r="E4069" t="s">
        <v>175</v>
      </c>
      <c r="F4069">
        <v>2020</v>
      </c>
      <c r="G4069">
        <v>246.68149</v>
      </c>
    </row>
    <row r="4070" spans="5:7" x14ac:dyDescent="0.75">
      <c r="E4070" t="s">
        <v>175</v>
      </c>
      <c r="F4070">
        <v>2021</v>
      </c>
      <c r="G4070">
        <v>268.74313000000001</v>
      </c>
    </row>
    <row r="4071" spans="5:7" x14ac:dyDescent="0.75">
      <c r="E4071" t="s">
        <v>175</v>
      </c>
      <c r="F4071">
        <v>2022</v>
      </c>
      <c r="G4071">
        <v>250.76793000000001</v>
      </c>
    </row>
    <row r="4072" spans="5:7" x14ac:dyDescent="0.75">
      <c r="E4072" t="s">
        <v>175</v>
      </c>
      <c r="F4072">
        <v>2023</v>
      </c>
      <c r="G4072">
        <v>228.24566999999999</v>
      </c>
    </row>
    <row r="4073" spans="5:7" x14ac:dyDescent="0.75">
      <c r="E4073" t="s">
        <v>175</v>
      </c>
      <c r="F4073">
        <v>2024</v>
      </c>
      <c r="G4073">
        <v>210.89114000000001</v>
      </c>
    </row>
    <row r="4074" spans="5:7" x14ac:dyDescent="0.75">
      <c r="E4074" t="s">
        <v>176</v>
      </c>
      <c r="F4074">
        <v>2000</v>
      </c>
      <c r="G4074">
        <v>607.52215999999999</v>
      </c>
    </row>
    <row r="4075" spans="5:7" x14ac:dyDescent="0.75">
      <c r="E4075" t="s">
        <v>176</v>
      </c>
      <c r="F4075">
        <v>2001</v>
      </c>
      <c r="G4075">
        <v>609.89594</v>
      </c>
    </row>
    <row r="4076" spans="5:7" x14ac:dyDescent="0.75">
      <c r="E4076" t="s">
        <v>176</v>
      </c>
      <c r="F4076">
        <v>2002</v>
      </c>
      <c r="G4076">
        <v>600.66125</v>
      </c>
    </row>
    <row r="4077" spans="5:7" x14ac:dyDescent="0.75">
      <c r="E4077" t="s">
        <v>176</v>
      </c>
      <c r="F4077">
        <v>2003</v>
      </c>
      <c r="G4077">
        <v>606.34436000000005</v>
      </c>
    </row>
    <row r="4078" spans="5:7" x14ac:dyDescent="0.75">
      <c r="E4078" t="s">
        <v>176</v>
      </c>
      <c r="F4078">
        <v>2004</v>
      </c>
      <c r="G4078">
        <v>602.44690000000003</v>
      </c>
    </row>
    <row r="4079" spans="5:7" x14ac:dyDescent="0.75">
      <c r="E4079" t="s">
        <v>176</v>
      </c>
      <c r="F4079">
        <v>2005</v>
      </c>
      <c r="G4079">
        <v>604.39306999999997</v>
      </c>
    </row>
    <row r="4080" spans="5:7" x14ac:dyDescent="0.75">
      <c r="E4080" t="s">
        <v>176</v>
      </c>
      <c r="F4080">
        <v>2006</v>
      </c>
      <c r="G4080">
        <v>595.45979999999997</v>
      </c>
    </row>
    <row r="4081" spans="5:7" x14ac:dyDescent="0.75">
      <c r="E4081" t="s">
        <v>176</v>
      </c>
      <c r="F4081">
        <v>2007</v>
      </c>
      <c r="G4081">
        <v>598.47630000000004</v>
      </c>
    </row>
    <row r="4082" spans="5:7" x14ac:dyDescent="0.75">
      <c r="E4082" t="s">
        <v>176</v>
      </c>
      <c r="F4082">
        <v>2008</v>
      </c>
      <c r="G4082">
        <v>591.33594000000005</v>
      </c>
    </row>
    <row r="4083" spans="5:7" x14ac:dyDescent="0.75">
      <c r="E4083" t="s">
        <v>176</v>
      </c>
      <c r="F4083">
        <v>2009</v>
      </c>
      <c r="G4083">
        <v>565.02075000000002</v>
      </c>
    </row>
    <row r="4084" spans="5:7" x14ac:dyDescent="0.75">
      <c r="E4084" t="s">
        <v>176</v>
      </c>
      <c r="F4084">
        <v>2010</v>
      </c>
      <c r="G4084">
        <v>570.81290000000001</v>
      </c>
    </row>
    <row r="4085" spans="5:7" x14ac:dyDescent="0.75">
      <c r="E4085" t="s">
        <v>176</v>
      </c>
      <c r="F4085">
        <v>2011</v>
      </c>
      <c r="G4085">
        <v>550.47973999999999</v>
      </c>
    </row>
    <row r="4086" spans="5:7" x14ac:dyDescent="0.75">
      <c r="E4086" t="s">
        <v>176</v>
      </c>
      <c r="F4086">
        <v>2012</v>
      </c>
      <c r="G4086">
        <v>532.77057000000002</v>
      </c>
    </row>
    <row r="4087" spans="5:7" x14ac:dyDescent="0.75">
      <c r="E4087" t="s">
        <v>176</v>
      </c>
      <c r="F4087">
        <v>2013</v>
      </c>
      <c r="G4087">
        <v>533.43633999999997</v>
      </c>
    </row>
    <row r="4088" spans="5:7" x14ac:dyDescent="0.75">
      <c r="E4088" t="s">
        <v>176</v>
      </c>
      <c r="F4088">
        <v>2014</v>
      </c>
      <c r="G4088">
        <v>529.40790000000004</v>
      </c>
    </row>
    <row r="4089" spans="5:7" x14ac:dyDescent="0.75">
      <c r="E4089" t="s">
        <v>176</v>
      </c>
      <c r="F4089">
        <v>2015</v>
      </c>
      <c r="G4089">
        <v>504.90575999999999</v>
      </c>
    </row>
    <row r="4090" spans="5:7" x14ac:dyDescent="0.75">
      <c r="E4090" t="s">
        <v>176</v>
      </c>
      <c r="F4090">
        <v>2016</v>
      </c>
      <c r="G4090">
        <v>483.35437000000002</v>
      </c>
    </row>
    <row r="4091" spans="5:7" x14ac:dyDescent="0.75">
      <c r="E4091" t="s">
        <v>176</v>
      </c>
      <c r="F4091">
        <v>2017</v>
      </c>
      <c r="G4091">
        <v>469.01889999999997</v>
      </c>
    </row>
    <row r="4092" spans="5:7" x14ac:dyDescent="0.75">
      <c r="E4092" t="s">
        <v>176</v>
      </c>
      <c r="F4092">
        <v>2018</v>
      </c>
      <c r="G4092">
        <v>462.58879999999999</v>
      </c>
    </row>
    <row r="4093" spans="5:7" x14ac:dyDescent="0.75">
      <c r="E4093" t="s">
        <v>176</v>
      </c>
      <c r="F4093">
        <v>2019</v>
      </c>
      <c r="G4093">
        <v>439.40911999999997</v>
      </c>
    </row>
    <row r="4094" spans="5:7" x14ac:dyDescent="0.75">
      <c r="E4094" t="s">
        <v>176</v>
      </c>
      <c r="F4094">
        <v>2020</v>
      </c>
      <c r="G4094">
        <v>411.69819999999999</v>
      </c>
    </row>
    <row r="4095" spans="5:7" x14ac:dyDescent="0.75">
      <c r="E4095" t="s">
        <v>176</v>
      </c>
      <c r="F4095">
        <v>2021</v>
      </c>
      <c r="G4095">
        <v>423.74119999999999</v>
      </c>
    </row>
    <row r="4096" spans="5:7" x14ac:dyDescent="0.75">
      <c r="E4096" t="s">
        <v>176</v>
      </c>
      <c r="F4096">
        <v>2022</v>
      </c>
      <c r="G4096">
        <v>410.36739999999998</v>
      </c>
    </row>
    <row r="4097" spans="5:7" x14ac:dyDescent="0.75">
      <c r="E4097" t="s">
        <v>176</v>
      </c>
      <c r="F4097">
        <v>2023</v>
      </c>
      <c r="G4097">
        <v>392.84800000000001</v>
      </c>
    </row>
    <row r="4098" spans="5:7" x14ac:dyDescent="0.75">
      <c r="E4098" t="s">
        <v>176</v>
      </c>
      <c r="F4098">
        <v>2024</v>
      </c>
      <c r="G4098">
        <v>383.54919999999998</v>
      </c>
    </row>
    <row r="4099" spans="5:7" x14ac:dyDescent="0.75">
      <c r="E4099" t="s">
        <v>177</v>
      </c>
      <c r="F4099">
        <v>2000</v>
      </c>
      <c r="G4099">
        <v>67.193669999999997</v>
      </c>
    </row>
    <row r="4100" spans="5:7" x14ac:dyDescent="0.75">
      <c r="E4100" t="s">
        <v>177</v>
      </c>
      <c r="F4100">
        <v>2001</v>
      </c>
      <c r="G4100">
        <v>25.945945999999999</v>
      </c>
    </row>
    <row r="4101" spans="5:7" x14ac:dyDescent="0.75">
      <c r="E4101" t="s">
        <v>177</v>
      </c>
      <c r="F4101">
        <v>2002</v>
      </c>
      <c r="G4101">
        <v>27.083331999999999</v>
      </c>
    </row>
    <row r="4102" spans="5:7" x14ac:dyDescent="0.75">
      <c r="E4102" t="s">
        <v>177</v>
      </c>
      <c r="F4102">
        <v>2003</v>
      </c>
      <c r="G4102">
        <v>25.641026</v>
      </c>
    </row>
    <row r="4103" spans="5:7" x14ac:dyDescent="0.75">
      <c r="E4103" t="s">
        <v>177</v>
      </c>
      <c r="F4103">
        <v>2004</v>
      </c>
      <c r="G4103">
        <v>140.67796000000001</v>
      </c>
    </row>
    <row r="4104" spans="5:7" x14ac:dyDescent="0.75">
      <c r="E4104" t="s">
        <v>177</v>
      </c>
      <c r="F4104">
        <v>2005</v>
      </c>
      <c r="G4104">
        <v>104.16667</v>
      </c>
    </row>
    <row r="4105" spans="5:7" x14ac:dyDescent="0.75">
      <c r="E4105" t="s">
        <v>177</v>
      </c>
      <c r="F4105">
        <v>2006</v>
      </c>
      <c r="G4105">
        <v>249.55116000000001</v>
      </c>
    </row>
    <row r="4106" spans="5:7" x14ac:dyDescent="0.75">
      <c r="E4106" t="s">
        <v>177</v>
      </c>
      <c r="F4106">
        <v>2007</v>
      </c>
      <c r="G4106">
        <v>108.74200399999999</v>
      </c>
    </row>
    <row r="4107" spans="5:7" x14ac:dyDescent="0.75">
      <c r="E4107" t="s">
        <v>177</v>
      </c>
      <c r="F4107">
        <v>2008</v>
      </c>
      <c r="G4107">
        <v>289.62369999999999</v>
      </c>
    </row>
    <row r="4108" spans="5:7" x14ac:dyDescent="0.75">
      <c r="E4108" t="s">
        <v>177</v>
      </c>
      <c r="F4108">
        <v>2009</v>
      </c>
      <c r="G4108">
        <v>243.36792</v>
      </c>
    </row>
    <row r="4109" spans="5:7" x14ac:dyDescent="0.75">
      <c r="E4109" t="s">
        <v>177</v>
      </c>
      <c r="F4109">
        <v>2010</v>
      </c>
      <c r="G4109">
        <v>111.73184999999999</v>
      </c>
    </row>
    <row r="4110" spans="5:7" x14ac:dyDescent="0.75">
      <c r="E4110" t="s">
        <v>177</v>
      </c>
      <c r="F4110">
        <v>2011</v>
      </c>
      <c r="G4110">
        <v>204.06189000000001</v>
      </c>
    </row>
    <row r="4111" spans="5:7" x14ac:dyDescent="0.75">
      <c r="E4111" t="s">
        <v>177</v>
      </c>
      <c r="F4111">
        <v>2012</v>
      </c>
      <c r="G4111">
        <v>272.64150000000001</v>
      </c>
    </row>
    <row r="4112" spans="5:7" x14ac:dyDescent="0.75">
      <c r="E4112" t="s">
        <v>177</v>
      </c>
      <c r="F4112">
        <v>2013</v>
      </c>
      <c r="G4112">
        <v>149.22812999999999</v>
      </c>
    </row>
    <row r="4113" spans="5:7" x14ac:dyDescent="0.75">
      <c r="E4113" t="s">
        <v>177</v>
      </c>
      <c r="F4113">
        <v>2014</v>
      </c>
      <c r="G4113">
        <v>85.516180000000006</v>
      </c>
    </row>
    <row r="4114" spans="5:7" x14ac:dyDescent="0.75">
      <c r="E4114" t="s">
        <v>177</v>
      </c>
      <c r="F4114">
        <v>2015</v>
      </c>
      <c r="G4114">
        <v>98.981080000000006</v>
      </c>
    </row>
    <row r="4115" spans="5:7" x14ac:dyDescent="0.75">
      <c r="E4115" t="s">
        <v>177</v>
      </c>
      <c r="F4115">
        <v>2016</v>
      </c>
      <c r="G4115">
        <v>74.981970000000004</v>
      </c>
    </row>
    <row r="4116" spans="5:7" x14ac:dyDescent="0.75">
      <c r="E4116" t="s">
        <v>177</v>
      </c>
      <c r="F4116">
        <v>2017</v>
      </c>
      <c r="G4116">
        <v>64.808364999999995</v>
      </c>
    </row>
    <row r="4117" spans="5:7" x14ac:dyDescent="0.75">
      <c r="E4117" t="s">
        <v>177</v>
      </c>
      <c r="F4117">
        <v>2018</v>
      </c>
      <c r="G4117">
        <v>69.13073</v>
      </c>
    </row>
    <row r="4118" spans="5:7" x14ac:dyDescent="0.75">
      <c r="E4118" t="s">
        <v>177</v>
      </c>
      <c r="F4118">
        <v>2019</v>
      </c>
      <c r="G4118">
        <v>60.983199999999997</v>
      </c>
    </row>
    <row r="4119" spans="5:7" x14ac:dyDescent="0.75">
      <c r="E4119" t="s">
        <v>177</v>
      </c>
      <c r="F4119">
        <v>2020</v>
      </c>
      <c r="G4119">
        <v>94.325720000000004</v>
      </c>
    </row>
    <row r="4120" spans="5:7" x14ac:dyDescent="0.75">
      <c r="E4120" t="s">
        <v>177</v>
      </c>
      <c r="F4120">
        <v>2021</v>
      </c>
      <c r="G4120">
        <v>150.71921</v>
      </c>
    </row>
    <row r="4121" spans="5:7" x14ac:dyDescent="0.75">
      <c r="E4121" t="s">
        <v>177</v>
      </c>
      <c r="F4121">
        <v>2022</v>
      </c>
      <c r="G4121">
        <v>110.36339599999999</v>
      </c>
    </row>
    <row r="4122" spans="5:7" x14ac:dyDescent="0.75">
      <c r="E4122" t="s">
        <v>177</v>
      </c>
      <c r="F4122">
        <v>2023</v>
      </c>
      <c r="G4122">
        <v>115.68322999999999</v>
      </c>
    </row>
    <row r="4123" spans="5:7" x14ac:dyDescent="0.75">
      <c r="E4123" t="s">
        <v>177</v>
      </c>
      <c r="F4123">
        <v>2024</v>
      </c>
      <c r="G4123">
        <v>96.699470000000005</v>
      </c>
    </row>
    <row r="4124" spans="5:7" x14ac:dyDescent="0.75">
      <c r="E4124" t="s">
        <v>178</v>
      </c>
      <c r="F4124">
        <v>2000</v>
      </c>
      <c r="G4124">
        <v>1103.4998000000001</v>
      </c>
    </row>
    <row r="4125" spans="5:7" x14ac:dyDescent="0.75">
      <c r="E4125" t="s">
        <v>178</v>
      </c>
      <c r="F4125">
        <v>2001</v>
      </c>
      <c r="G4125">
        <v>1085.0708999999999</v>
      </c>
    </row>
    <row r="4126" spans="5:7" x14ac:dyDescent="0.75">
      <c r="E4126" t="s">
        <v>178</v>
      </c>
      <c r="F4126">
        <v>2002</v>
      </c>
      <c r="G4126">
        <v>1049.3927000000001</v>
      </c>
    </row>
    <row r="4127" spans="5:7" x14ac:dyDescent="0.75">
      <c r="E4127" t="s">
        <v>178</v>
      </c>
      <c r="F4127">
        <v>2003</v>
      </c>
      <c r="G4127">
        <v>997.33276000000001</v>
      </c>
    </row>
    <row r="4128" spans="5:7" x14ac:dyDescent="0.75">
      <c r="E4128" t="s">
        <v>178</v>
      </c>
      <c r="F4128">
        <v>2004</v>
      </c>
      <c r="G4128">
        <v>1057.9477999999999</v>
      </c>
    </row>
    <row r="4129" spans="5:7" x14ac:dyDescent="0.75">
      <c r="E4129" t="s">
        <v>178</v>
      </c>
      <c r="F4129">
        <v>2005</v>
      </c>
      <c r="G4129">
        <v>984.68640000000005</v>
      </c>
    </row>
    <row r="4130" spans="5:7" x14ac:dyDescent="0.75">
      <c r="E4130" t="s">
        <v>178</v>
      </c>
      <c r="F4130">
        <v>2006</v>
      </c>
      <c r="G4130">
        <v>1105.6366</v>
      </c>
    </row>
    <row r="4131" spans="5:7" x14ac:dyDescent="0.75">
      <c r="E4131" t="s">
        <v>178</v>
      </c>
      <c r="F4131">
        <v>2007</v>
      </c>
      <c r="G4131">
        <v>1114.8511000000001</v>
      </c>
    </row>
    <row r="4132" spans="5:7" x14ac:dyDescent="0.75">
      <c r="E4132" t="s">
        <v>178</v>
      </c>
      <c r="F4132">
        <v>2008</v>
      </c>
      <c r="G4132">
        <v>1129.8287</v>
      </c>
    </row>
    <row r="4133" spans="5:7" x14ac:dyDescent="0.75">
      <c r="E4133" t="s">
        <v>178</v>
      </c>
      <c r="F4133">
        <v>2009</v>
      </c>
      <c r="G4133">
        <v>1085.03</v>
      </c>
    </row>
    <row r="4134" spans="5:7" x14ac:dyDescent="0.75">
      <c r="E4134" t="s">
        <v>178</v>
      </c>
      <c r="F4134">
        <v>2010</v>
      </c>
      <c r="G4134">
        <v>1053.6848</v>
      </c>
    </row>
    <row r="4135" spans="5:7" x14ac:dyDescent="0.75">
      <c r="E4135" t="s">
        <v>178</v>
      </c>
      <c r="F4135">
        <v>2011</v>
      </c>
      <c r="G4135">
        <v>1118.3712</v>
      </c>
    </row>
    <row r="4136" spans="5:7" x14ac:dyDescent="0.75">
      <c r="E4136" t="s">
        <v>178</v>
      </c>
      <c r="F4136">
        <v>2012</v>
      </c>
      <c r="G4136">
        <v>1098.3018999999999</v>
      </c>
    </row>
    <row r="4137" spans="5:7" x14ac:dyDescent="0.75">
      <c r="E4137" t="s">
        <v>178</v>
      </c>
      <c r="F4137">
        <v>2013</v>
      </c>
      <c r="G4137">
        <v>1125.9843000000001</v>
      </c>
    </row>
    <row r="4138" spans="5:7" x14ac:dyDescent="0.75">
      <c r="E4138" t="s">
        <v>178</v>
      </c>
      <c r="F4138">
        <v>2014</v>
      </c>
      <c r="G4138">
        <v>1121.0762999999999</v>
      </c>
    </row>
    <row r="4139" spans="5:7" x14ac:dyDescent="0.75">
      <c r="E4139" t="s">
        <v>178</v>
      </c>
      <c r="F4139">
        <v>2015</v>
      </c>
      <c r="G4139">
        <v>1111.6531</v>
      </c>
    </row>
    <row r="4140" spans="5:7" x14ac:dyDescent="0.75">
      <c r="E4140" t="s">
        <v>178</v>
      </c>
      <c r="F4140">
        <v>2016</v>
      </c>
      <c r="G4140">
        <v>1114.1204</v>
      </c>
    </row>
    <row r="4141" spans="5:7" x14ac:dyDescent="0.75">
      <c r="E4141" t="s">
        <v>178</v>
      </c>
      <c r="F4141">
        <v>2017</v>
      </c>
      <c r="G4141">
        <v>1096.9756</v>
      </c>
    </row>
    <row r="4142" spans="5:7" x14ac:dyDescent="0.75">
      <c r="E4142" t="s">
        <v>178</v>
      </c>
      <c r="F4142">
        <v>2018</v>
      </c>
      <c r="G4142">
        <v>1139.1923999999999</v>
      </c>
    </row>
    <row r="4143" spans="5:7" x14ac:dyDescent="0.75">
      <c r="E4143" t="s">
        <v>178</v>
      </c>
      <c r="F4143">
        <v>2019</v>
      </c>
      <c r="G4143">
        <v>1119.2573</v>
      </c>
    </row>
    <row r="4144" spans="5:7" x14ac:dyDescent="0.75">
      <c r="E4144" t="s">
        <v>178</v>
      </c>
      <c r="F4144">
        <v>2020</v>
      </c>
      <c r="G4144">
        <v>1149.1056000000001</v>
      </c>
    </row>
    <row r="4145" spans="5:7" x14ac:dyDescent="0.75">
      <c r="E4145" t="s">
        <v>178</v>
      </c>
      <c r="F4145">
        <v>2021</v>
      </c>
      <c r="G4145">
        <v>1150.4760000000001</v>
      </c>
    </row>
    <row r="4146" spans="5:7" x14ac:dyDescent="0.75">
      <c r="E4146" t="s">
        <v>178</v>
      </c>
      <c r="F4146">
        <v>2022</v>
      </c>
      <c r="G4146">
        <v>1121.3534</v>
      </c>
    </row>
    <row r="4147" spans="5:7" x14ac:dyDescent="0.75">
      <c r="E4147" t="s">
        <v>178</v>
      </c>
      <c r="F4147">
        <v>2023</v>
      </c>
      <c r="G4147">
        <v>1121.1803</v>
      </c>
    </row>
    <row r="4148" spans="5:7" x14ac:dyDescent="0.75">
      <c r="E4148" t="s">
        <v>179</v>
      </c>
      <c r="F4148">
        <v>2000</v>
      </c>
      <c r="G4148">
        <v>212.73602</v>
      </c>
    </row>
    <row r="4149" spans="5:7" x14ac:dyDescent="0.75">
      <c r="E4149" t="s">
        <v>179</v>
      </c>
      <c r="F4149">
        <v>2001</v>
      </c>
      <c r="G4149">
        <v>261.56918000000002</v>
      </c>
    </row>
    <row r="4150" spans="5:7" x14ac:dyDescent="0.75">
      <c r="E4150" t="s">
        <v>179</v>
      </c>
      <c r="F4150">
        <v>2002</v>
      </c>
      <c r="G4150">
        <v>274.14263999999997</v>
      </c>
    </row>
    <row r="4151" spans="5:7" x14ac:dyDescent="0.75">
      <c r="E4151" t="s">
        <v>179</v>
      </c>
      <c r="F4151">
        <v>2003</v>
      </c>
      <c r="G4151">
        <v>263.7303</v>
      </c>
    </row>
    <row r="4152" spans="5:7" x14ac:dyDescent="0.75">
      <c r="E4152" t="s">
        <v>179</v>
      </c>
      <c r="F4152">
        <v>2004</v>
      </c>
      <c r="G4152">
        <v>228.61491000000001</v>
      </c>
    </row>
    <row r="4153" spans="5:7" x14ac:dyDescent="0.75">
      <c r="E4153" t="s">
        <v>179</v>
      </c>
      <c r="F4153">
        <v>2005</v>
      </c>
      <c r="G4153">
        <v>211.21548000000001</v>
      </c>
    </row>
    <row r="4154" spans="5:7" x14ac:dyDescent="0.75">
      <c r="E4154" t="s">
        <v>179</v>
      </c>
      <c r="F4154">
        <v>2006</v>
      </c>
      <c r="G4154">
        <v>207.20883000000001</v>
      </c>
    </row>
    <row r="4155" spans="5:7" x14ac:dyDescent="0.75">
      <c r="E4155" t="s">
        <v>179</v>
      </c>
      <c r="F4155">
        <v>2007</v>
      </c>
      <c r="G4155">
        <v>217.66922</v>
      </c>
    </row>
    <row r="4156" spans="5:7" x14ac:dyDescent="0.75">
      <c r="E4156" t="s">
        <v>179</v>
      </c>
      <c r="F4156">
        <v>2008</v>
      </c>
      <c r="G4156">
        <v>215.67475999999999</v>
      </c>
    </row>
    <row r="4157" spans="5:7" x14ac:dyDescent="0.75">
      <c r="E4157" t="s">
        <v>179</v>
      </c>
      <c r="F4157">
        <v>2009</v>
      </c>
      <c r="G4157">
        <v>222.12929</v>
      </c>
    </row>
    <row r="4158" spans="5:7" x14ac:dyDescent="0.75">
      <c r="E4158" t="s">
        <v>179</v>
      </c>
      <c r="F4158">
        <v>2010</v>
      </c>
      <c r="G4158">
        <v>252.02179000000001</v>
      </c>
    </row>
    <row r="4159" spans="5:7" x14ac:dyDescent="0.75">
      <c r="E4159" t="s">
        <v>179</v>
      </c>
      <c r="F4159">
        <v>2011</v>
      </c>
      <c r="G4159">
        <v>227.11089999999999</v>
      </c>
    </row>
    <row r="4160" spans="5:7" x14ac:dyDescent="0.75">
      <c r="E4160" t="s">
        <v>179</v>
      </c>
      <c r="F4160">
        <v>2012</v>
      </c>
      <c r="G4160">
        <v>279.86908</v>
      </c>
    </row>
    <row r="4161" spans="5:7" x14ac:dyDescent="0.75">
      <c r="E4161" t="s">
        <v>179</v>
      </c>
      <c r="F4161">
        <v>2013</v>
      </c>
      <c r="G4161">
        <v>297.78732000000002</v>
      </c>
    </row>
    <row r="4162" spans="5:7" x14ac:dyDescent="0.75">
      <c r="E4162" t="s">
        <v>179</v>
      </c>
      <c r="F4162">
        <v>2014</v>
      </c>
      <c r="G4162">
        <v>341.49090000000001</v>
      </c>
    </row>
    <row r="4163" spans="5:7" x14ac:dyDescent="0.75">
      <c r="E4163" t="s">
        <v>179</v>
      </c>
      <c r="F4163">
        <v>2015</v>
      </c>
      <c r="G4163">
        <v>318.93036000000001</v>
      </c>
    </row>
    <row r="4164" spans="5:7" x14ac:dyDescent="0.75">
      <c r="E4164" t="s">
        <v>179</v>
      </c>
      <c r="F4164">
        <v>2016</v>
      </c>
      <c r="G4164">
        <v>356.76416</v>
      </c>
    </row>
    <row r="4165" spans="5:7" x14ac:dyDescent="0.75">
      <c r="E4165" t="s">
        <v>179</v>
      </c>
      <c r="F4165">
        <v>2017</v>
      </c>
      <c r="G4165">
        <v>320.80923000000001</v>
      </c>
    </row>
    <row r="4166" spans="5:7" x14ac:dyDescent="0.75">
      <c r="E4166" t="s">
        <v>179</v>
      </c>
      <c r="F4166">
        <v>2018</v>
      </c>
      <c r="G4166">
        <v>320.9307</v>
      </c>
    </row>
    <row r="4167" spans="5:7" x14ac:dyDescent="0.75">
      <c r="E4167" t="s">
        <v>179</v>
      </c>
      <c r="F4167">
        <v>2019</v>
      </c>
      <c r="G4167">
        <v>320.84555</v>
      </c>
    </row>
    <row r="4168" spans="5:7" x14ac:dyDescent="0.75">
      <c r="E4168" t="s">
        <v>179</v>
      </c>
      <c r="F4168">
        <v>2020</v>
      </c>
      <c r="G4168">
        <v>184.57333</v>
      </c>
    </row>
    <row r="4169" spans="5:7" x14ac:dyDescent="0.75">
      <c r="E4169" t="s">
        <v>179</v>
      </c>
      <c r="F4169">
        <v>2021</v>
      </c>
      <c r="G4169">
        <v>174.24332999999999</v>
      </c>
    </row>
    <row r="4170" spans="5:7" x14ac:dyDescent="0.75">
      <c r="E4170" t="s">
        <v>179</v>
      </c>
      <c r="F4170">
        <v>2022</v>
      </c>
      <c r="G4170">
        <v>180.42738</v>
      </c>
    </row>
    <row r="4171" spans="5:7" x14ac:dyDescent="0.75">
      <c r="E4171" t="s">
        <v>179</v>
      </c>
      <c r="F4171">
        <v>2023</v>
      </c>
      <c r="G4171">
        <v>180.25077999999999</v>
      </c>
    </row>
    <row r="4172" spans="5:7" x14ac:dyDescent="0.75">
      <c r="E4172" t="s">
        <v>180</v>
      </c>
      <c r="F4172">
        <v>2000</v>
      </c>
      <c r="G4172">
        <v>321.91266000000002</v>
      </c>
    </row>
    <row r="4173" spans="5:7" x14ac:dyDescent="0.75">
      <c r="E4173" t="s">
        <v>180</v>
      </c>
      <c r="F4173">
        <v>2001</v>
      </c>
      <c r="G4173">
        <v>290.75463999999999</v>
      </c>
    </row>
    <row r="4174" spans="5:7" x14ac:dyDescent="0.75">
      <c r="E4174" t="s">
        <v>180</v>
      </c>
      <c r="F4174">
        <v>2002</v>
      </c>
      <c r="G4174">
        <v>344.41341999999997</v>
      </c>
    </row>
    <row r="4175" spans="5:7" x14ac:dyDescent="0.75">
      <c r="E4175" t="s">
        <v>180</v>
      </c>
      <c r="F4175">
        <v>2003</v>
      </c>
      <c r="G4175">
        <v>375.76350000000002</v>
      </c>
    </row>
    <row r="4176" spans="5:7" x14ac:dyDescent="0.75">
      <c r="E4176" t="s">
        <v>180</v>
      </c>
      <c r="F4176">
        <v>2004</v>
      </c>
      <c r="G4176">
        <v>407.14285000000001</v>
      </c>
    </row>
    <row r="4177" spans="5:7" x14ac:dyDescent="0.75">
      <c r="E4177" t="s">
        <v>180</v>
      </c>
      <c r="F4177">
        <v>2005</v>
      </c>
      <c r="G4177">
        <v>462.55759999999998</v>
      </c>
    </row>
    <row r="4178" spans="5:7" x14ac:dyDescent="0.75">
      <c r="E4178" t="s">
        <v>180</v>
      </c>
      <c r="F4178">
        <v>2006</v>
      </c>
      <c r="G4178">
        <v>448.35921999999999</v>
      </c>
    </row>
    <row r="4179" spans="5:7" x14ac:dyDescent="0.75">
      <c r="E4179" t="s">
        <v>180</v>
      </c>
      <c r="F4179">
        <v>2007</v>
      </c>
      <c r="G4179">
        <v>438.90269999999998</v>
      </c>
    </row>
    <row r="4180" spans="5:7" x14ac:dyDescent="0.75">
      <c r="E4180" t="s">
        <v>180</v>
      </c>
      <c r="F4180">
        <v>2008</v>
      </c>
      <c r="G4180">
        <v>421.84640000000002</v>
      </c>
    </row>
    <row r="4181" spans="5:7" x14ac:dyDescent="0.75">
      <c r="E4181" t="s">
        <v>180</v>
      </c>
      <c r="F4181">
        <v>2009</v>
      </c>
      <c r="G4181">
        <v>411.95438000000001</v>
      </c>
    </row>
    <row r="4182" spans="5:7" x14ac:dyDescent="0.75">
      <c r="E4182" t="s">
        <v>180</v>
      </c>
      <c r="F4182">
        <v>2010</v>
      </c>
      <c r="G4182">
        <v>450.71956999999998</v>
      </c>
    </row>
    <row r="4183" spans="5:7" x14ac:dyDescent="0.75">
      <c r="E4183" t="s">
        <v>180</v>
      </c>
      <c r="F4183">
        <v>2011</v>
      </c>
      <c r="G4183">
        <v>405.47730000000001</v>
      </c>
    </row>
    <row r="4184" spans="5:7" x14ac:dyDescent="0.75">
      <c r="E4184" t="s">
        <v>180</v>
      </c>
      <c r="F4184">
        <v>2012</v>
      </c>
      <c r="G4184">
        <v>369.39908000000003</v>
      </c>
    </row>
    <row r="4185" spans="5:7" x14ac:dyDescent="0.75">
      <c r="E4185" t="s">
        <v>180</v>
      </c>
      <c r="F4185">
        <v>2013</v>
      </c>
      <c r="G4185">
        <v>371.36432000000002</v>
      </c>
    </row>
    <row r="4186" spans="5:7" x14ac:dyDescent="0.75">
      <c r="E4186" t="s">
        <v>180</v>
      </c>
      <c r="F4186">
        <v>2014</v>
      </c>
      <c r="G4186">
        <v>401.20352000000003</v>
      </c>
    </row>
    <row r="4187" spans="5:7" x14ac:dyDescent="0.75">
      <c r="E4187" t="s">
        <v>180</v>
      </c>
      <c r="F4187">
        <v>2015</v>
      </c>
      <c r="G4187">
        <v>483.78928000000002</v>
      </c>
    </row>
    <row r="4188" spans="5:7" x14ac:dyDescent="0.75">
      <c r="E4188" t="s">
        <v>180</v>
      </c>
      <c r="F4188">
        <v>2016</v>
      </c>
      <c r="G4188">
        <v>489.14438000000001</v>
      </c>
    </row>
    <row r="4189" spans="5:7" x14ac:dyDescent="0.75">
      <c r="E4189" t="s">
        <v>180</v>
      </c>
      <c r="F4189">
        <v>2017</v>
      </c>
      <c r="G4189">
        <v>430.56695999999999</v>
      </c>
    </row>
    <row r="4190" spans="5:7" x14ac:dyDescent="0.75">
      <c r="E4190" t="s">
        <v>180</v>
      </c>
      <c r="F4190">
        <v>2018</v>
      </c>
      <c r="G4190">
        <v>482.96343999999999</v>
      </c>
    </row>
    <row r="4191" spans="5:7" x14ac:dyDescent="0.75">
      <c r="E4191" t="s">
        <v>180</v>
      </c>
      <c r="F4191">
        <v>2019</v>
      </c>
      <c r="G4191">
        <v>553.97014999999999</v>
      </c>
    </row>
    <row r="4192" spans="5:7" x14ac:dyDescent="0.75">
      <c r="E4192" t="s">
        <v>180</v>
      </c>
      <c r="F4192">
        <v>2020</v>
      </c>
      <c r="G4192">
        <v>528.56555000000003</v>
      </c>
    </row>
    <row r="4193" spans="5:7" x14ac:dyDescent="0.75">
      <c r="E4193" t="s">
        <v>180</v>
      </c>
      <c r="F4193">
        <v>2021</v>
      </c>
      <c r="G4193">
        <v>475.17844000000002</v>
      </c>
    </row>
    <row r="4194" spans="5:7" x14ac:dyDescent="0.75">
      <c r="E4194" t="s">
        <v>180</v>
      </c>
      <c r="F4194">
        <v>2022</v>
      </c>
      <c r="G4194">
        <v>415.48795000000001</v>
      </c>
    </row>
    <row r="4195" spans="5:7" x14ac:dyDescent="0.75">
      <c r="E4195" t="s">
        <v>180</v>
      </c>
      <c r="F4195">
        <v>2023</v>
      </c>
      <c r="G4195">
        <v>472.47143999999997</v>
      </c>
    </row>
    <row r="4196" spans="5:7" x14ac:dyDescent="0.75">
      <c r="E4196" t="s">
        <v>180</v>
      </c>
      <c r="F4196">
        <v>2024</v>
      </c>
      <c r="G4196">
        <v>471.15857</v>
      </c>
    </row>
    <row r="4197" spans="5:7" x14ac:dyDescent="0.75">
      <c r="E4197" t="s">
        <v>181</v>
      </c>
      <c r="F4197">
        <v>2000</v>
      </c>
      <c r="G4197">
        <v>656.89149999999995</v>
      </c>
    </row>
    <row r="4198" spans="5:7" x14ac:dyDescent="0.75">
      <c r="E4198" t="s">
        <v>181</v>
      </c>
      <c r="F4198">
        <v>2001</v>
      </c>
      <c r="G4198">
        <v>659.34064000000001</v>
      </c>
    </row>
    <row r="4199" spans="5:7" x14ac:dyDescent="0.75">
      <c r="E4199" t="s">
        <v>181</v>
      </c>
      <c r="F4199">
        <v>2002</v>
      </c>
      <c r="G4199">
        <v>657.82494999999994</v>
      </c>
    </row>
    <row r="4200" spans="5:7" x14ac:dyDescent="0.75">
      <c r="E4200" t="s">
        <v>181</v>
      </c>
      <c r="F4200">
        <v>2003</v>
      </c>
      <c r="G4200">
        <v>658.53660000000002</v>
      </c>
    </row>
    <row r="4201" spans="5:7" x14ac:dyDescent="0.75">
      <c r="E4201" t="s">
        <v>181</v>
      </c>
      <c r="F4201">
        <v>2004</v>
      </c>
      <c r="G4201">
        <v>658.25684000000001</v>
      </c>
    </row>
    <row r="4202" spans="5:7" x14ac:dyDescent="0.75">
      <c r="E4202" t="s">
        <v>181</v>
      </c>
      <c r="F4202">
        <v>2005</v>
      </c>
      <c r="G4202">
        <v>658.28093999999999</v>
      </c>
    </row>
    <row r="4203" spans="5:7" x14ac:dyDescent="0.75">
      <c r="E4203" t="s">
        <v>181</v>
      </c>
      <c r="F4203">
        <v>2006</v>
      </c>
      <c r="G4203">
        <v>658.62710000000004</v>
      </c>
    </row>
    <row r="4204" spans="5:7" x14ac:dyDescent="0.75">
      <c r="E4204" t="s">
        <v>181</v>
      </c>
      <c r="F4204">
        <v>2007</v>
      </c>
      <c r="G4204">
        <v>658.37476000000004</v>
      </c>
    </row>
    <row r="4205" spans="5:7" x14ac:dyDescent="0.75">
      <c r="E4205" t="s">
        <v>181</v>
      </c>
      <c r="F4205">
        <v>2008</v>
      </c>
      <c r="G4205">
        <v>658.01526000000001</v>
      </c>
    </row>
    <row r="4206" spans="5:7" x14ac:dyDescent="0.75">
      <c r="E4206" t="s">
        <v>181</v>
      </c>
      <c r="F4206">
        <v>2009</v>
      </c>
      <c r="G4206">
        <v>657.77779999999996</v>
      </c>
    </row>
    <row r="4207" spans="5:7" x14ac:dyDescent="0.75">
      <c r="E4207" t="s">
        <v>181</v>
      </c>
      <c r="F4207">
        <v>2010</v>
      </c>
      <c r="G4207">
        <v>703.60820000000001</v>
      </c>
    </row>
    <row r="4208" spans="5:7" x14ac:dyDescent="0.75">
      <c r="E4208" t="s">
        <v>181</v>
      </c>
      <c r="F4208">
        <v>2011</v>
      </c>
      <c r="G4208">
        <v>694.04190000000006</v>
      </c>
    </row>
    <row r="4209" spans="5:7" x14ac:dyDescent="0.75">
      <c r="E4209" t="s">
        <v>181</v>
      </c>
      <c r="F4209">
        <v>2012</v>
      </c>
      <c r="G4209">
        <v>711.45685000000003</v>
      </c>
    </row>
    <row r="4210" spans="5:7" x14ac:dyDescent="0.75">
      <c r="E4210" t="s">
        <v>181</v>
      </c>
      <c r="F4210">
        <v>2013</v>
      </c>
      <c r="G4210">
        <v>712.94115999999997</v>
      </c>
    </row>
    <row r="4211" spans="5:7" x14ac:dyDescent="0.75">
      <c r="E4211" t="s">
        <v>181</v>
      </c>
      <c r="F4211">
        <v>2014</v>
      </c>
      <c r="G4211">
        <v>723.23760000000004</v>
      </c>
    </row>
    <row r="4212" spans="5:7" x14ac:dyDescent="0.75">
      <c r="E4212" t="s">
        <v>181</v>
      </c>
      <c r="F4212">
        <v>2015</v>
      </c>
      <c r="G4212">
        <v>713.54169999999999</v>
      </c>
    </row>
    <row r="4213" spans="5:7" x14ac:dyDescent="0.75">
      <c r="E4213" t="s">
        <v>181</v>
      </c>
      <c r="F4213">
        <v>2016</v>
      </c>
      <c r="G4213">
        <v>694.38666000000001</v>
      </c>
    </row>
    <row r="4214" spans="5:7" x14ac:dyDescent="0.75">
      <c r="E4214" t="s">
        <v>181</v>
      </c>
      <c r="F4214">
        <v>2017</v>
      </c>
      <c r="G4214">
        <v>669.13580000000002</v>
      </c>
    </row>
    <row r="4215" spans="5:7" x14ac:dyDescent="0.75">
      <c r="E4215" t="s">
        <v>181</v>
      </c>
      <c r="F4215">
        <v>2018</v>
      </c>
      <c r="G4215">
        <v>590.25789999999995</v>
      </c>
    </row>
    <row r="4216" spans="5:7" x14ac:dyDescent="0.75">
      <c r="E4216" t="s">
        <v>181</v>
      </c>
      <c r="F4216">
        <v>2019</v>
      </c>
      <c r="G4216">
        <v>585.36584000000005</v>
      </c>
    </row>
    <row r="4217" spans="5:7" x14ac:dyDescent="0.75">
      <c r="E4217" t="s">
        <v>181</v>
      </c>
      <c r="F4217">
        <v>2020</v>
      </c>
      <c r="G4217">
        <v>578.23130000000003</v>
      </c>
    </row>
    <row r="4218" spans="5:7" x14ac:dyDescent="0.75">
      <c r="E4218" t="s">
        <v>181</v>
      </c>
      <c r="F4218">
        <v>2021</v>
      </c>
      <c r="G4218">
        <v>589.04110000000003</v>
      </c>
    </row>
    <row r="4219" spans="5:7" x14ac:dyDescent="0.75">
      <c r="E4219" t="s">
        <v>181</v>
      </c>
      <c r="F4219">
        <v>2022</v>
      </c>
      <c r="G4219">
        <v>584.15840000000003</v>
      </c>
    </row>
    <row r="4220" spans="5:7" x14ac:dyDescent="0.75">
      <c r="E4220" t="s">
        <v>181</v>
      </c>
      <c r="F4220">
        <v>2023</v>
      </c>
      <c r="G4220">
        <v>586.31920000000002</v>
      </c>
    </row>
    <row r="4221" spans="5:7" x14ac:dyDescent="0.75">
      <c r="E4221" t="s">
        <v>182</v>
      </c>
      <c r="F4221">
        <v>2000</v>
      </c>
      <c r="G4221">
        <v>27.237352000000001</v>
      </c>
    </row>
    <row r="4222" spans="5:7" x14ac:dyDescent="0.75">
      <c r="E4222" t="s">
        <v>182</v>
      </c>
      <c r="F4222">
        <v>2001</v>
      </c>
      <c r="G4222">
        <v>28.967255000000002</v>
      </c>
    </row>
    <row r="4223" spans="5:7" x14ac:dyDescent="0.75">
      <c r="E4223" t="s">
        <v>182</v>
      </c>
      <c r="F4223">
        <v>2002</v>
      </c>
      <c r="G4223">
        <v>29.411764000000002</v>
      </c>
    </row>
    <row r="4224" spans="5:7" x14ac:dyDescent="0.75">
      <c r="E4224" t="s">
        <v>182</v>
      </c>
      <c r="F4224">
        <v>2003</v>
      </c>
      <c r="G4224">
        <v>30.048079000000001</v>
      </c>
    </row>
    <row r="4225" spans="5:7" x14ac:dyDescent="0.75">
      <c r="E4225" t="s">
        <v>182</v>
      </c>
      <c r="F4225">
        <v>2004</v>
      </c>
      <c r="G4225">
        <v>28.202114000000002</v>
      </c>
    </row>
    <row r="4226" spans="5:7" x14ac:dyDescent="0.75">
      <c r="E4226" t="s">
        <v>182</v>
      </c>
      <c r="F4226">
        <v>2005</v>
      </c>
      <c r="G4226">
        <v>29.082775000000002</v>
      </c>
    </row>
    <row r="4227" spans="5:7" x14ac:dyDescent="0.75">
      <c r="E4227" t="s">
        <v>182</v>
      </c>
      <c r="F4227">
        <v>2006</v>
      </c>
      <c r="G4227">
        <v>24.793386000000002</v>
      </c>
    </row>
    <row r="4228" spans="5:7" x14ac:dyDescent="0.75">
      <c r="E4228" t="s">
        <v>182</v>
      </c>
      <c r="F4228">
        <v>2007</v>
      </c>
      <c r="G4228">
        <v>24.896265</v>
      </c>
    </row>
    <row r="4229" spans="5:7" x14ac:dyDescent="0.75">
      <c r="E4229" t="s">
        <v>182</v>
      </c>
      <c r="F4229">
        <v>2008</v>
      </c>
      <c r="G4229">
        <v>25.183630000000001</v>
      </c>
    </row>
    <row r="4230" spans="5:7" x14ac:dyDescent="0.75">
      <c r="E4230" t="s">
        <v>182</v>
      </c>
      <c r="F4230">
        <v>2009</v>
      </c>
      <c r="G4230">
        <v>24.266935</v>
      </c>
    </row>
    <row r="4231" spans="5:7" x14ac:dyDescent="0.75">
      <c r="E4231" t="s">
        <v>182</v>
      </c>
      <c r="F4231">
        <v>2010</v>
      </c>
      <c r="G4231">
        <v>24.880382999999998</v>
      </c>
    </row>
    <row r="4232" spans="5:7" x14ac:dyDescent="0.75">
      <c r="E4232" t="s">
        <v>182</v>
      </c>
      <c r="F4232">
        <v>2011</v>
      </c>
      <c r="G4232">
        <v>24.369016999999999</v>
      </c>
    </row>
    <row r="4233" spans="5:7" x14ac:dyDescent="0.75">
      <c r="E4233" t="s">
        <v>182</v>
      </c>
      <c r="F4233">
        <v>2012</v>
      </c>
      <c r="G4233">
        <v>24.252223999999998</v>
      </c>
    </row>
    <row r="4234" spans="5:7" x14ac:dyDescent="0.75">
      <c r="E4234" t="s">
        <v>182</v>
      </c>
      <c r="F4234">
        <v>2013</v>
      </c>
      <c r="G4234">
        <v>24.81203</v>
      </c>
    </row>
    <row r="4235" spans="5:7" x14ac:dyDescent="0.75">
      <c r="E4235" t="s">
        <v>182</v>
      </c>
      <c r="F4235">
        <v>2014</v>
      </c>
      <c r="G4235">
        <v>42.699722000000001</v>
      </c>
    </row>
    <row r="4236" spans="5:7" x14ac:dyDescent="0.75">
      <c r="E4236" t="s">
        <v>182</v>
      </c>
      <c r="F4236">
        <v>2015</v>
      </c>
      <c r="G4236">
        <v>43.671351999999999</v>
      </c>
    </row>
    <row r="4237" spans="5:7" x14ac:dyDescent="0.75">
      <c r="E4237" t="s">
        <v>182</v>
      </c>
      <c r="F4237">
        <v>2016</v>
      </c>
      <c r="G4237">
        <v>65.420554999999993</v>
      </c>
    </row>
    <row r="4238" spans="5:7" x14ac:dyDescent="0.75">
      <c r="E4238" t="s">
        <v>182</v>
      </c>
      <c r="F4238">
        <v>2017</v>
      </c>
      <c r="G4238">
        <v>125</v>
      </c>
    </row>
    <row r="4239" spans="5:7" x14ac:dyDescent="0.75">
      <c r="E4239" t="s">
        <v>182</v>
      </c>
      <c r="F4239">
        <v>2018</v>
      </c>
      <c r="G4239">
        <v>140.66337999999999</v>
      </c>
    </row>
    <row r="4240" spans="5:7" x14ac:dyDescent="0.75">
      <c r="E4240" t="s">
        <v>182</v>
      </c>
      <c r="F4240">
        <v>2019</v>
      </c>
      <c r="G4240">
        <v>138.60715999999999</v>
      </c>
    </row>
    <row r="4241" spans="5:7" x14ac:dyDescent="0.75">
      <c r="E4241" t="s">
        <v>182</v>
      </c>
      <c r="F4241">
        <v>2020</v>
      </c>
      <c r="G4241">
        <v>135.25935000000001</v>
      </c>
    </row>
    <row r="4242" spans="5:7" x14ac:dyDescent="0.75">
      <c r="E4242" t="s">
        <v>182</v>
      </c>
      <c r="F4242">
        <v>2021</v>
      </c>
      <c r="G4242">
        <v>86.907449999999997</v>
      </c>
    </row>
    <row r="4243" spans="5:7" x14ac:dyDescent="0.75">
      <c r="E4243" t="s">
        <v>182</v>
      </c>
      <c r="F4243">
        <v>2022</v>
      </c>
      <c r="G4243">
        <v>111.96713</v>
      </c>
    </row>
    <row r="4244" spans="5:7" x14ac:dyDescent="0.75">
      <c r="E4244" t="s">
        <v>182</v>
      </c>
      <c r="F4244">
        <v>2023</v>
      </c>
      <c r="G4244">
        <v>110.996925</v>
      </c>
    </row>
    <row r="4245" spans="5:7" x14ac:dyDescent="0.75">
      <c r="E4245" t="s">
        <v>183</v>
      </c>
      <c r="F4245">
        <v>2000</v>
      </c>
      <c r="G4245">
        <v>476.39487000000003</v>
      </c>
    </row>
    <row r="4246" spans="5:7" x14ac:dyDescent="0.75">
      <c r="E4246" t="s">
        <v>183</v>
      </c>
      <c r="F4246">
        <v>2001</v>
      </c>
      <c r="G4246">
        <v>544.30382999999995</v>
      </c>
    </row>
    <row r="4247" spans="5:7" x14ac:dyDescent="0.75">
      <c r="E4247" t="s">
        <v>183</v>
      </c>
      <c r="F4247">
        <v>2002</v>
      </c>
      <c r="G4247">
        <v>487.17946999999998</v>
      </c>
    </row>
    <row r="4248" spans="5:7" x14ac:dyDescent="0.75">
      <c r="E4248" t="s">
        <v>183</v>
      </c>
      <c r="F4248">
        <v>2003</v>
      </c>
      <c r="G4248">
        <v>351.53582999999998</v>
      </c>
    </row>
    <row r="4249" spans="5:7" x14ac:dyDescent="0.75">
      <c r="E4249" t="s">
        <v>183</v>
      </c>
      <c r="F4249">
        <v>2004</v>
      </c>
      <c r="G4249">
        <v>384.77364999999998</v>
      </c>
    </row>
    <row r="4250" spans="5:7" x14ac:dyDescent="0.75">
      <c r="E4250" t="s">
        <v>183</v>
      </c>
      <c r="F4250">
        <v>2005</v>
      </c>
      <c r="G4250">
        <v>419.87182999999999</v>
      </c>
    </row>
    <row r="4251" spans="5:7" x14ac:dyDescent="0.75">
      <c r="E4251" t="s">
        <v>183</v>
      </c>
      <c r="F4251">
        <v>2006</v>
      </c>
      <c r="G4251">
        <v>294.4862</v>
      </c>
    </row>
    <row r="4252" spans="5:7" x14ac:dyDescent="0.75">
      <c r="E4252" t="s">
        <v>183</v>
      </c>
      <c r="F4252">
        <v>2007</v>
      </c>
      <c r="G4252">
        <v>261.84210000000002</v>
      </c>
    </row>
    <row r="4253" spans="5:7" x14ac:dyDescent="0.75">
      <c r="E4253" t="s">
        <v>183</v>
      </c>
      <c r="F4253">
        <v>2008</v>
      </c>
      <c r="G4253">
        <v>226.73657</v>
      </c>
    </row>
    <row r="4254" spans="5:7" x14ac:dyDescent="0.75">
      <c r="E4254" t="s">
        <v>183</v>
      </c>
      <c r="F4254">
        <v>2009</v>
      </c>
      <c r="G4254">
        <v>226.33744999999999</v>
      </c>
    </row>
    <row r="4255" spans="5:7" x14ac:dyDescent="0.75">
      <c r="E4255" t="s">
        <v>183</v>
      </c>
      <c r="F4255">
        <v>2010</v>
      </c>
      <c r="G4255">
        <v>292.82407000000001</v>
      </c>
    </row>
    <row r="4256" spans="5:7" x14ac:dyDescent="0.75">
      <c r="E4256" t="s">
        <v>183</v>
      </c>
      <c r="F4256">
        <v>2011</v>
      </c>
      <c r="G4256">
        <v>377.31734999999998</v>
      </c>
    </row>
    <row r="4257" spans="5:7" x14ac:dyDescent="0.75">
      <c r="E4257" t="s">
        <v>183</v>
      </c>
      <c r="F4257">
        <v>2012</v>
      </c>
      <c r="G4257">
        <v>357.37707999999998</v>
      </c>
    </row>
    <row r="4258" spans="5:7" x14ac:dyDescent="0.75">
      <c r="E4258" t="s">
        <v>183</v>
      </c>
      <c r="F4258">
        <v>2013</v>
      </c>
      <c r="G4258">
        <v>410.9015</v>
      </c>
    </row>
    <row r="4259" spans="5:7" x14ac:dyDescent="0.75">
      <c r="E4259" t="s">
        <v>183</v>
      </c>
      <c r="F4259">
        <v>2014</v>
      </c>
      <c r="G4259">
        <v>396.55176</v>
      </c>
    </row>
    <row r="4260" spans="5:7" x14ac:dyDescent="0.75">
      <c r="E4260" t="s">
        <v>183</v>
      </c>
      <c r="F4260">
        <v>2015</v>
      </c>
      <c r="G4260">
        <v>420.22942999999998</v>
      </c>
    </row>
    <row r="4261" spans="5:7" x14ac:dyDescent="0.75">
      <c r="E4261" t="s">
        <v>183</v>
      </c>
      <c r="F4261">
        <v>2016</v>
      </c>
      <c r="G4261">
        <v>488.14505000000003</v>
      </c>
    </row>
    <row r="4262" spans="5:7" x14ac:dyDescent="0.75">
      <c r="E4262" t="s">
        <v>183</v>
      </c>
      <c r="F4262">
        <v>2017</v>
      </c>
      <c r="G4262">
        <v>403.97348</v>
      </c>
    </row>
    <row r="4263" spans="5:7" x14ac:dyDescent="0.75">
      <c r="E4263" t="s">
        <v>183</v>
      </c>
      <c r="F4263">
        <v>2018</v>
      </c>
      <c r="G4263">
        <v>395.54610000000002</v>
      </c>
    </row>
    <row r="4264" spans="5:7" x14ac:dyDescent="0.75">
      <c r="E4264" t="s">
        <v>183</v>
      </c>
      <c r="F4264">
        <v>2019</v>
      </c>
      <c r="G4264">
        <v>429.24533000000002</v>
      </c>
    </row>
    <row r="4265" spans="5:7" x14ac:dyDescent="0.75">
      <c r="E4265" t="s">
        <v>183</v>
      </c>
      <c r="F4265">
        <v>2020</v>
      </c>
      <c r="G4265">
        <v>371.08792</v>
      </c>
    </row>
    <row r="4266" spans="5:7" x14ac:dyDescent="0.75">
      <c r="E4266" t="s">
        <v>183</v>
      </c>
      <c r="F4266">
        <v>2021</v>
      </c>
      <c r="G4266">
        <v>269.54491999999999</v>
      </c>
    </row>
    <row r="4267" spans="5:7" x14ac:dyDescent="0.75">
      <c r="E4267" t="s">
        <v>183</v>
      </c>
      <c r="F4267">
        <v>2022</v>
      </c>
      <c r="G4267">
        <v>297.53917999999999</v>
      </c>
    </row>
    <row r="4268" spans="5:7" x14ac:dyDescent="0.75">
      <c r="E4268" t="s">
        <v>183</v>
      </c>
      <c r="F4268">
        <v>2023</v>
      </c>
      <c r="G4268">
        <v>298.43560000000002</v>
      </c>
    </row>
    <row r="4269" spans="5:7" x14ac:dyDescent="0.75">
      <c r="E4269" t="s">
        <v>611</v>
      </c>
      <c r="F4269">
        <v>2000</v>
      </c>
      <c r="G4269">
        <v>527.27030000000002</v>
      </c>
    </row>
    <row r="4270" spans="5:7" x14ac:dyDescent="0.75">
      <c r="E4270" t="s">
        <v>611</v>
      </c>
      <c r="F4270">
        <v>2001</v>
      </c>
      <c r="G4270">
        <v>529.25340000000006</v>
      </c>
    </row>
    <row r="4271" spans="5:7" x14ac:dyDescent="0.75">
      <c r="E4271" t="s">
        <v>611</v>
      </c>
      <c r="F4271">
        <v>2002</v>
      </c>
      <c r="G4271">
        <v>532.30020000000002</v>
      </c>
    </row>
    <row r="4272" spans="5:7" x14ac:dyDescent="0.75">
      <c r="E4272" t="s">
        <v>611</v>
      </c>
      <c r="F4272">
        <v>2003</v>
      </c>
      <c r="G4272">
        <v>544.55053999999996</v>
      </c>
    </row>
    <row r="4273" spans="5:7" x14ac:dyDescent="0.75">
      <c r="E4273" t="s">
        <v>611</v>
      </c>
      <c r="F4273">
        <v>2004</v>
      </c>
      <c r="G4273">
        <v>539.43053999999995</v>
      </c>
    </row>
    <row r="4274" spans="5:7" x14ac:dyDescent="0.75">
      <c r="E4274" t="s">
        <v>611</v>
      </c>
      <c r="F4274">
        <v>2005</v>
      </c>
      <c r="G4274">
        <v>543.37860000000001</v>
      </c>
    </row>
    <row r="4275" spans="5:7" x14ac:dyDescent="0.75">
      <c r="E4275" t="s">
        <v>611</v>
      </c>
      <c r="F4275">
        <v>2006</v>
      </c>
      <c r="G4275">
        <v>546.40344000000005</v>
      </c>
    </row>
    <row r="4276" spans="5:7" x14ac:dyDescent="0.75">
      <c r="E4276" t="s">
        <v>611</v>
      </c>
      <c r="F4276">
        <v>2007</v>
      </c>
      <c r="G4276">
        <v>554.65899999999999</v>
      </c>
    </row>
    <row r="4277" spans="5:7" x14ac:dyDescent="0.75">
      <c r="E4277" t="s">
        <v>611</v>
      </c>
      <c r="F4277">
        <v>2008</v>
      </c>
      <c r="G4277">
        <v>547.70680000000004</v>
      </c>
    </row>
    <row r="4278" spans="5:7" x14ac:dyDescent="0.75">
      <c r="E4278" t="s">
        <v>611</v>
      </c>
      <c r="F4278">
        <v>2009</v>
      </c>
      <c r="G4278">
        <v>543.47864000000004</v>
      </c>
    </row>
    <row r="4279" spans="5:7" x14ac:dyDescent="0.75">
      <c r="E4279" t="s">
        <v>611</v>
      </c>
      <c r="F4279">
        <v>2010</v>
      </c>
      <c r="G4279">
        <v>543.83794999999998</v>
      </c>
    </row>
    <row r="4280" spans="5:7" x14ac:dyDescent="0.75">
      <c r="E4280" t="s">
        <v>611</v>
      </c>
      <c r="F4280">
        <v>2011</v>
      </c>
      <c r="G4280">
        <v>550.17773</v>
      </c>
    </row>
    <row r="4281" spans="5:7" x14ac:dyDescent="0.75">
      <c r="E4281" t="s">
        <v>611</v>
      </c>
      <c r="F4281">
        <v>2012</v>
      </c>
      <c r="G4281">
        <v>548.08185000000003</v>
      </c>
    </row>
    <row r="4282" spans="5:7" x14ac:dyDescent="0.75">
      <c r="E4282" t="s">
        <v>611</v>
      </c>
      <c r="F4282">
        <v>2013</v>
      </c>
      <c r="G4282">
        <v>548.27470000000005</v>
      </c>
    </row>
    <row r="4283" spans="5:7" x14ac:dyDescent="0.75">
      <c r="E4283" t="s">
        <v>611</v>
      </c>
      <c r="F4283">
        <v>2014</v>
      </c>
      <c r="G4283">
        <v>544.65689999999995</v>
      </c>
    </row>
    <row r="4284" spans="5:7" x14ac:dyDescent="0.75">
      <c r="E4284" t="s">
        <v>611</v>
      </c>
      <c r="F4284">
        <v>2015</v>
      </c>
      <c r="G4284">
        <v>533.20232999999996</v>
      </c>
    </row>
    <row r="4285" spans="5:7" x14ac:dyDescent="0.75">
      <c r="E4285" t="s">
        <v>611</v>
      </c>
      <c r="F4285">
        <v>2016</v>
      </c>
      <c r="G4285">
        <v>525.17859999999996</v>
      </c>
    </row>
    <row r="4286" spans="5:7" x14ac:dyDescent="0.75">
      <c r="E4286" t="s">
        <v>611</v>
      </c>
      <c r="F4286">
        <v>2017</v>
      </c>
      <c r="G4286">
        <v>521.90150000000006</v>
      </c>
    </row>
    <row r="4287" spans="5:7" x14ac:dyDescent="0.75">
      <c r="E4287" t="s">
        <v>611</v>
      </c>
      <c r="F4287">
        <v>2018</v>
      </c>
      <c r="G4287">
        <v>518.41499999999996</v>
      </c>
    </row>
    <row r="4288" spans="5:7" x14ac:dyDescent="0.75">
      <c r="E4288" t="s">
        <v>611</v>
      </c>
      <c r="F4288">
        <v>2019</v>
      </c>
      <c r="G4288">
        <v>505.46906000000001</v>
      </c>
    </row>
    <row r="4289" spans="5:7" x14ac:dyDescent="0.75">
      <c r="E4289" t="s">
        <v>611</v>
      </c>
      <c r="F4289">
        <v>2020</v>
      </c>
      <c r="G4289">
        <v>491.96886999999998</v>
      </c>
    </row>
    <row r="4290" spans="5:7" x14ac:dyDescent="0.75">
      <c r="E4290" t="s">
        <v>611</v>
      </c>
      <c r="F4290">
        <v>2021</v>
      </c>
      <c r="G4290">
        <v>494.70202999999998</v>
      </c>
    </row>
    <row r="4291" spans="5:7" x14ac:dyDescent="0.75">
      <c r="E4291" t="s">
        <v>611</v>
      </c>
      <c r="F4291">
        <v>2022</v>
      </c>
      <c r="G4291">
        <v>489.74540000000002</v>
      </c>
    </row>
    <row r="4292" spans="5:7" x14ac:dyDescent="0.75">
      <c r="E4292" t="s">
        <v>611</v>
      </c>
      <c r="F4292">
        <v>2023</v>
      </c>
      <c r="G4292">
        <v>484.40285999999998</v>
      </c>
    </row>
    <row r="4293" spans="5:7" x14ac:dyDescent="0.75">
      <c r="E4293" t="s">
        <v>611</v>
      </c>
      <c r="F4293">
        <v>2024</v>
      </c>
      <c r="G4293">
        <v>473.00650000000002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7AD9-0140-41F9-9457-B9EF7971B412}">
  <dimension ref="A1:AL68"/>
  <sheetViews>
    <sheetView workbookViewId="0"/>
  </sheetViews>
  <sheetFormatPr defaultRowHeight="14.75" x14ac:dyDescent="0.75"/>
  <cols>
    <col min="1" max="1" width="38.86328125" customWidth="1"/>
    <col min="2" max="2" width="13.1796875" bestFit="1" customWidth="1"/>
    <col min="3" max="3" width="19.90625" bestFit="1" customWidth="1"/>
    <col min="4" max="4" width="17.6328125" customWidth="1"/>
    <col min="5" max="5" width="9.953125" bestFit="1" customWidth="1"/>
    <col min="6" max="6" width="17.5" bestFit="1" customWidth="1"/>
    <col min="7" max="7" width="11.04296875" bestFit="1" customWidth="1"/>
    <col min="8" max="8" width="12.2265625" bestFit="1" customWidth="1"/>
    <col min="9" max="9" width="17.6328125" bestFit="1" customWidth="1"/>
    <col min="20" max="20" width="13.58984375" bestFit="1" customWidth="1"/>
    <col min="29" max="29" width="13.58984375" bestFit="1" customWidth="1"/>
    <col min="38" max="38" width="13.58984375" bestFit="1" customWidth="1"/>
  </cols>
  <sheetData>
    <row r="1" spans="1:38" ht="16.75" thickBot="1" x14ac:dyDescent="0.95">
      <c r="A1" s="2" t="s">
        <v>270</v>
      </c>
      <c r="B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.5" thickBot="1" x14ac:dyDescent="0.9">
      <c r="A2" s="26" t="s">
        <v>271</v>
      </c>
      <c r="B2" s="27"/>
      <c r="C2" s="28"/>
      <c r="D2" s="5" t="s">
        <v>272</v>
      </c>
      <c r="E2" s="6"/>
      <c r="F2" s="6"/>
      <c r="G2" s="6"/>
      <c r="H2" s="6"/>
      <c r="I2" s="6"/>
      <c r="J2" s="6"/>
      <c r="K2" s="7"/>
      <c r="L2" s="5" t="s">
        <v>577</v>
      </c>
      <c r="M2" s="6"/>
      <c r="N2" s="6"/>
      <c r="O2" s="6"/>
      <c r="P2" s="6"/>
      <c r="Q2" s="6"/>
      <c r="R2" s="6"/>
      <c r="S2" s="7"/>
      <c r="T2" s="7"/>
      <c r="U2" s="5" t="s">
        <v>578</v>
      </c>
      <c r="V2" s="6"/>
      <c r="W2" s="6"/>
      <c r="X2" s="6"/>
      <c r="Y2" s="6"/>
      <c r="Z2" s="6"/>
      <c r="AA2" s="6"/>
      <c r="AB2" s="7"/>
      <c r="AC2" s="7"/>
      <c r="AD2" s="5" t="s">
        <v>579</v>
      </c>
      <c r="AE2" s="6"/>
      <c r="AF2" s="6"/>
      <c r="AG2" s="6"/>
      <c r="AH2" s="6"/>
      <c r="AI2" s="6"/>
      <c r="AJ2" s="6"/>
      <c r="AK2" s="7"/>
      <c r="AL2" s="7"/>
    </row>
    <row r="3" spans="1:38" ht="15.5" thickBot="1" x14ac:dyDescent="0.9">
      <c r="A3" s="8"/>
      <c r="B3" s="9"/>
      <c r="C3" s="9"/>
      <c r="D3" s="10" t="s">
        <v>273</v>
      </c>
      <c r="E3" s="11" t="s">
        <v>274</v>
      </c>
      <c r="F3" s="11" t="s">
        <v>275</v>
      </c>
      <c r="G3" s="11" t="s">
        <v>276</v>
      </c>
      <c r="H3" s="11" t="s">
        <v>277</v>
      </c>
      <c r="I3" s="11" t="s">
        <v>278</v>
      </c>
      <c r="J3" s="11" t="s">
        <v>279</v>
      </c>
      <c r="K3" s="12" t="s">
        <v>280</v>
      </c>
      <c r="L3" s="10" t="s">
        <v>580</v>
      </c>
      <c r="M3" s="11" t="s">
        <v>581</v>
      </c>
      <c r="N3" s="11" t="s">
        <v>582</v>
      </c>
      <c r="O3" s="11" t="s">
        <v>583</v>
      </c>
      <c r="P3" s="11" t="s">
        <v>584</v>
      </c>
      <c r="Q3" s="11" t="s">
        <v>585</v>
      </c>
      <c r="R3" s="11" t="s">
        <v>586</v>
      </c>
      <c r="S3" s="12" t="s">
        <v>587</v>
      </c>
      <c r="T3" s="12"/>
      <c r="U3" s="10" t="s">
        <v>588</v>
      </c>
      <c r="V3" s="11" t="s">
        <v>589</v>
      </c>
      <c r="W3" s="11" t="s">
        <v>590</v>
      </c>
      <c r="X3" s="11" t="s">
        <v>591</v>
      </c>
      <c r="Y3" s="11" t="s">
        <v>592</v>
      </c>
      <c r="Z3" s="11" t="s">
        <v>593</v>
      </c>
      <c r="AA3" s="11" t="s">
        <v>594</v>
      </c>
      <c r="AB3" s="12" t="s">
        <v>595</v>
      </c>
      <c r="AC3" s="12"/>
      <c r="AD3" s="10" t="s">
        <v>596</v>
      </c>
      <c r="AE3" s="11" t="s">
        <v>597</v>
      </c>
      <c r="AF3" s="11" t="s">
        <v>598</v>
      </c>
      <c r="AG3" s="11" t="s">
        <v>599</v>
      </c>
      <c r="AH3" s="11" t="s">
        <v>600</v>
      </c>
      <c r="AI3" s="11" t="s">
        <v>601</v>
      </c>
      <c r="AJ3" s="11" t="s">
        <v>602</v>
      </c>
      <c r="AK3" s="12" t="s">
        <v>603</v>
      </c>
      <c r="AL3" s="12"/>
    </row>
    <row r="4" spans="1:38" x14ac:dyDescent="0.75">
      <c r="A4" s="13" t="s">
        <v>281</v>
      </c>
      <c r="B4" s="14" t="s">
        <v>282</v>
      </c>
      <c r="C4" s="15" t="s">
        <v>262</v>
      </c>
      <c r="D4" s="16" t="s">
        <v>283</v>
      </c>
      <c r="E4" s="17" t="s">
        <v>284</v>
      </c>
      <c r="F4" s="18" t="s">
        <v>285</v>
      </c>
      <c r="G4" s="17" t="s">
        <v>286</v>
      </c>
      <c r="H4" s="18" t="s">
        <v>287</v>
      </c>
      <c r="I4" s="18" t="s">
        <v>288</v>
      </c>
      <c r="J4" s="17" t="s">
        <v>289</v>
      </c>
      <c r="K4" s="19" t="s">
        <v>290</v>
      </c>
      <c r="L4" s="16" t="s">
        <v>283</v>
      </c>
      <c r="M4" s="17" t="s">
        <v>284</v>
      </c>
      <c r="N4" s="18" t="s">
        <v>285</v>
      </c>
      <c r="O4" s="17" t="s">
        <v>286</v>
      </c>
      <c r="P4" s="18" t="s">
        <v>287</v>
      </c>
      <c r="Q4" s="18" t="s">
        <v>288</v>
      </c>
      <c r="R4" s="17" t="s">
        <v>289</v>
      </c>
      <c r="S4" s="19" t="s">
        <v>290</v>
      </c>
      <c r="T4" s="19" t="s">
        <v>606</v>
      </c>
      <c r="U4" s="16" t="s">
        <v>283</v>
      </c>
      <c r="V4" s="17" t="s">
        <v>284</v>
      </c>
      <c r="W4" s="18" t="s">
        <v>285</v>
      </c>
      <c r="X4" s="17" t="s">
        <v>286</v>
      </c>
      <c r="Y4" s="18" t="s">
        <v>287</v>
      </c>
      <c r="Z4" s="18" t="s">
        <v>288</v>
      </c>
      <c r="AA4" s="17" t="s">
        <v>289</v>
      </c>
      <c r="AB4" s="19" t="s">
        <v>290</v>
      </c>
      <c r="AC4" s="19" t="s">
        <v>606</v>
      </c>
      <c r="AD4" s="16" t="s">
        <v>283</v>
      </c>
      <c r="AE4" s="17" t="s">
        <v>284</v>
      </c>
      <c r="AF4" s="18" t="s">
        <v>285</v>
      </c>
      <c r="AG4" s="17" t="s">
        <v>286</v>
      </c>
      <c r="AH4" s="18" t="s">
        <v>287</v>
      </c>
      <c r="AI4" s="18" t="s">
        <v>288</v>
      </c>
      <c r="AJ4" s="17" t="s">
        <v>289</v>
      </c>
      <c r="AK4" s="19" t="s">
        <v>290</v>
      </c>
      <c r="AL4" s="19" t="s">
        <v>606</v>
      </c>
    </row>
    <row r="5" spans="1:38" x14ac:dyDescent="0.75">
      <c r="A5" s="23" t="s">
        <v>4</v>
      </c>
      <c r="B5" s="24" t="s">
        <v>262</v>
      </c>
      <c r="C5" s="23" t="s">
        <v>4</v>
      </c>
      <c r="D5" s="21">
        <v>10</v>
      </c>
      <c r="E5" s="22">
        <v>18.610514180589799</v>
      </c>
      <c r="F5" s="22">
        <v>23.033549693931423</v>
      </c>
      <c r="G5" s="22">
        <v>62.812597973270691</v>
      </c>
      <c r="H5" s="22">
        <v>48.510538064324251</v>
      </c>
      <c r="I5" s="22">
        <v>99.59991579310153</v>
      </c>
      <c r="J5" s="22">
        <v>137.424329975738</v>
      </c>
      <c r="K5" s="22">
        <v>45.194655164781729</v>
      </c>
      <c r="L5" s="21" t="s">
        <v>291</v>
      </c>
      <c r="M5" s="22" t="s">
        <v>291</v>
      </c>
      <c r="N5" s="22" t="s">
        <v>291</v>
      </c>
      <c r="O5" s="22" t="s">
        <v>291</v>
      </c>
      <c r="P5" s="22" t="s">
        <v>291</v>
      </c>
      <c r="Q5" s="22" t="s">
        <v>291</v>
      </c>
      <c r="R5" s="22" t="s">
        <v>291</v>
      </c>
      <c r="S5" s="22" t="s">
        <v>291</v>
      </c>
      <c r="T5" s="22">
        <f>SUMPRODUCT($O$5:$O$68,$L$5:$L$68)/SUM($L$5:$L$68)</f>
        <v>16.910410780975194</v>
      </c>
      <c r="U5" s="21" t="s">
        <v>291</v>
      </c>
      <c r="V5" s="22" t="s">
        <v>291</v>
      </c>
      <c r="W5" s="22" t="s">
        <v>291</v>
      </c>
      <c r="X5" s="22" t="s">
        <v>291</v>
      </c>
      <c r="Y5" s="22" t="s">
        <v>291</v>
      </c>
      <c r="Z5" s="22" t="s">
        <v>291</v>
      </c>
      <c r="AA5" s="22" t="s">
        <v>291</v>
      </c>
      <c r="AB5" s="22" t="s">
        <v>291</v>
      </c>
      <c r="AC5" s="22">
        <f>SUMPRODUCT($X$5:$X$68,$U$5:$U$68)/SUM($U$5:$U$68)</f>
        <v>41.238180878421765</v>
      </c>
      <c r="AD5" s="21" t="s">
        <v>291</v>
      </c>
      <c r="AE5" s="22" t="s">
        <v>291</v>
      </c>
      <c r="AF5" s="22" t="s">
        <v>291</v>
      </c>
      <c r="AG5" s="22" t="s">
        <v>291</v>
      </c>
      <c r="AH5" s="22" t="s">
        <v>291</v>
      </c>
      <c r="AI5" s="22" t="s">
        <v>291</v>
      </c>
      <c r="AJ5" s="22" t="s">
        <v>291</v>
      </c>
      <c r="AK5" s="22" t="s">
        <v>291</v>
      </c>
      <c r="AL5" s="22">
        <f>SUMPRODUCT($AG$5:$AG$68,$AD$5:$AD$68)/SUM($AD$5:$AD$68)</f>
        <v>94.792983435676007</v>
      </c>
    </row>
    <row r="6" spans="1:38" x14ac:dyDescent="0.75">
      <c r="A6" s="20" t="s">
        <v>9</v>
      </c>
      <c r="B6" s="25" t="s">
        <v>262</v>
      </c>
      <c r="C6" s="20" t="s">
        <v>9</v>
      </c>
      <c r="D6" s="21">
        <v>31</v>
      </c>
      <c r="E6" s="22">
        <v>7.3910690946937398</v>
      </c>
      <c r="F6" s="22">
        <v>12.120770897700901</v>
      </c>
      <c r="G6" s="22">
        <v>47.241980003419165</v>
      </c>
      <c r="H6" s="22">
        <v>21.144881442768</v>
      </c>
      <c r="I6" s="22">
        <v>59.326481104355899</v>
      </c>
      <c r="J6" s="22">
        <v>268.18354877927197</v>
      </c>
      <c r="K6" s="22">
        <v>55.460176103390296</v>
      </c>
      <c r="L6" s="21">
        <v>12</v>
      </c>
      <c r="M6" s="22">
        <v>7.3910690946937398</v>
      </c>
      <c r="N6" s="22">
        <v>11.294281328695075</v>
      </c>
      <c r="O6" s="22">
        <v>18.034723158578732</v>
      </c>
      <c r="P6" s="22">
        <v>15.168978376764098</v>
      </c>
      <c r="Q6" s="22">
        <v>27.064278130595525</v>
      </c>
      <c r="R6" s="22">
        <v>34.0192192719704</v>
      </c>
      <c r="S6" s="22">
        <v>9.1820684039176257</v>
      </c>
      <c r="T6" s="22">
        <f t="shared" ref="T6:T68" si="0">SUMPRODUCT($O$5:$O$68,$L$5:$L$68)/SUM($L$5:$L$68)</f>
        <v>16.910410780975194</v>
      </c>
      <c r="U6" s="21">
        <v>13</v>
      </c>
      <c r="V6" s="22">
        <v>8.9716590692514995</v>
      </c>
      <c r="W6" s="22">
        <v>19.558814420993951</v>
      </c>
      <c r="X6" s="22">
        <v>45.499477255356972</v>
      </c>
      <c r="Y6" s="22">
        <v>36.514908325211202</v>
      </c>
      <c r="Z6" s="22">
        <v>70.356611064432997</v>
      </c>
      <c r="AA6" s="22">
        <v>98.433076371832797</v>
      </c>
      <c r="AB6" s="22">
        <v>31.670291175688142</v>
      </c>
      <c r="AC6" s="22">
        <f t="shared" ref="AC6:AC68" si="1">SUMPRODUCT($X$5:$X$68,$U$5:$U$68)/SUM($U$5:$U$68)</f>
        <v>41.238180878421765</v>
      </c>
      <c r="AD6" s="21" t="s">
        <v>291</v>
      </c>
      <c r="AE6" s="22" t="s">
        <v>291</v>
      </c>
      <c r="AF6" s="22" t="s">
        <v>291</v>
      </c>
      <c r="AG6" s="22" t="s">
        <v>291</v>
      </c>
      <c r="AH6" s="22" t="s">
        <v>291</v>
      </c>
      <c r="AI6" s="22" t="s">
        <v>291</v>
      </c>
      <c r="AJ6" s="22" t="s">
        <v>291</v>
      </c>
      <c r="AK6" s="22" t="s">
        <v>291</v>
      </c>
      <c r="AL6" s="22">
        <f t="shared" ref="AL6:AL68" si="2">SUMPRODUCT($AG$5:$AG$68,$AD$5:$AD$68)/SUM($AD$5:$AD$68)</f>
        <v>94.792983435676007</v>
      </c>
    </row>
    <row r="7" spans="1:38" x14ac:dyDescent="0.75">
      <c r="A7" s="20" t="s">
        <v>11</v>
      </c>
      <c r="B7" s="25" t="s">
        <v>262</v>
      </c>
      <c r="C7" s="20" t="s">
        <v>11</v>
      </c>
      <c r="D7" s="21">
        <v>204</v>
      </c>
      <c r="E7" s="22">
        <v>3.9675209548700301</v>
      </c>
      <c r="F7" s="22">
        <v>23.153192330393924</v>
      </c>
      <c r="G7" s="22">
        <v>48.758349380213609</v>
      </c>
      <c r="H7" s="22">
        <v>38.915030587570655</v>
      </c>
      <c r="I7" s="22">
        <v>59.092560103452321</v>
      </c>
      <c r="J7" s="22">
        <v>322.18379986106902</v>
      </c>
      <c r="K7" s="22">
        <v>41.350903136044593</v>
      </c>
      <c r="L7" s="21">
        <v>35</v>
      </c>
      <c r="M7" s="22">
        <v>3.9675209548700301</v>
      </c>
      <c r="N7" s="22">
        <v>17.2702158255352</v>
      </c>
      <c r="O7" s="22">
        <v>29.652034813746539</v>
      </c>
      <c r="P7" s="22">
        <v>25.796955356952399</v>
      </c>
      <c r="Q7" s="22">
        <v>38.036132827675502</v>
      </c>
      <c r="R7" s="22">
        <v>74.907034347408199</v>
      </c>
      <c r="S7" s="22">
        <v>16.794359775576993</v>
      </c>
      <c r="T7" s="22">
        <f t="shared" si="0"/>
        <v>16.910410780975194</v>
      </c>
      <c r="U7" s="21">
        <v>93</v>
      </c>
      <c r="V7" s="22">
        <v>6.1450837376410803</v>
      </c>
      <c r="W7" s="22">
        <v>27.717956427237151</v>
      </c>
      <c r="X7" s="22">
        <v>44.474918047139411</v>
      </c>
      <c r="Y7" s="22">
        <v>39.273950109118601</v>
      </c>
      <c r="Z7" s="22">
        <v>55.415991478647349</v>
      </c>
      <c r="AA7" s="22">
        <v>158.25183500495601</v>
      </c>
      <c r="AB7" s="22">
        <v>25.21063641448939</v>
      </c>
      <c r="AC7" s="22">
        <f t="shared" si="1"/>
        <v>41.238180878421765</v>
      </c>
      <c r="AD7" s="21">
        <v>57</v>
      </c>
      <c r="AE7" s="22">
        <v>12.759860907780601</v>
      </c>
      <c r="AF7" s="22">
        <v>40.656004155829748</v>
      </c>
      <c r="AG7" s="22">
        <v>75.786918960267982</v>
      </c>
      <c r="AH7" s="22">
        <v>59.115495603392198</v>
      </c>
      <c r="AI7" s="22">
        <v>90.745877235769854</v>
      </c>
      <c r="AJ7" s="22">
        <v>322.18379986106902</v>
      </c>
      <c r="AK7" s="22">
        <v>59.159055704370488</v>
      </c>
      <c r="AL7" s="22">
        <f t="shared" si="2"/>
        <v>94.792983435676007</v>
      </c>
    </row>
    <row r="8" spans="1:38" x14ac:dyDescent="0.75">
      <c r="A8" s="20" t="s">
        <v>12</v>
      </c>
      <c r="B8" s="25" t="s">
        <v>262</v>
      </c>
      <c r="C8" s="20" t="s">
        <v>12</v>
      </c>
      <c r="D8" s="21">
        <v>37</v>
      </c>
      <c r="E8" s="22">
        <v>1.4426050302192599</v>
      </c>
      <c r="F8" s="22">
        <v>6.3378712147303506</v>
      </c>
      <c r="G8" s="22">
        <v>11.841173534383454</v>
      </c>
      <c r="H8" s="22">
        <v>8.2420667307850408</v>
      </c>
      <c r="I8" s="22">
        <v>12.75174630521925</v>
      </c>
      <c r="J8" s="22">
        <v>40.679757311980303</v>
      </c>
      <c r="K8" s="22">
        <v>9.7765335207707924</v>
      </c>
      <c r="L8" s="21">
        <v>12</v>
      </c>
      <c r="M8" s="22">
        <v>1.4426050302192599</v>
      </c>
      <c r="N8" s="22">
        <v>5.35981827382908</v>
      </c>
      <c r="O8" s="22">
        <v>7.6990803304492887</v>
      </c>
      <c r="P8" s="22">
        <v>7.3769836647297549</v>
      </c>
      <c r="Q8" s="22">
        <v>10.272796899101913</v>
      </c>
      <c r="R8" s="22">
        <v>15.369370765660401</v>
      </c>
      <c r="S8" s="22">
        <v>3.57223737882873</v>
      </c>
      <c r="T8" s="22">
        <f t="shared" si="0"/>
        <v>16.910410780975194</v>
      </c>
      <c r="U8" s="21">
        <v>15</v>
      </c>
      <c r="V8" s="22">
        <v>1.62320556997207</v>
      </c>
      <c r="W8" s="22">
        <v>5.8752770434194099</v>
      </c>
      <c r="X8" s="22">
        <v>10.008290670757516</v>
      </c>
      <c r="Y8" s="22">
        <v>9.7426134534304296</v>
      </c>
      <c r="Z8" s="22">
        <v>12.967308034122</v>
      </c>
      <c r="AA8" s="22">
        <v>22.109728620763001</v>
      </c>
      <c r="AB8" s="22">
        <v>5.1917398208919385</v>
      </c>
      <c r="AC8" s="22">
        <f t="shared" si="1"/>
        <v>41.238180878421765</v>
      </c>
      <c r="AD8" s="21" t="s">
        <v>291</v>
      </c>
      <c r="AE8" s="22" t="s">
        <v>291</v>
      </c>
      <c r="AF8" s="22" t="s">
        <v>291</v>
      </c>
      <c r="AG8" s="22" t="s">
        <v>291</v>
      </c>
      <c r="AH8" s="22" t="s">
        <v>291</v>
      </c>
      <c r="AI8" s="22" t="s">
        <v>291</v>
      </c>
      <c r="AJ8" s="22" t="s">
        <v>291</v>
      </c>
      <c r="AK8" s="22" t="s">
        <v>291</v>
      </c>
      <c r="AL8" s="22">
        <f t="shared" si="2"/>
        <v>94.792983435676007</v>
      </c>
    </row>
    <row r="9" spans="1:38" x14ac:dyDescent="0.75">
      <c r="A9" s="23" t="s">
        <v>15</v>
      </c>
      <c r="B9" s="24" t="s">
        <v>262</v>
      </c>
      <c r="C9" s="23" t="s">
        <v>15</v>
      </c>
      <c r="D9" s="21">
        <v>15</v>
      </c>
      <c r="E9" s="22">
        <v>41.993527483347798</v>
      </c>
      <c r="F9" s="22">
        <v>85.943954052329303</v>
      </c>
      <c r="G9" s="22">
        <v>144.08939673742614</v>
      </c>
      <c r="H9" s="22">
        <v>150.21378925201901</v>
      </c>
      <c r="I9" s="22">
        <v>173.288042290916</v>
      </c>
      <c r="J9" s="22">
        <v>320.10258224090398</v>
      </c>
      <c r="K9" s="22">
        <v>73.149717000004088</v>
      </c>
      <c r="L9" s="21" t="s">
        <v>291</v>
      </c>
      <c r="M9" s="22" t="s">
        <v>291</v>
      </c>
      <c r="N9" s="22" t="s">
        <v>291</v>
      </c>
      <c r="O9" s="22" t="s">
        <v>291</v>
      </c>
      <c r="P9" s="22" t="s">
        <v>291</v>
      </c>
      <c r="Q9" s="22" t="s">
        <v>291</v>
      </c>
      <c r="R9" s="22" t="s">
        <v>291</v>
      </c>
      <c r="S9" s="22" t="s">
        <v>291</v>
      </c>
      <c r="T9" s="22">
        <f t="shared" si="0"/>
        <v>16.910410780975194</v>
      </c>
      <c r="U9" s="21">
        <v>8</v>
      </c>
      <c r="V9" s="22">
        <v>60.9731688178952</v>
      </c>
      <c r="W9" s="22">
        <v>83.730935454160999</v>
      </c>
      <c r="X9" s="22">
        <v>124.38280772221329</v>
      </c>
      <c r="Y9" s="22">
        <v>95.607058791253451</v>
      </c>
      <c r="Z9" s="22">
        <v>169.57186531869374</v>
      </c>
      <c r="AA9" s="22">
        <v>242.22658204392701</v>
      </c>
      <c r="AB9" s="22">
        <v>61.316581897255801</v>
      </c>
      <c r="AC9" s="22">
        <f t="shared" si="1"/>
        <v>41.238180878421765</v>
      </c>
      <c r="AD9" s="21" t="s">
        <v>291</v>
      </c>
      <c r="AE9" s="22" t="s">
        <v>291</v>
      </c>
      <c r="AF9" s="22" t="s">
        <v>291</v>
      </c>
      <c r="AG9" s="22" t="s">
        <v>291</v>
      </c>
      <c r="AH9" s="22" t="s">
        <v>291</v>
      </c>
      <c r="AI9" s="22" t="s">
        <v>291</v>
      </c>
      <c r="AJ9" s="22" t="s">
        <v>291</v>
      </c>
      <c r="AK9" s="22" t="s">
        <v>291</v>
      </c>
      <c r="AL9" s="22">
        <f t="shared" si="2"/>
        <v>94.792983435676007</v>
      </c>
    </row>
    <row r="10" spans="1:38" x14ac:dyDescent="0.75">
      <c r="A10" s="20" t="s">
        <v>19</v>
      </c>
      <c r="B10" s="25" t="s">
        <v>262</v>
      </c>
      <c r="C10" s="20" t="s">
        <v>19</v>
      </c>
      <c r="D10" s="21">
        <v>44</v>
      </c>
      <c r="E10" s="22">
        <v>1.9008296578960699</v>
      </c>
      <c r="F10" s="22">
        <v>7.1175557968528498</v>
      </c>
      <c r="G10" s="22">
        <v>16.824282319589727</v>
      </c>
      <c r="H10" s="22">
        <v>11.553816657499201</v>
      </c>
      <c r="I10" s="22">
        <v>28.239114687432849</v>
      </c>
      <c r="J10" s="22">
        <v>42.764960442324799</v>
      </c>
      <c r="K10" s="22">
        <v>12.034007944148923</v>
      </c>
      <c r="L10" s="21">
        <v>20</v>
      </c>
      <c r="M10" s="22">
        <v>2.1211261629629599</v>
      </c>
      <c r="N10" s="22">
        <v>6.8725254974842951</v>
      </c>
      <c r="O10" s="22">
        <v>10.028240168358705</v>
      </c>
      <c r="P10" s="22">
        <v>7.5019433128356496</v>
      </c>
      <c r="Q10" s="22">
        <v>11.8294372245876</v>
      </c>
      <c r="R10" s="22">
        <v>28.233378700093901</v>
      </c>
      <c r="S10" s="22">
        <v>5.9908863465043929</v>
      </c>
      <c r="T10" s="22">
        <f t="shared" si="0"/>
        <v>16.910410780975194</v>
      </c>
      <c r="U10" s="21">
        <v>17</v>
      </c>
      <c r="V10" s="22">
        <v>1.9008296578960699</v>
      </c>
      <c r="W10" s="22">
        <v>19.063569879870002</v>
      </c>
      <c r="X10" s="22">
        <v>25.064402333141373</v>
      </c>
      <c r="Y10" s="22">
        <v>28.2410266832125</v>
      </c>
      <c r="Z10" s="22">
        <v>32.527656785822948</v>
      </c>
      <c r="AA10" s="22">
        <v>37.760205659683301</v>
      </c>
      <c r="AB10" s="22">
        <v>9.9144714790624562</v>
      </c>
      <c r="AC10" s="22">
        <f t="shared" si="1"/>
        <v>41.238180878421765</v>
      </c>
      <c r="AD10" s="21" t="s">
        <v>291</v>
      </c>
      <c r="AE10" s="22" t="s">
        <v>291</v>
      </c>
      <c r="AF10" s="22" t="s">
        <v>291</v>
      </c>
      <c r="AG10" s="22" t="s">
        <v>291</v>
      </c>
      <c r="AH10" s="22" t="s">
        <v>291</v>
      </c>
      <c r="AI10" s="22" t="s">
        <v>291</v>
      </c>
      <c r="AJ10" s="22" t="s">
        <v>291</v>
      </c>
      <c r="AK10" s="22" t="s">
        <v>291</v>
      </c>
      <c r="AL10" s="22">
        <f t="shared" si="2"/>
        <v>94.792983435676007</v>
      </c>
    </row>
    <row r="11" spans="1:38" x14ac:dyDescent="0.75">
      <c r="A11" s="20" t="s">
        <v>26</v>
      </c>
      <c r="B11" s="25" t="s">
        <v>262</v>
      </c>
      <c r="C11" s="20" t="s">
        <v>26</v>
      </c>
      <c r="D11" s="21">
        <v>121</v>
      </c>
      <c r="E11" s="22">
        <v>1.5780314687058401</v>
      </c>
      <c r="F11" s="22">
        <v>3.0775900550477</v>
      </c>
      <c r="G11" s="22">
        <v>8.6180526743506913</v>
      </c>
      <c r="H11" s="22">
        <v>5.4158404982573103</v>
      </c>
      <c r="I11" s="22">
        <v>9.0016936585662641</v>
      </c>
      <c r="J11" s="22">
        <v>52.5373293555309</v>
      </c>
      <c r="K11" s="22">
        <v>9.1924424408306145</v>
      </c>
      <c r="L11" s="21">
        <v>45</v>
      </c>
      <c r="M11" s="22">
        <v>1.58624052467856</v>
      </c>
      <c r="N11" s="22">
        <v>2.7378760995628251</v>
      </c>
      <c r="O11" s="22">
        <v>4.7026489737366814</v>
      </c>
      <c r="P11" s="22">
        <v>4.3249395924419396</v>
      </c>
      <c r="Q11" s="22">
        <v>5.5468329138913397</v>
      </c>
      <c r="R11" s="22">
        <v>20.391785074761799</v>
      </c>
      <c r="S11" s="22">
        <v>2.9962294324203902</v>
      </c>
      <c r="T11" s="22">
        <f t="shared" si="0"/>
        <v>16.910410780975194</v>
      </c>
      <c r="U11" s="21">
        <v>40</v>
      </c>
      <c r="V11" s="22">
        <v>1.78277946534325</v>
      </c>
      <c r="W11" s="22">
        <v>4.9820596683060518</v>
      </c>
      <c r="X11" s="22">
        <v>9.1852085103618286</v>
      </c>
      <c r="Y11" s="22">
        <v>7.6342897754065451</v>
      </c>
      <c r="Z11" s="22">
        <v>10.632347031964013</v>
      </c>
      <c r="AA11" s="22">
        <v>28.331558100096501</v>
      </c>
      <c r="AB11" s="22">
        <v>6.4640088505725934</v>
      </c>
      <c r="AC11" s="22">
        <f t="shared" si="1"/>
        <v>41.238180878421765</v>
      </c>
      <c r="AD11" s="21">
        <v>12</v>
      </c>
      <c r="AE11" s="22">
        <v>7.0925936387463002</v>
      </c>
      <c r="AF11" s="22">
        <v>9.3349919470642426</v>
      </c>
      <c r="AG11" s="22">
        <v>17.988624802200274</v>
      </c>
      <c r="AH11" s="22">
        <v>16.290851123477601</v>
      </c>
      <c r="AI11" s="22">
        <v>24.624372519716974</v>
      </c>
      <c r="AJ11" s="22">
        <v>36.4510120880879</v>
      </c>
      <c r="AK11" s="22">
        <v>9.660193047524066</v>
      </c>
      <c r="AL11" s="22">
        <f t="shared" si="2"/>
        <v>94.792983435676007</v>
      </c>
    </row>
    <row r="12" spans="1:38" x14ac:dyDescent="0.75">
      <c r="A12" s="20" t="s">
        <v>34</v>
      </c>
      <c r="B12" s="25" t="s">
        <v>262</v>
      </c>
      <c r="C12" s="20" t="s">
        <v>34</v>
      </c>
      <c r="D12" s="21">
        <v>365</v>
      </c>
      <c r="E12" s="22">
        <v>0.174918604302438</v>
      </c>
      <c r="F12" s="22">
        <v>7.8929344166983295</v>
      </c>
      <c r="G12" s="22">
        <v>21.891214572253347</v>
      </c>
      <c r="H12" s="22">
        <v>13.4475547891234</v>
      </c>
      <c r="I12" s="22">
        <v>26.8680710325402</v>
      </c>
      <c r="J12" s="22">
        <v>254.95956580407301</v>
      </c>
      <c r="K12" s="22">
        <v>26.024583808742612</v>
      </c>
      <c r="L12" s="21">
        <v>169</v>
      </c>
      <c r="M12" s="22">
        <v>0.76986704771371794</v>
      </c>
      <c r="N12" s="22">
        <v>8.0348076228268948</v>
      </c>
      <c r="O12" s="22">
        <v>18.442738385135236</v>
      </c>
      <c r="P12" s="22">
        <v>12.4608360907269</v>
      </c>
      <c r="Q12" s="22">
        <v>24.140022940828452</v>
      </c>
      <c r="R12" s="22">
        <v>93.512620527522699</v>
      </c>
      <c r="S12" s="22">
        <v>16.174346967202272</v>
      </c>
      <c r="T12" s="22">
        <f t="shared" si="0"/>
        <v>16.910410780975194</v>
      </c>
      <c r="U12" s="21">
        <v>57</v>
      </c>
      <c r="V12" s="22">
        <v>3.0603889466168201</v>
      </c>
      <c r="W12" s="22">
        <v>16.7384296973921</v>
      </c>
      <c r="X12" s="22">
        <v>40.303491206338137</v>
      </c>
      <c r="Y12" s="22">
        <v>25.850510884185201</v>
      </c>
      <c r="Z12" s="22">
        <v>46.99927692041625</v>
      </c>
      <c r="AA12" s="22">
        <v>195.44420420671599</v>
      </c>
      <c r="AB12" s="22">
        <v>40.017202569814593</v>
      </c>
      <c r="AC12" s="22">
        <f t="shared" si="1"/>
        <v>41.238180878421765</v>
      </c>
      <c r="AD12" s="21" t="s">
        <v>291</v>
      </c>
      <c r="AE12" s="22" t="s">
        <v>291</v>
      </c>
      <c r="AF12" s="22" t="s">
        <v>291</v>
      </c>
      <c r="AG12" s="22" t="s">
        <v>291</v>
      </c>
      <c r="AH12" s="22" t="s">
        <v>291</v>
      </c>
      <c r="AI12" s="22" t="s">
        <v>291</v>
      </c>
      <c r="AJ12" s="22" t="s">
        <v>291</v>
      </c>
      <c r="AK12" s="22" t="s">
        <v>291</v>
      </c>
      <c r="AL12" s="22">
        <f t="shared" si="2"/>
        <v>94.792983435676007</v>
      </c>
    </row>
    <row r="13" spans="1:38" x14ac:dyDescent="0.75">
      <c r="A13" s="20" t="s">
        <v>37</v>
      </c>
      <c r="B13" s="25" t="s">
        <v>262</v>
      </c>
      <c r="C13" s="20" t="s">
        <v>37</v>
      </c>
      <c r="D13" s="21">
        <v>26</v>
      </c>
      <c r="E13" s="22">
        <v>6.2192415560329799</v>
      </c>
      <c r="F13" s="22">
        <v>9.3285268998343724</v>
      </c>
      <c r="G13" s="22">
        <v>34.082810014375681</v>
      </c>
      <c r="H13" s="22">
        <v>22.5934460016922</v>
      </c>
      <c r="I13" s="22">
        <v>44.665632636610852</v>
      </c>
      <c r="J13" s="22">
        <v>142.701173962875</v>
      </c>
      <c r="K13" s="22">
        <v>32.287311478507014</v>
      </c>
      <c r="L13" s="21">
        <v>11</v>
      </c>
      <c r="M13" s="22">
        <v>6.2192415560329799</v>
      </c>
      <c r="N13" s="22">
        <v>6.6935664961569996</v>
      </c>
      <c r="O13" s="22">
        <v>14.974209797204468</v>
      </c>
      <c r="P13" s="22">
        <v>9.1975511566672807</v>
      </c>
      <c r="Q13" s="22">
        <v>18.605847076852999</v>
      </c>
      <c r="R13" s="22">
        <v>42.6550124736561</v>
      </c>
      <c r="S13" s="22">
        <v>13.191569726995269</v>
      </c>
      <c r="T13" s="22">
        <f t="shared" si="0"/>
        <v>16.910410780975194</v>
      </c>
      <c r="U13" s="21">
        <v>8</v>
      </c>
      <c r="V13" s="22">
        <v>22.5786970844538</v>
      </c>
      <c r="W13" s="22">
        <v>40.411759090866155</v>
      </c>
      <c r="X13" s="22">
        <v>55.881851199517264</v>
      </c>
      <c r="Y13" s="22">
        <v>52.207363487423748</v>
      </c>
      <c r="Z13" s="22">
        <v>79.880591257233448</v>
      </c>
      <c r="AA13" s="22">
        <v>84.507033985058001</v>
      </c>
      <c r="AB13" s="22">
        <v>21.853428453632404</v>
      </c>
      <c r="AC13" s="22">
        <f t="shared" si="1"/>
        <v>41.238180878421765</v>
      </c>
      <c r="AD13" s="21" t="s">
        <v>291</v>
      </c>
      <c r="AE13" s="22" t="s">
        <v>291</v>
      </c>
      <c r="AF13" s="22" t="s">
        <v>291</v>
      </c>
      <c r="AG13" s="22" t="s">
        <v>291</v>
      </c>
      <c r="AH13" s="22" t="s">
        <v>291</v>
      </c>
      <c r="AI13" s="22" t="s">
        <v>291</v>
      </c>
      <c r="AJ13" s="22" t="s">
        <v>291</v>
      </c>
      <c r="AK13" s="22" t="s">
        <v>291</v>
      </c>
      <c r="AL13" s="22">
        <f t="shared" si="2"/>
        <v>94.792983435676007</v>
      </c>
    </row>
    <row r="14" spans="1:38" x14ac:dyDescent="0.75">
      <c r="A14" s="20" t="s">
        <v>38</v>
      </c>
      <c r="B14" s="25" t="s">
        <v>262</v>
      </c>
      <c r="C14" s="20" t="s">
        <v>38</v>
      </c>
      <c r="D14" s="21">
        <v>1044</v>
      </c>
      <c r="E14" s="22">
        <v>7.5317961029726099</v>
      </c>
      <c r="F14" s="22">
        <v>34.75212429104657</v>
      </c>
      <c r="G14" s="22">
        <v>63.917131895306049</v>
      </c>
      <c r="H14" s="22">
        <v>58.301950350153547</v>
      </c>
      <c r="I14" s="22">
        <v>81.83969616813738</v>
      </c>
      <c r="J14" s="22">
        <v>933.09171538964597</v>
      </c>
      <c r="K14" s="22">
        <v>47.59102750461917</v>
      </c>
      <c r="L14" s="21">
        <v>243</v>
      </c>
      <c r="M14" s="22">
        <v>12.2986169143474</v>
      </c>
      <c r="N14" s="22">
        <v>28.076746572720499</v>
      </c>
      <c r="O14" s="22">
        <v>46.509414509985085</v>
      </c>
      <c r="P14" s="22">
        <v>40.997048843261197</v>
      </c>
      <c r="Q14" s="22">
        <v>61.1047829396461</v>
      </c>
      <c r="R14" s="22">
        <v>154.56919129779499</v>
      </c>
      <c r="S14" s="22">
        <v>25.015905089655021</v>
      </c>
      <c r="T14" s="22">
        <f t="shared" si="0"/>
        <v>16.910410780975194</v>
      </c>
      <c r="U14" s="21">
        <v>462</v>
      </c>
      <c r="V14" s="22">
        <v>14.0649058367165</v>
      </c>
      <c r="W14" s="22">
        <v>45.951898355262799</v>
      </c>
      <c r="X14" s="22">
        <v>68.926915948163128</v>
      </c>
      <c r="Y14" s="22">
        <v>63.739400055021449</v>
      </c>
      <c r="Z14" s="22">
        <v>82.965595584899077</v>
      </c>
      <c r="AA14" s="22">
        <v>933.09171538964597</v>
      </c>
      <c r="AB14" s="22">
        <v>50.613574768746041</v>
      </c>
      <c r="AC14" s="22">
        <f t="shared" si="1"/>
        <v>41.238180878421765</v>
      </c>
      <c r="AD14" s="21">
        <v>233</v>
      </c>
      <c r="AE14" s="22">
        <v>28.4711773428686</v>
      </c>
      <c r="AF14" s="22">
        <v>58.468848807395048</v>
      </c>
      <c r="AG14" s="22">
        <v>92.091654166824938</v>
      </c>
      <c r="AH14" s="22">
        <v>81.359692370370993</v>
      </c>
      <c r="AI14" s="22">
        <v>112.48700396950301</v>
      </c>
      <c r="AJ14" s="22">
        <v>387.531207048542</v>
      </c>
      <c r="AK14" s="22">
        <v>48.503069316802438</v>
      </c>
      <c r="AL14" s="22">
        <f t="shared" si="2"/>
        <v>94.792983435676007</v>
      </c>
    </row>
    <row r="15" spans="1:38" x14ac:dyDescent="0.75">
      <c r="A15" s="20" t="s">
        <v>39</v>
      </c>
      <c r="B15" s="25" t="s">
        <v>262</v>
      </c>
      <c r="C15" s="20" t="s">
        <v>39</v>
      </c>
      <c r="D15" s="21">
        <v>53</v>
      </c>
      <c r="E15" s="22">
        <v>2.9950099705675699</v>
      </c>
      <c r="F15" s="22">
        <v>5.6173346889160047</v>
      </c>
      <c r="G15" s="22">
        <v>14.267918673051788</v>
      </c>
      <c r="H15" s="22">
        <v>11.484034994353401</v>
      </c>
      <c r="I15" s="22">
        <v>19.786811281255549</v>
      </c>
      <c r="J15" s="22">
        <v>44.81725371329</v>
      </c>
      <c r="K15" s="22">
        <v>10.569046914518912</v>
      </c>
      <c r="L15" s="21">
        <v>21</v>
      </c>
      <c r="M15" s="22">
        <v>3.1453479558022601</v>
      </c>
      <c r="N15" s="22">
        <v>5.1418629916335252</v>
      </c>
      <c r="O15" s="22">
        <v>8.9790894897367455</v>
      </c>
      <c r="P15" s="22">
        <v>6.8729195901451696</v>
      </c>
      <c r="Q15" s="22">
        <v>12.3772586122339</v>
      </c>
      <c r="R15" s="22">
        <v>19.4132965185701</v>
      </c>
      <c r="S15" s="22">
        <v>4.8050067062146455</v>
      </c>
      <c r="T15" s="22">
        <f t="shared" si="0"/>
        <v>16.910410780975194</v>
      </c>
      <c r="U15" s="21">
        <v>18</v>
      </c>
      <c r="V15" s="22">
        <v>5.69946109955435</v>
      </c>
      <c r="W15" s="22">
        <v>10.077395128769526</v>
      </c>
      <c r="X15" s="22">
        <v>16.225718608370105</v>
      </c>
      <c r="Y15" s="22">
        <v>13.598275760530001</v>
      </c>
      <c r="Z15" s="22">
        <v>24.84079880511015</v>
      </c>
      <c r="AA15" s="22">
        <v>28.050689730519299</v>
      </c>
      <c r="AB15" s="22">
        <v>7.6493144611773607</v>
      </c>
      <c r="AC15" s="22">
        <f t="shared" si="1"/>
        <v>41.238180878421765</v>
      </c>
      <c r="AD15" s="21">
        <v>8</v>
      </c>
      <c r="AE15" s="22">
        <v>15.579478211880399</v>
      </c>
      <c r="AF15" s="22">
        <v>21.793451435497875</v>
      </c>
      <c r="AG15" s="22">
        <v>31.301148694206912</v>
      </c>
      <c r="AH15" s="22">
        <v>32.252510091140202</v>
      </c>
      <c r="AI15" s="22">
        <v>40.562747941838452</v>
      </c>
      <c r="AJ15" s="22">
        <v>44.81725371329</v>
      </c>
      <c r="AK15" s="22">
        <v>10.320370571381778</v>
      </c>
      <c r="AL15" s="22">
        <f t="shared" si="2"/>
        <v>94.792983435676007</v>
      </c>
    </row>
    <row r="16" spans="1:38" x14ac:dyDescent="0.75">
      <c r="A16" s="20" t="s">
        <v>42</v>
      </c>
      <c r="B16" s="25" t="s">
        <v>262</v>
      </c>
      <c r="C16" s="20" t="s">
        <v>42</v>
      </c>
      <c r="D16" s="21">
        <v>21</v>
      </c>
      <c r="E16" s="22">
        <v>0.216028842263284</v>
      </c>
      <c r="F16" s="22">
        <v>4.4273415068186956</v>
      </c>
      <c r="G16" s="22">
        <v>11.133538864398535</v>
      </c>
      <c r="H16" s="22">
        <v>8.0640265823047308</v>
      </c>
      <c r="I16" s="22">
        <v>17.684412558520449</v>
      </c>
      <c r="J16" s="22">
        <v>28.188923560653301</v>
      </c>
      <c r="K16" s="22">
        <v>8.2388051288219355</v>
      </c>
      <c r="L16" s="21">
        <v>9</v>
      </c>
      <c r="M16" s="22">
        <v>0.216028842263284</v>
      </c>
      <c r="N16" s="22">
        <v>2.364422429305665</v>
      </c>
      <c r="O16" s="22">
        <v>6.0947986768733706</v>
      </c>
      <c r="P16" s="22">
        <v>4.53468129438206</v>
      </c>
      <c r="Q16" s="22">
        <v>10.109717274108966</v>
      </c>
      <c r="R16" s="22">
        <v>15.7753713951557</v>
      </c>
      <c r="S16" s="22">
        <v>5.0483846545314401</v>
      </c>
      <c r="T16" s="22">
        <f t="shared" si="0"/>
        <v>16.910410780975194</v>
      </c>
      <c r="U16" s="21">
        <v>8</v>
      </c>
      <c r="V16" s="22">
        <v>4.9134323734873497</v>
      </c>
      <c r="W16" s="22">
        <v>7.9260912713255998</v>
      </c>
      <c r="X16" s="22">
        <v>14.502350330546598</v>
      </c>
      <c r="Y16" s="22">
        <v>12.065005467393149</v>
      </c>
      <c r="Z16" s="22">
        <v>21.595399020008323</v>
      </c>
      <c r="AA16" s="22">
        <v>28.188923560653301</v>
      </c>
      <c r="AB16" s="22">
        <v>8.2486578615706474</v>
      </c>
      <c r="AC16" s="22">
        <f t="shared" si="1"/>
        <v>41.238180878421765</v>
      </c>
      <c r="AD16" s="21" t="s">
        <v>291</v>
      </c>
      <c r="AE16" s="22" t="s">
        <v>291</v>
      </c>
      <c r="AF16" s="22" t="s">
        <v>291</v>
      </c>
      <c r="AG16" s="22" t="s">
        <v>291</v>
      </c>
      <c r="AH16" s="22" t="s">
        <v>291</v>
      </c>
      <c r="AI16" s="22" t="s">
        <v>291</v>
      </c>
      <c r="AJ16" s="22" t="s">
        <v>291</v>
      </c>
      <c r="AK16" s="22" t="s">
        <v>291</v>
      </c>
      <c r="AL16" s="22">
        <f t="shared" si="2"/>
        <v>94.792983435676007</v>
      </c>
    </row>
    <row r="17" spans="1:38" x14ac:dyDescent="0.75">
      <c r="A17" s="20" t="s">
        <v>612</v>
      </c>
      <c r="B17" s="25" t="s">
        <v>262</v>
      </c>
      <c r="C17" s="20" t="s">
        <v>612</v>
      </c>
      <c r="D17" s="21">
        <v>16</v>
      </c>
      <c r="E17" s="22">
        <v>16.9168848254353</v>
      </c>
      <c r="F17" s="22">
        <v>26.725234690641425</v>
      </c>
      <c r="G17" s="22">
        <v>53.879450672496056</v>
      </c>
      <c r="H17" s="22">
        <v>34.370321375864201</v>
      </c>
      <c r="I17" s="22">
        <v>48.051758237536077</v>
      </c>
      <c r="J17" s="22">
        <v>174.49178783568601</v>
      </c>
      <c r="K17" s="22">
        <v>48.443611355971882</v>
      </c>
      <c r="L17" s="21" t="s">
        <v>291</v>
      </c>
      <c r="M17" s="22" t="s">
        <v>291</v>
      </c>
      <c r="N17" s="22" t="s">
        <v>291</v>
      </c>
      <c r="O17" s="22" t="s">
        <v>291</v>
      </c>
      <c r="P17" s="22" t="s">
        <v>291</v>
      </c>
      <c r="Q17" s="22" t="s">
        <v>291</v>
      </c>
      <c r="R17" s="22" t="s">
        <v>291</v>
      </c>
      <c r="S17" s="22" t="s">
        <v>291</v>
      </c>
      <c r="T17" s="22">
        <f t="shared" si="0"/>
        <v>16.910410780975194</v>
      </c>
      <c r="U17" s="21" t="s">
        <v>291</v>
      </c>
      <c r="V17" s="22" t="s">
        <v>291</v>
      </c>
      <c r="W17" s="22" t="s">
        <v>291</v>
      </c>
      <c r="X17" s="22" t="s">
        <v>291</v>
      </c>
      <c r="Y17" s="22" t="s">
        <v>291</v>
      </c>
      <c r="Z17" s="22" t="s">
        <v>291</v>
      </c>
      <c r="AA17" s="22" t="s">
        <v>291</v>
      </c>
      <c r="AB17" s="22" t="s">
        <v>291</v>
      </c>
      <c r="AC17" s="22">
        <f t="shared" si="1"/>
        <v>41.238180878421765</v>
      </c>
      <c r="AD17" s="21" t="s">
        <v>291</v>
      </c>
      <c r="AE17" s="22" t="s">
        <v>291</v>
      </c>
      <c r="AF17" s="22" t="s">
        <v>291</v>
      </c>
      <c r="AG17" s="22" t="s">
        <v>291</v>
      </c>
      <c r="AH17" s="22" t="s">
        <v>291</v>
      </c>
      <c r="AI17" s="22" t="s">
        <v>291</v>
      </c>
      <c r="AJ17" s="22" t="s">
        <v>291</v>
      </c>
      <c r="AK17" s="22" t="s">
        <v>291</v>
      </c>
      <c r="AL17" s="22">
        <f t="shared" si="2"/>
        <v>94.792983435676007</v>
      </c>
    </row>
    <row r="18" spans="1:38" x14ac:dyDescent="0.75">
      <c r="A18" s="23" t="s">
        <v>50</v>
      </c>
      <c r="B18" s="24" t="s">
        <v>262</v>
      </c>
      <c r="C18" s="23" t="s">
        <v>50</v>
      </c>
      <c r="D18" s="21">
        <v>11</v>
      </c>
      <c r="E18" s="22">
        <v>7.7196760456570201</v>
      </c>
      <c r="F18" s="22">
        <v>26.3998437459008</v>
      </c>
      <c r="G18" s="22">
        <v>49.703220941619364</v>
      </c>
      <c r="H18" s="22">
        <v>44.939974716804102</v>
      </c>
      <c r="I18" s="22">
        <v>79.137411740583602</v>
      </c>
      <c r="J18" s="22">
        <v>101.399403604187</v>
      </c>
      <c r="K18" s="22">
        <v>30.928755826509132</v>
      </c>
      <c r="L18" s="21" t="s">
        <v>291</v>
      </c>
      <c r="M18" s="22" t="s">
        <v>291</v>
      </c>
      <c r="N18" s="22" t="s">
        <v>291</v>
      </c>
      <c r="O18" s="22" t="s">
        <v>291</v>
      </c>
      <c r="P18" s="22" t="s">
        <v>291</v>
      </c>
      <c r="Q18" s="22" t="s">
        <v>291</v>
      </c>
      <c r="R18" s="22" t="s">
        <v>291</v>
      </c>
      <c r="S18" s="22" t="s">
        <v>291</v>
      </c>
      <c r="T18" s="22">
        <f t="shared" si="0"/>
        <v>16.910410780975194</v>
      </c>
      <c r="U18" s="21" t="s">
        <v>291</v>
      </c>
      <c r="V18" s="22" t="s">
        <v>291</v>
      </c>
      <c r="W18" s="22" t="s">
        <v>291</v>
      </c>
      <c r="X18" s="22" t="s">
        <v>291</v>
      </c>
      <c r="Y18" s="22" t="s">
        <v>291</v>
      </c>
      <c r="Z18" s="22" t="s">
        <v>291</v>
      </c>
      <c r="AA18" s="22" t="s">
        <v>291</v>
      </c>
      <c r="AB18" s="22" t="s">
        <v>291</v>
      </c>
      <c r="AC18" s="22">
        <f t="shared" si="1"/>
        <v>41.238180878421765</v>
      </c>
      <c r="AD18" s="21" t="s">
        <v>291</v>
      </c>
      <c r="AE18" s="22" t="s">
        <v>291</v>
      </c>
      <c r="AF18" s="22" t="s">
        <v>291</v>
      </c>
      <c r="AG18" s="22" t="s">
        <v>291</v>
      </c>
      <c r="AH18" s="22" t="s">
        <v>291</v>
      </c>
      <c r="AI18" s="22" t="s">
        <v>291</v>
      </c>
      <c r="AJ18" s="22" t="s">
        <v>291</v>
      </c>
      <c r="AK18" s="22" t="s">
        <v>291</v>
      </c>
      <c r="AL18" s="22">
        <f t="shared" si="2"/>
        <v>94.792983435676007</v>
      </c>
    </row>
    <row r="19" spans="1:38" x14ac:dyDescent="0.75">
      <c r="A19" s="20" t="s">
        <v>53</v>
      </c>
      <c r="B19" s="25" t="s">
        <v>262</v>
      </c>
      <c r="C19" s="20" t="s">
        <v>53</v>
      </c>
      <c r="D19" s="21">
        <v>56</v>
      </c>
      <c r="E19" s="22">
        <v>15.1639064423075</v>
      </c>
      <c r="F19" s="22">
        <v>32.373724204523498</v>
      </c>
      <c r="G19" s="22">
        <v>70.842196018462928</v>
      </c>
      <c r="H19" s="22">
        <v>59.157402276674702</v>
      </c>
      <c r="I19" s="22">
        <v>98.377795114944817</v>
      </c>
      <c r="J19" s="22">
        <v>221.644606182236</v>
      </c>
      <c r="K19" s="22">
        <v>46.539009010716526</v>
      </c>
      <c r="L19" s="21" t="s">
        <v>291</v>
      </c>
      <c r="M19" s="22" t="s">
        <v>291</v>
      </c>
      <c r="N19" s="22" t="s">
        <v>291</v>
      </c>
      <c r="O19" s="22" t="s">
        <v>291</v>
      </c>
      <c r="P19" s="22" t="s">
        <v>291</v>
      </c>
      <c r="Q19" s="22" t="s">
        <v>291</v>
      </c>
      <c r="R19" s="22" t="s">
        <v>291</v>
      </c>
      <c r="S19" s="22" t="s">
        <v>291</v>
      </c>
      <c r="T19" s="22">
        <f t="shared" si="0"/>
        <v>16.910410780975194</v>
      </c>
      <c r="U19" s="21">
        <v>32</v>
      </c>
      <c r="V19" s="22">
        <v>15.1639064423075</v>
      </c>
      <c r="W19" s="22">
        <v>30.7950441972941</v>
      </c>
      <c r="X19" s="22">
        <v>57.545341500582353</v>
      </c>
      <c r="Y19" s="22">
        <v>47.964495821804199</v>
      </c>
      <c r="Z19" s="22">
        <v>85.371329711186746</v>
      </c>
      <c r="AA19" s="22">
        <v>152.05833647728701</v>
      </c>
      <c r="AB19" s="22">
        <v>34.608432607225097</v>
      </c>
      <c r="AC19" s="22">
        <f t="shared" si="1"/>
        <v>41.238180878421765</v>
      </c>
      <c r="AD19" s="21">
        <v>23</v>
      </c>
      <c r="AE19" s="22">
        <v>20.366376442191999</v>
      </c>
      <c r="AF19" s="22">
        <v>53.258114416133203</v>
      </c>
      <c r="AG19" s="22">
        <v>91.29950522874455</v>
      </c>
      <c r="AH19" s="22">
        <v>69.155611065902406</v>
      </c>
      <c r="AI19" s="22">
        <v>127.39101826300001</v>
      </c>
      <c r="AJ19" s="22">
        <v>221.644606182236</v>
      </c>
      <c r="AK19" s="22">
        <v>54.223144236226538</v>
      </c>
      <c r="AL19" s="22">
        <f t="shared" si="2"/>
        <v>94.792983435676007</v>
      </c>
    </row>
    <row r="20" spans="1:38" x14ac:dyDescent="0.75">
      <c r="A20" s="20" t="s">
        <v>338</v>
      </c>
      <c r="B20" s="25" t="s">
        <v>262</v>
      </c>
      <c r="C20" s="20" t="s">
        <v>338</v>
      </c>
      <c r="D20" s="21">
        <v>10</v>
      </c>
      <c r="E20" s="22">
        <v>20.747619453138299</v>
      </c>
      <c r="F20" s="22">
        <v>27.113641932108798</v>
      </c>
      <c r="G20" s="22">
        <v>75.555934552347125</v>
      </c>
      <c r="H20" s="22">
        <v>68.397963905201593</v>
      </c>
      <c r="I20" s="22">
        <v>94.115397344697556</v>
      </c>
      <c r="J20" s="22">
        <v>210.93225570714799</v>
      </c>
      <c r="K20" s="22">
        <v>56.107514181081676</v>
      </c>
      <c r="L20" s="21" t="s">
        <v>291</v>
      </c>
      <c r="M20" s="22" t="s">
        <v>291</v>
      </c>
      <c r="N20" s="22" t="s">
        <v>291</v>
      </c>
      <c r="O20" s="22" t="s">
        <v>291</v>
      </c>
      <c r="P20" s="22" t="s">
        <v>291</v>
      </c>
      <c r="Q20" s="22" t="s">
        <v>291</v>
      </c>
      <c r="R20" s="22" t="s">
        <v>291</v>
      </c>
      <c r="S20" s="22" t="s">
        <v>291</v>
      </c>
      <c r="T20" s="22">
        <f t="shared" si="0"/>
        <v>16.910410780975194</v>
      </c>
      <c r="U20" s="21" t="s">
        <v>291</v>
      </c>
      <c r="V20" s="22" t="s">
        <v>291</v>
      </c>
      <c r="W20" s="22" t="s">
        <v>291</v>
      </c>
      <c r="X20" s="22" t="s">
        <v>291</v>
      </c>
      <c r="Y20" s="22" t="s">
        <v>291</v>
      </c>
      <c r="Z20" s="22" t="s">
        <v>291</v>
      </c>
      <c r="AA20" s="22" t="s">
        <v>291</v>
      </c>
      <c r="AB20" s="22" t="s">
        <v>291</v>
      </c>
      <c r="AC20" s="22">
        <f t="shared" si="1"/>
        <v>41.238180878421765</v>
      </c>
      <c r="AD20" s="21" t="s">
        <v>291</v>
      </c>
      <c r="AE20" s="22" t="s">
        <v>291</v>
      </c>
      <c r="AF20" s="22" t="s">
        <v>291</v>
      </c>
      <c r="AG20" s="22" t="s">
        <v>291</v>
      </c>
      <c r="AH20" s="22" t="s">
        <v>291</v>
      </c>
      <c r="AI20" s="22" t="s">
        <v>291</v>
      </c>
      <c r="AJ20" s="22" t="s">
        <v>291</v>
      </c>
      <c r="AK20" s="22" t="s">
        <v>291</v>
      </c>
      <c r="AL20" s="22">
        <f t="shared" si="2"/>
        <v>94.792983435676007</v>
      </c>
    </row>
    <row r="21" spans="1:38" x14ac:dyDescent="0.75">
      <c r="A21" s="20" t="s">
        <v>60</v>
      </c>
      <c r="B21" s="25" t="s">
        <v>262</v>
      </c>
      <c r="C21" s="20" t="s">
        <v>60</v>
      </c>
      <c r="D21" s="21" t="s">
        <v>291</v>
      </c>
      <c r="E21" s="22" t="s">
        <v>291</v>
      </c>
      <c r="F21" s="22" t="s">
        <v>291</v>
      </c>
      <c r="G21" s="22" t="s">
        <v>291</v>
      </c>
      <c r="H21" s="22" t="s">
        <v>291</v>
      </c>
      <c r="I21" s="22" t="s">
        <v>291</v>
      </c>
      <c r="J21" s="22" t="s">
        <v>291</v>
      </c>
      <c r="K21" s="22" t="s">
        <v>291</v>
      </c>
      <c r="L21" s="21" t="s">
        <v>291</v>
      </c>
      <c r="M21" s="22" t="s">
        <v>291</v>
      </c>
      <c r="N21" s="22" t="s">
        <v>291</v>
      </c>
      <c r="O21" s="22" t="s">
        <v>291</v>
      </c>
      <c r="P21" s="22" t="s">
        <v>291</v>
      </c>
      <c r="Q21" s="22" t="s">
        <v>291</v>
      </c>
      <c r="R21" s="22" t="s">
        <v>291</v>
      </c>
      <c r="S21" s="22" t="s">
        <v>291</v>
      </c>
      <c r="T21" s="22">
        <f t="shared" si="0"/>
        <v>16.910410780975194</v>
      </c>
      <c r="U21" s="21" t="s">
        <v>291</v>
      </c>
      <c r="V21" s="22" t="s">
        <v>291</v>
      </c>
      <c r="W21" s="22" t="s">
        <v>291</v>
      </c>
      <c r="X21" s="22" t="s">
        <v>291</v>
      </c>
      <c r="Y21" s="22" t="s">
        <v>291</v>
      </c>
      <c r="Z21" s="22" t="s">
        <v>291</v>
      </c>
      <c r="AA21" s="22" t="s">
        <v>291</v>
      </c>
      <c r="AB21" s="22" t="s">
        <v>291</v>
      </c>
      <c r="AC21" s="22">
        <f t="shared" si="1"/>
        <v>41.238180878421765</v>
      </c>
      <c r="AD21" s="21" t="s">
        <v>291</v>
      </c>
      <c r="AE21" s="22" t="s">
        <v>291</v>
      </c>
      <c r="AF21" s="22" t="s">
        <v>291</v>
      </c>
      <c r="AG21" s="22" t="s">
        <v>291</v>
      </c>
      <c r="AH21" s="22" t="s">
        <v>291</v>
      </c>
      <c r="AI21" s="22" t="s">
        <v>291</v>
      </c>
      <c r="AJ21" s="22" t="s">
        <v>291</v>
      </c>
      <c r="AK21" s="22" t="s">
        <v>291</v>
      </c>
      <c r="AL21" s="22">
        <f t="shared" si="2"/>
        <v>94.792983435676007</v>
      </c>
    </row>
    <row r="22" spans="1:38" x14ac:dyDescent="0.75">
      <c r="A22" s="20" t="s">
        <v>61</v>
      </c>
      <c r="B22" s="25" t="s">
        <v>262</v>
      </c>
      <c r="C22" s="20" t="s">
        <v>61</v>
      </c>
      <c r="D22" s="21">
        <v>1216</v>
      </c>
      <c r="E22" s="22">
        <v>0.56322586767419403</v>
      </c>
      <c r="F22" s="22">
        <v>1.2938035261590026</v>
      </c>
      <c r="G22" s="22">
        <v>3.7660270256402018</v>
      </c>
      <c r="H22" s="22">
        <v>2.2837756094478951</v>
      </c>
      <c r="I22" s="22">
        <v>4.5821155364442498</v>
      </c>
      <c r="J22" s="22">
        <v>63.9436782170391</v>
      </c>
      <c r="K22" s="22">
        <v>4.3583008801330188</v>
      </c>
      <c r="L22" s="21">
        <v>420</v>
      </c>
      <c r="M22" s="22">
        <v>0.84008302275301205</v>
      </c>
      <c r="N22" s="22">
        <v>1.3171510467449226</v>
      </c>
      <c r="O22" s="22">
        <v>2.7748674174320778</v>
      </c>
      <c r="P22" s="22">
        <v>2.1585144162233947</v>
      </c>
      <c r="Q22" s="22">
        <v>3.6184040945717899</v>
      </c>
      <c r="R22" s="22">
        <v>17.353650470953099</v>
      </c>
      <c r="S22" s="22">
        <v>2.0749890991974196</v>
      </c>
      <c r="T22" s="22">
        <f t="shared" si="0"/>
        <v>16.910410780975194</v>
      </c>
      <c r="U22" s="21">
        <v>364</v>
      </c>
      <c r="V22" s="22">
        <v>0.90037230261607404</v>
      </c>
      <c r="W22" s="22">
        <v>2.5533103522080074</v>
      </c>
      <c r="X22" s="22">
        <v>5.8332126774348358</v>
      </c>
      <c r="Y22" s="22">
        <v>4.8012528478917149</v>
      </c>
      <c r="Z22" s="22">
        <v>7.7771625891726002</v>
      </c>
      <c r="AA22" s="22">
        <v>30.595315487382699</v>
      </c>
      <c r="AB22" s="22">
        <v>4.4240556881214248</v>
      </c>
      <c r="AC22" s="22">
        <f t="shared" si="1"/>
        <v>41.238180878421765</v>
      </c>
      <c r="AD22" s="21">
        <v>34</v>
      </c>
      <c r="AE22" s="22">
        <v>0.92655818272733803</v>
      </c>
      <c r="AF22" s="22">
        <v>6.8221234333901304</v>
      </c>
      <c r="AG22" s="22">
        <v>15.554217731357131</v>
      </c>
      <c r="AH22" s="22">
        <v>13.64311892763885</v>
      </c>
      <c r="AI22" s="22">
        <v>20.752573022080124</v>
      </c>
      <c r="AJ22" s="22">
        <v>63.9436782170391</v>
      </c>
      <c r="AK22" s="22">
        <v>11.925473699782914</v>
      </c>
      <c r="AL22" s="22">
        <f t="shared" si="2"/>
        <v>94.792983435676007</v>
      </c>
    </row>
    <row r="23" spans="1:38" x14ac:dyDescent="0.75">
      <c r="A23" s="23" t="s">
        <v>339</v>
      </c>
      <c r="B23" s="24" t="s">
        <v>262</v>
      </c>
      <c r="C23" s="23" t="s">
        <v>339</v>
      </c>
      <c r="D23" s="21" t="s">
        <v>291</v>
      </c>
      <c r="E23" s="22" t="s">
        <v>291</v>
      </c>
      <c r="F23" s="22" t="s">
        <v>291</v>
      </c>
      <c r="G23" s="22" t="s">
        <v>291</v>
      </c>
      <c r="H23" s="22" t="s">
        <v>291</v>
      </c>
      <c r="I23" s="22" t="s">
        <v>291</v>
      </c>
      <c r="J23" s="22" t="s">
        <v>291</v>
      </c>
      <c r="K23" s="22" t="s">
        <v>291</v>
      </c>
      <c r="L23" s="21" t="s">
        <v>291</v>
      </c>
      <c r="M23" s="22" t="s">
        <v>291</v>
      </c>
      <c r="N23" s="22" t="s">
        <v>291</v>
      </c>
      <c r="O23" s="22" t="s">
        <v>291</v>
      </c>
      <c r="P23" s="22" t="s">
        <v>291</v>
      </c>
      <c r="Q23" s="22" t="s">
        <v>291</v>
      </c>
      <c r="R23" s="22" t="s">
        <v>291</v>
      </c>
      <c r="S23" s="22" t="s">
        <v>291</v>
      </c>
      <c r="T23" s="22">
        <f t="shared" si="0"/>
        <v>16.910410780975194</v>
      </c>
      <c r="U23" s="21" t="s">
        <v>291</v>
      </c>
      <c r="V23" s="22" t="s">
        <v>291</v>
      </c>
      <c r="W23" s="22" t="s">
        <v>291</v>
      </c>
      <c r="X23" s="22" t="s">
        <v>291</v>
      </c>
      <c r="Y23" s="22" t="s">
        <v>291</v>
      </c>
      <c r="Z23" s="22" t="s">
        <v>291</v>
      </c>
      <c r="AA23" s="22" t="s">
        <v>291</v>
      </c>
      <c r="AB23" s="22" t="s">
        <v>291</v>
      </c>
      <c r="AC23" s="22">
        <f t="shared" si="1"/>
        <v>41.238180878421765</v>
      </c>
      <c r="AD23" s="21" t="s">
        <v>291</v>
      </c>
      <c r="AE23" s="22" t="s">
        <v>291</v>
      </c>
      <c r="AF23" s="22" t="s">
        <v>291</v>
      </c>
      <c r="AG23" s="22" t="s">
        <v>291</v>
      </c>
      <c r="AH23" s="22" t="s">
        <v>291</v>
      </c>
      <c r="AI23" s="22" t="s">
        <v>291</v>
      </c>
      <c r="AJ23" s="22" t="s">
        <v>291</v>
      </c>
      <c r="AK23" s="22" t="s">
        <v>291</v>
      </c>
      <c r="AL23" s="22">
        <f t="shared" si="2"/>
        <v>94.792983435676007</v>
      </c>
    </row>
    <row r="24" spans="1:38" x14ac:dyDescent="0.75">
      <c r="A24" s="23" t="s">
        <v>64</v>
      </c>
      <c r="B24" s="24" t="s">
        <v>262</v>
      </c>
      <c r="C24" s="23" t="s">
        <v>64</v>
      </c>
      <c r="D24" s="21">
        <v>11</v>
      </c>
      <c r="E24" s="22">
        <v>6.6239339102559898</v>
      </c>
      <c r="F24" s="22">
        <v>12.874622664269801</v>
      </c>
      <c r="G24" s="22">
        <v>28.639820724591097</v>
      </c>
      <c r="H24" s="22">
        <v>25.767802922244702</v>
      </c>
      <c r="I24" s="22">
        <v>43.855951421384098</v>
      </c>
      <c r="J24" s="22">
        <v>62.158277379364101</v>
      </c>
      <c r="K24" s="22">
        <v>17.556617347478486</v>
      </c>
      <c r="L24" s="21" t="s">
        <v>291</v>
      </c>
      <c r="M24" s="22" t="s">
        <v>291</v>
      </c>
      <c r="N24" s="22" t="s">
        <v>291</v>
      </c>
      <c r="O24" s="22" t="s">
        <v>291</v>
      </c>
      <c r="P24" s="22" t="s">
        <v>291</v>
      </c>
      <c r="Q24" s="22" t="s">
        <v>291</v>
      </c>
      <c r="R24" s="22" t="s">
        <v>291</v>
      </c>
      <c r="S24" s="22" t="s">
        <v>291</v>
      </c>
      <c r="T24" s="22">
        <f t="shared" si="0"/>
        <v>16.910410780975194</v>
      </c>
      <c r="U24" s="21" t="s">
        <v>291</v>
      </c>
      <c r="V24" s="22" t="s">
        <v>291</v>
      </c>
      <c r="W24" s="22" t="s">
        <v>291</v>
      </c>
      <c r="X24" s="22" t="s">
        <v>291</v>
      </c>
      <c r="Y24" s="22" t="s">
        <v>291</v>
      </c>
      <c r="Z24" s="22" t="s">
        <v>291</v>
      </c>
      <c r="AA24" s="22" t="s">
        <v>291</v>
      </c>
      <c r="AB24" s="22" t="s">
        <v>291</v>
      </c>
      <c r="AC24" s="22">
        <f t="shared" si="1"/>
        <v>41.238180878421765</v>
      </c>
      <c r="AD24" s="21" t="s">
        <v>291</v>
      </c>
      <c r="AE24" s="22" t="s">
        <v>291</v>
      </c>
      <c r="AF24" s="22" t="s">
        <v>291</v>
      </c>
      <c r="AG24" s="22" t="s">
        <v>291</v>
      </c>
      <c r="AH24" s="22" t="s">
        <v>291</v>
      </c>
      <c r="AI24" s="22" t="s">
        <v>291</v>
      </c>
      <c r="AJ24" s="22" t="s">
        <v>291</v>
      </c>
      <c r="AK24" s="22" t="s">
        <v>291</v>
      </c>
      <c r="AL24" s="22">
        <f t="shared" si="2"/>
        <v>94.792983435676007</v>
      </c>
    </row>
    <row r="25" spans="1:38" x14ac:dyDescent="0.75">
      <c r="A25" s="20" t="s">
        <v>65</v>
      </c>
      <c r="B25" s="25" t="s">
        <v>262</v>
      </c>
      <c r="C25" s="20" t="s">
        <v>65</v>
      </c>
      <c r="D25" s="21">
        <v>266</v>
      </c>
      <c r="E25" s="22">
        <v>3.4457234533532199</v>
      </c>
      <c r="F25" s="22">
        <v>9.1717026904016912</v>
      </c>
      <c r="G25" s="22">
        <v>17.719702319351065</v>
      </c>
      <c r="H25" s="22">
        <v>13.805835729543951</v>
      </c>
      <c r="I25" s="22">
        <v>20.976875765288447</v>
      </c>
      <c r="J25" s="22">
        <v>111.640238488436</v>
      </c>
      <c r="K25" s="22">
        <v>14.744682124533307</v>
      </c>
      <c r="L25" s="21">
        <v>59</v>
      </c>
      <c r="M25" s="22">
        <v>3.4457234533532199</v>
      </c>
      <c r="N25" s="22">
        <v>8.4528425991201992</v>
      </c>
      <c r="O25" s="22">
        <v>12.883417456204036</v>
      </c>
      <c r="P25" s="22">
        <v>11.309548217568899</v>
      </c>
      <c r="Q25" s="22">
        <v>14.3212969258618</v>
      </c>
      <c r="R25" s="22">
        <v>74.698958306811704</v>
      </c>
      <c r="S25" s="22">
        <v>9.5953552696066176</v>
      </c>
      <c r="T25" s="22">
        <f t="shared" si="0"/>
        <v>16.910410780975194</v>
      </c>
      <c r="U25" s="21">
        <v>91</v>
      </c>
      <c r="V25" s="22">
        <v>6.7153486231494997</v>
      </c>
      <c r="W25" s="22">
        <v>14.4500474938705</v>
      </c>
      <c r="X25" s="22">
        <v>23.02905018770592</v>
      </c>
      <c r="Y25" s="22">
        <v>20.0137716708543</v>
      </c>
      <c r="Z25" s="22">
        <v>27.929202291955502</v>
      </c>
      <c r="AA25" s="22">
        <v>79.8632646767458</v>
      </c>
      <c r="AB25" s="22">
        <v>12.694905513049079</v>
      </c>
      <c r="AC25" s="22">
        <f t="shared" si="1"/>
        <v>41.238180878421765</v>
      </c>
      <c r="AD25" s="21">
        <v>18</v>
      </c>
      <c r="AE25" s="22">
        <v>19.843860442550199</v>
      </c>
      <c r="AF25" s="22">
        <v>27.185468962523348</v>
      </c>
      <c r="AG25" s="22">
        <v>46.341049687331989</v>
      </c>
      <c r="AH25" s="22">
        <v>42.410284930219298</v>
      </c>
      <c r="AI25" s="22">
        <v>50.146305199558277</v>
      </c>
      <c r="AJ25" s="22">
        <v>111.640238488436</v>
      </c>
      <c r="AK25" s="22">
        <v>26.149932681813809</v>
      </c>
      <c r="AL25" s="22">
        <f t="shared" si="2"/>
        <v>94.792983435676007</v>
      </c>
    </row>
    <row r="26" spans="1:38" x14ac:dyDescent="0.75">
      <c r="A26" s="20" t="s">
        <v>67</v>
      </c>
      <c r="B26" s="25" t="s">
        <v>262</v>
      </c>
      <c r="C26" s="20" t="s">
        <v>67</v>
      </c>
      <c r="D26" s="21">
        <v>12</v>
      </c>
      <c r="E26" s="22">
        <v>30.252030235700499</v>
      </c>
      <c r="F26" s="22">
        <v>38.745501507045326</v>
      </c>
      <c r="G26" s="22">
        <v>65.87208016212692</v>
      </c>
      <c r="H26" s="22">
        <v>51.2041946556092</v>
      </c>
      <c r="I26" s="22">
        <v>70.992311757814974</v>
      </c>
      <c r="J26" s="22">
        <v>170.705175854316</v>
      </c>
      <c r="K26" s="22">
        <v>42.803919489615524</v>
      </c>
      <c r="L26" s="21" t="s">
        <v>291</v>
      </c>
      <c r="M26" s="22" t="s">
        <v>291</v>
      </c>
      <c r="N26" s="22" t="s">
        <v>291</v>
      </c>
      <c r="O26" s="22" t="s">
        <v>291</v>
      </c>
      <c r="P26" s="22" t="s">
        <v>291</v>
      </c>
      <c r="Q26" s="22" t="s">
        <v>291</v>
      </c>
      <c r="R26" s="22" t="s">
        <v>291</v>
      </c>
      <c r="S26" s="22" t="s">
        <v>291</v>
      </c>
      <c r="T26" s="22">
        <f t="shared" si="0"/>
        <v>16.910410780975194</v>
      </c>
      <c r="U26" s="21" t="s">
        <v>291</v>
      </c>
      <c r="V26" s="22" t="s">
        <v>291</v>
      </c>
      <c r="W26" s="22" t="s">
        <v>291</v>
      </c>
      <c r="X26" s="22" t="s">
        <v>291</v>
      </c>
      <c r="Y26" s="22" t="s">
        <v>291</v>
      </c>
      <c r="Z26" s="22" t="s">
        <v>291</v>
      </c>
      <c r="AA26" s="22" t="s">
        <v>291</v>
      </c>
      <c r="AB26" s="22" t="s">
        <v>291</v>
      </c>
      <c r="AC26" s="22">
        <f t="shared" si="1"/>
        <v>41.238180878421765</v>
      </c>
      <c r="AD26" s="21" t="s">
        <v>291</v>
      </c>
      <c r="AE26" s="22" t="s">
        <v>291</v>
      </c>
      <c r="AF26" s="22" t="s">
        <v>291</v>
      </c>
      <c r="AG26" s="22" t="s">
        <v>291</v>
      </c>
      <c r="AH26" s="22" t="s">
        <v>291</v>
      </c>
      <c r="AI26" s="22" t="s">
        <v>291</v>
      </c>
      <c r="AJ26" s="22" t="s">
        <v>291</v>
      </c>
      <c r="AK26" s="22" t="s">
        <v>291</v>
      </c>
      <c r="AL26" s="22">
        <f t="shared" si="2"/>
        <v>94.792983435676007</v>
      </c>
    </row>
    <row r="27" spans="1:38" x14ac:dyDescent="0.75">
      <c r="A27" s="20" t="s">
        <v>268</v>
      </c>
      <c r="B27" s="25" t="s">
        <v>262</v>
      </c>
      <c r="C27" s="20" t="s">
        <v>268</v>
      </c>
      <c r="D27" s="21">
        <v>38</v>
      </c>
      <c r="E27" s="22">
        <v>14.19496675932</v>
      </c>
      <c r="F27" s="22">
        <v>31.785881300769447</v>
      </c>
      <c r="G27" s="22">
        <v>121.42982879420187</v>
      </c>
      <c r="H27" s="22">
        <v>86.448812013422611</v>
      </c>
      <c r="I27" s="22">
        <v>192.27705797380173</v>
      </c>
      <c r="J27" s="22">
        <v>393.73386114021901</v>
      </c>
      <c r="K27" s="22">
        <v>104.4001194049566</v>
      </c>
      <c r="L27" s="21">
        <v>11</v>
      </c>
      <c r="M27" s="22">
        <v>14.19496675932</v>
      </c>
      <c r="N27" s="22">
        <v>17.3145113195108</v>
      </c>
      <c r="O27" s="22">
        <v>28.277352733647316</v>
      </c>
      <c r="P27" s="22">
        <v>25.999879658978699</v>
      </c>
      <c r="Q27" s="22">
        <v>33.422594759694597</v>
      </c>
      <c r="R27" s="22">
        <v>68.533840076441194</v>
      </c>
      <c r="S27" s="22">
        <v>15.07355870195255</v>
      </c>
      <c r="T27" s="22">
        <f t="shared" si="0"/>
        <v>16.910410780975194</v>
      </c>
      <c r="U27" s="21">
        <v>13</v>
      </c>
      <c r="V27" s="22">
        <v>44.539693055105701</v>
      </c>
      <c r="W27" s="22">
        <v>57.247969012210852</v>
      </c>
      <c r="X27" s="22">
        <v>97.475527405027975</v>
      </c>
      <c r="Y27" s="22">
        <v>92.809413783887507</v>
      </c>
      <c r="Z27" s="22">
        <v>123.371468479225</v>
      </c>
      <c r="AA27" s="22">
        <v>224.043648504863</v>
      </c>
      <c r="AB27" s="22">
        <v>49.505857544769192</v>
      </c>
      <c r="AC27" s="22">
        <f t="shared" si="1"/>
        <v>41.238180878421765</v>
      </c>
      <c r="AD27" s="21">
        <v>13</v>
      </c>
      <c r="AE27" s="22">
        <v>73.211385472598195</v>
      </c>
      <c r="AF27" s="22">
        <v>170.81850291251851</v>
      </c>
      <c r="AG27" s="22">
        <v>231.68635018762535</v>
      </c>
      <c r="AH27" s="22">
        <v>226.825205687687</v>
      </c>
      <c r="AI27" s="22">
        <v>296.99761800214503</v>
      </c>
      <c r="AJ27" s="22">
        <v>393.73386114021901</v>
      </c>
      <c r="AK27" s="22">
        <v>91.829572092495951</v>
      </c>
      <c r="AL27" s="22">
        <f t="shared" si="2"/>
        <v>94.792983435676007</v>
      </c>
    </row>
    <row r="28" spans="1:38" x14ac:dyDescent="0.75">
      <c r="A28" s="20" t="s">
        <v>76</v>
      </c>
      <c r="B28" s="25" t="s">
        <v>262</v>
      </c>
      <c r="C28" s="20" t="s">
        <v>76</v>
      </c>
      <c r="D28" s="21">
        <v>21</v>
      </c>
      <c r="E28" s="22">
        <v>5.2420243586181297</v>
      </c>
      <c r="F28" s="22">
        <v>13.609143270479201</v>
      </c>
      <c r="G28" s="22">
        <v>28.261994079456539</v>
      </c>
      <c r="H28" s="22">
        <v>17.958919144307401</v>
      </c>
      <c r="I28" s="22">
        <v>31.233389317096602</v>
      </c>
      <c r="J28" s="22">
        <v>151.05439315319501</v>
      </c>
      <c r="K28" s="22">
        <v>31.045272231091143</v>
      </c>
      <c r="L28" s="21">
        <v>8</v>
      </c>
      <c r="M28" s="22">
        <v>6.8449155621639104</v>
      </c>
      <c r="N28" s="22">
        <v>8.5202881143809801</v>
      </c>
      <c r="O28" s="22">
        <v>16.309381709017806</v>
      </c>
      <c r="P28" s="22">
        <v>13.609143270479201</v>
      </c>
      <c r="Q28" s="22">
        <v>26.4016717910118</v>
      </c>
      <c r="R28" s="22">
        <v>32.213539717164302</v>
      </c>
      <c r="S28" s="22">
        <v>9.6727551619314216</v>
      </c>
      <c r="T28" s="22">
        <f t="shared" si="0"/>
        <v>16.910410780975194</v>
      </c>
      <c r="U28" s="21">
        <v>8</v>
      </c>
      <c r="V28" s="22">
        <v>5.2420243586181297</v>
      </c>
      <c r="W28" s="22">
        <v>15.093320709723175</v>
      </c>
      <c r="X28" s="22">
        <v>17.58995713958198</v>
      </c>
      <c r="Y28" s="22">
        <v>17.926520781978201</v>
      </c>
      <c r="Z28" s="22">
        <v>20.963767746607573</v>
      </c>
      <c r="AA28" s="22">
        <v>27.485556736115299</v>
      </c>
      <c r="AB28" s="22">
        <v>6.3396012994818536</v>
      </c>
      <c r="AC28" s="22">
        <f t="shared" si="1"/>
        <v>41.238180878421765</v>
      </c>
      <c r="AD28" s="21" t="s">
        <v>291</v>
      </c>
      <c r="AE28" s="22" t="s">
        <v>291</v>
      </c>
      <c r="AF28" s="22" t="s">
        <v>291</v>
      </c>
      <c r="AG28" s="22" t="s">
        <v>291</v>
      </c>
      <c r="AH28" s="22" t="s">
        <v>291</v>
      </c>
      <c r="AI28" s="22" t="s">
        <v>291</v>
      </c>
      <c r="AJ28" s="22" t="s">
        <v>291</v>
      </c>
      <c r="AK28" s="22" t="s">
        <v>291</v>
      </c>
      <c r="AL28" s="22">
        <f t="shared" si="2"/>
        <v>94.792983435676007</v>
      </c>
    </row>
    <row r="29" spans="1:38" x14ac:dyDescent="0.75">
      <c r="A29" s="20" t="s">
        <v>78</v>
      </c>
      <c r="B29" s="25" t="s">
        <v>262</v>
      </c>
      <c r="C29" s="20" t="s">
        <v>78</v>
      </c>
      <c r="D29" s="21">
        <v>254</v>
      </c>
      <c r="E29" s="22">
        <v>1.05293587569648</v>
      </c>
      <c r="F29" s="22">
        <v>35.244597076220828</v>
      </c>
      <c r="G29" s="22">
        <v>60.039227102791394</v>
      </c>
      <c r="H29" s="22">
        <v>53.420287667512099</v>
      </c>
      <c r="I29" s="22">
        <v>74.360803085429495</v>
      </c>
      <c r="J29" s="22">
        <v>333.25066752198597</v>
      </c>
      <c r="K29" s="22">
        <v>39.224860992007031</v>
      </c>
      <c r="L29" s="21">
        <v>66</v>
      </c>
      <c r="M29" s="22">
        <v>1.05293587569648</v>
      </c>
      <c r="N29" s="22">
        <v>25.250682058075075</v>
      </c>
      <c r="O29" s="22">
        <v>44.760847828132114</v>
      </c>
      <c r="P29" s="22">
        <v>42.3766691916111</v>
      </c>
      <c r="Q29" s="22">
        <v>59.464471204842575</v>
      </c>
      <c r="R29" s="22">
        <v>118.90641382970099</v>
      </c>
      <c r="S29" s="22">
        <v>23.343939561328426</v>
      </c>
      <c r="T29" s="22">
        <f t="shared" si="0"/>
        <v>16.910410780975194</v>
      </c>
      <c r="U29" s="21">
        <v>128</v>
      </c>
      <c r="V29" s="22">
        <v>8.3259609029458499</v>
      </c>
      <c r="W29" s="22">
        <v>39.550799415653302</v>
      </c>
      <c r="X29" s="22">
        <v>64.625315927390787</v>
      </c>
      <c r="Y29" s="22">
        <v>59.777988169370545</v>
      </c>
      <c r="Z29" s="22">
        <v>81.957470846743291</v>
      </c>
      <c r="AA29" s="22">
        <v>244.627954896902</v>
      </c>
      <c r="AB29" s="22">
        <v>33.570720303231141</v>
      </c>
      <c r="AC29" s="22">
        <f t="shared" si="1"/>
        <v>41.238180878421765</v>
      </c>
      <c r="AD29" s="21">
        <v>39</v>
      </c>
      <c r="AE29" s="22">
        <v>18.205944996945899</v>
      </c>
      <c r="AF29" s="22">
        <v>52.588715325593903</v>
      </c>
      <c r="AG29" s="22">
        <v>87.695610816492447</v>
      </c>
      <c r="AH29" s="22">
        <v>72.108626475698003</v>
      </c>
      <c r="AI29" s="22">
        <v>102.429610707216</v>
      </c>
      <c r="AJ29" s="22">
        <v>333.25066752198597</v>
      </c>
      <c r="AK29" s="22">
        <v>59.940864085664977</v>
      </c>
      <c r="AL29" s="22">
        <f t="shared" si="2"/>
        <v>94.792983435676007</v>
      </c>
    </row>
    <row r="30" spans="1:38" x14ac:dyDescent="0.75">
      <c r="A30" s="20" t="s">
        <v>79</v>
      </c>
      <c r="B30" s="25" t="s">
        <v>262</v>
      </c>
      <c r="C30" s="20" t="s">
        <v>79</v>
      </c>
      <c r="D30" s="21">
        <v>209</v>
      </c>
      <c r="E30" s="22">
        <v>4.0705323128659598</v>
      </c>
      <c r="F30" s="22">
        <v>27.948603718372098</v>
      </c>
      <c r="G30" s="22">
        <v>80.036256097170437</v>
      </c>
      <c r="H30" s="22">
        <v>48.401182461040698</v>
      </c>
      <c r="I30" s="22">
        <v>83.510794808637556</v>
      </c>
      <c r="J30" s="22">
        <v>1415.3355332536601</v>
      </c>
      <c r="K30" s="22">
        <v>126.81380569175775</v>
      </c>
      <c r="L30" s="21">
        <v>70</v>
      </c>
      <c r="M30" s="22">
        <v>4.0705323128659598</v>
      </c>
      <c r="N30" s="22">
        <v>23.876712955510374</v>
      </c>
      <c r="O30" s="22">
        <v>40.129676534155031</v>
      </c>
      <c r="P30" s="22">
        <v>32.896229885007145</v>
      </c>
      <c r="Q30" s="22">
        <v>52.159276192394479</v>
      </c>
      <c r="R30" s="22">
        <v>124.508694545632</v>
      </c>
      <c r="S30" s="22">
        <v>23.407240341056408</v>
      </c>
      <c r="T30" s="22">
        <f t="shared" si="0"/>
        <v>16.910410780975194</v>
      </c>
      <c r="U30" s="21">
        <v>85</v>
      </c>
      <c r="V30" s="22">
        <v>7.1080490859629597</v>
      </c>
      <c r="W30" s="22">
        <v>39.942761789822896</v>
      </c>
      <c r="X30" s="22">
        <v>72.917031956254306</v>
      </c>
      <c r="Y30" s="22">
        <v>57.350605507642697</v>
      </c>
      <c r="Z30" s="22">
        <v>88.322899277983311</v>
      </c>
      <c r="AA30" s="22">
        <v>257.67774938062303</v>
      </c>
      <c r="AB30" s="22">
        <v>51.247989063050028</v>
      </c>
      <c r="AC30" s="22">
        <f t="shared" si="1"/>
        <v>41.238180878421765</v>
      </c>
      <c r="AD30" s="21">
        <v>35</v>
      </c>
      <c r="AE30" s="22">
        <v>42.050438010761297</v>
      </c>
      <c r="AF30" s="22">
        <v>72.084771415372103</v>
      </c>
      <c r="AG30" s="22">
        <v>207.86323175228469</v>
      </c>
      <c r="AH30" s="22">
        <v>109.767565628311</v>
      </c>
      <c r="AI30" s="22">
        <v>222.65992628505501</v>
      </c>
      <c r="AJ30" s="22">
        <v>1415.3355332536601</v>
      </c>
      <c r="AK30" s="22">
        <v>261.93436406274208</v>
      </c>
      <c r="AL30" s="22">
        <f t="shared" si="2"/>
        <v>94.792983435676007</v>
      </c>
    </row>
    <row r="31" spans="1:38" x14ac:dyDescent="0.75">
      <c r="A31" s="20" t="s">
        <v>82</v>
      </c>
      <c r="B31" s="25" t="s">
        <v>262</v>
      </c>
      <c r="C31" s="20" t="s">
        <v>82</v>
      </c>
      <c r="D31" s="21">
        <v>12</v>
      </c>
      <c r="E31" s="22">
        <v>8.1192050089765395</v>
      </c>
      <c r="F31" s="22">
        <v>14.015536455306151</v>
      </c>
      <c r="G31" s="22">
        <v>37.024111428214106</v>
      </c>
      <c r="H31" s="22">
        <v>22.983994832984799</v>
      </c>
      <c r="I31" s="22">
        <v>51.123252006574077</v>
      </c>
      <c r="J31" s="22">
        <v>132.22767117257399</v>
      </c>
      <c r="K31" s="22">
        <v>35.219703435505494</v>
      </c>
      <c r="L31" s="21" t="s">
        <v>291</v>
      </c>
      <c r="M31" s="22" t="s">
        <v>291</v>
      </c>
      <c r="N31" s="22" t="s">
        <v>291</v>
      </c>
      <c r="O31" s="22" t="s">
        <v>291</v>
      </c>
      <c r="P31" s="22" t="s">
        <v>291</v>
      </c>
      <c r="Q31" s="22" t="s">
        <v>291</v>
      </c>
      <c r="R31" s="22" t="s">
        <v>291</v>
      </c>
      <c r="S31" s="22" t="s">
        <v>291</v>
      </c>
      <c r="T31" s="22">
        <f t="shared" si="0"/>
        <v>16.910410780975194</v>
      </c>
      <c r="U31" s="21" t="s">
        <v>291</v>
      </c>
      <c r="V31" s="22" t="s">
        <v>291</v>
      </c>
      <c r="W31" s="22" t="s">
        <v>291</v>
      </c>
      <c r="X31" s="22" t="s">
        <v>291</v>
      </c>
      <c r="Y31" s="22" t="s">
        <v>291</v>
      </c>
      <c r="Z31" s="22" t="s">
        <v>291</v>
      </c>
      <c r="AA31" s="22" t="s">
        <v>291</v>
      </c>
      <c r="AB31" s="22" t="s">
        <v>291</v>
      </c>
      <c r="AC31" s="22">
        <f t="shared" si="1"/>
        <v>41.238180878421765</v>
      </c>
      <c r="AD31" s="21" t="s">
        <v>291</v>
      </c>
      <c r="AE31" s="22" t="s">
        <v>291</v>
      </c>
      <c r="AF31" s="22" t="s">
        <v>291</v>
      </c>
      <c r="AG31" s="22" t="s">
        <v>291</v>
      </c>
      <c r="AH31" s="22" t="s">
        <v>291</v>
      </c>
      <c r="AI31" s="22" t="s">
        <v>291</v>
      </c>
      <c r="AJ31" s="22" t="s">
        <v>291</v>
      </c>
      <c r="AK31" s="22" t="s">
        <v>291</v>
      </c>
      <c r="AL31" s="22">
        <f t="shared" si="2"/>
        <v>94.792983435676007</v>
      </c>
    </row>
    <row r="32" spans="1:38" x14ac:dyDescent="0.75">
      <c r="A32" s="20" t="s">
        <v>83</v>
      </c>
      <c r="B32" s="25" t="s">
        <v>262</v>
      </c>
      <c r="C32" s="20" t="s">
        <v>83</v>
      </c>
      <c r="D32" s="21" t="s">
        <v>291</v>
      </c>
      <c r="E32" s="22" t="s">
        <v>291</v>
      </c>
      <c r="F32" s="22" t="s">
        <v>291</v>
      </c>
      <c r="G32" s="22" t="s">
        <v>291</v>
      </c>
      <c r="H32" s="22" t="s">
        <v>291</v>
      </c>
      <c r="I32" s="22" t="s">
        <v>291</v>
      </c>
      <c r="J32" s="22" t="s">
        <v>291</v>
      </c>
      <c r="K32" s="22" t="s">
        <v>291</v>
      </c>
      <c r="L32" s="21" t="s">
        <v>291</v>
      </c>
      <c r="M32" s="22" t="s">
        <v>291</v>
      </c>
      <c r="N32" s="22" t="s">
        <v>291</v>
      </c>
      <c r="O32" s="22" t="s">
        <v>291</v>
      </c>
      <c r="P32" s="22" t="s">
        <v>291</v>
      </c>
      <c r="Q32" s="22" t="s">
        <v>291</v>
      </c>
      <c r="R32" s="22" t="s">
        <v>291</v>
      </c>
      <c r="S32" s="22" t="s">
        <v>291</v>
      </c>
      <c r="T32" s="22">
        <f t="shared" si="0"/>
        <v>16.910410780975194</v>
      </c>
      <c r="U32" s="21" t="s">
        <v>291</v>
      </c>
      <c r="V32" s="22" t="s">
        <v>291</v>
      </c>
      <c r="W32" s="22" t="s">
        <v>291</v>
      </c>
      <c r="X32" s="22" t="s">
        <v>291</v>
      </c>
      <c r="Y32" s="22" t="s">
        <v>291</v>
      </c>
      <c r="Z32" s="22" t="s">
        <v>291</v>
      </c>
      <c r="AA32" s="22" t="s">
        <v>291</v>
      </c>
      <c r="AB32" s="22" t="s">
        <v>291</v>
      </c>
      <c r="AC32" s="22">
        <f t="shared" si="1"/>
        <v>41.238180878421765</v>
      </c>
      <c r="AD32" s="21" t="s">
        <v>291</v>
      </c>
      <c r="AE32" s="22" t="s">
        <v>291</v>
      </c>
      <c r="AF32" s="22" t="s">
        <v>291</v>
      </c>
      <c r="AG32" s="22" t="s">
        <v>291</v>
      </c>
      <c r="AH32" s="22" t="s">
        <v>291</v>
      </c>
      <c r="AI32" s="22" t="s">
        <v>291</v>
      </c>
      <c r="AJ32" s="22" t="s">
        <v>291</v>
      </c>
      <c r="AK32" s="22" t="s">
        <v>291</v>
      </c>
      <c r="AL32" s="22">
        <f t="shared" si="2"/>
        <v>94.792983435676007</v>
      </c>
    </row>
    <row r="33" spans="1:38" x14ac:dyDescent="0.75">
      <c r="A33" s="20" t="s">
        <v>84</v>
      </c>
      <c r="B33" s="25" t="s">
        <v>262</v>
      </c>
      <c r="C33" s="20" t="s">
        <v>84</v>
      </c>
      <c r="D33" s="21">
        <v>71</v>
      </c>
      <c r="E33" s="22">
        <v>3.6286739297459301</v>
      </c>
      <c r="F33" s="22">
        <v>12.0529162816316</v>
      </c>
      <c r="G33" s="22">
        <v>27.98939788200596</v>
      </c>
      <c r="H33" s="22">
        <v>17.488864376473</v>
      </c>
      <c r="I33" s="22">
        <v>27.562525849299998</v>
      </c>
      <c r="J33" s="22">
        <v>279.24595685051497</v>
      </c>
      <c r="K33" s="22">
        <v>38.768179057949204</v>
      </c>
      <c r="L33" s="21">
        <v>16</v>
      </c>
      <c r="M33" s="22">
        <v>5.1535609585312097</v>
      </c>
      <c r="N33" s="22">
        <v>8.8759298154083197</v>
      </c>
      <c r="O33" s="22">
        <v>12.873281233478671</v>
      </c>
      <c r="P33" s="22">
        <v>11.94214013298285</v>
      </c>
      <c r="Q33" s="22">
        <v>14.850293258251799</v>
      </c>
      <c r="R33" s="22">
        <v>28.203818310863198</v>
      </c>
      <c r="S33" s="22">
        <v>5.5912245842023225</v>
      </c>
      <c r="T33" s="22">
        <f t="shared" si="0"/>
        <v>16.910410780975194</v>
      </c>
      <c r="U33" s="21">
        <v>45</v>
      </c>
      <c r="V33" s="22">
        <v>3.6286739297459301</v>
      </c>
      <c r="W33" s="22">
        <v>13.506919665851299</v>
      </c>
      <c r="X33" s="22">
        <v>20.311051113560406</v>
      </c>
      <c r="Y33" s="22">
        <v>17.921625057789001</v>
      </c>
      <c r="Z33" s="22">
        <v>25.224900269137201</v>
      </c>
      <c r="AA33" s="22">
        <v>52.407086662962101</v>
      </c>
      <c r="AB33" s="22">
        <v>10.161614335213612</v>
      </c>
      <c r="AC33" s="22">
        <f t="shared" si="1"/>
        <v>41.238180878421765</v>
      </c>
      <c r="AD33" s="21">
        <v>10</v>
      </c>
      <c r="AE33" s="22">
        <v>16.027673054360601</v>
      </c>
      <c r="AF33" s="22">
        <v>33.872880203587926</v>
      </c>
      <c r="AG33" s="22">
        <v>86.727744977654595</v>
      </c>
      <c r="AH33" s="22">
        <v>59.192983519605505</v>
      </c>
      <c r="AI33" s="22">
        <v>114.74722324792378</v>
      </c>
      <c r="AJ33" s="22">
        <v>279.24595685051497</v>
      </c>
      <c r="AK33" s="22">
        <v>81.229969464575788</v>
      </c>
      <c r="AL33" s="22">
        <f t="shared" si="2"/>
        <v>94.792983435676007</v>
      </c>
    </row>
    <row r="34" spans="1:38" x14ac:dyDescent="0.75">
      <c r="A34" s="20" t="s">
        <v>86</v>
      </c>
      <c r="B34" s="25" t="s">
        <v>262</v>
      </c>
      <c r="C34" s="20" t="s">
        <v>86</v>
      </c>
      <c r="D34" s="21">
        <v>111</v>
      </c>
      <c r="E34" s="22">
        <v>1.65551080807169</v>
      </c>
      <c r="F34" s="22">
        <v>23.1329405647264</v>
      </c>
      <c r="G34" s="22">
        <v>67.032523894509751</v>
      </c>
      <c r="H34" s="22">
        <v>46.502860185932697</v>
      </c>
      <c r="I34" s="22">
        <v>80.615438989363497</v>
      </c>
      <c r="J34" s="22">
        <v>431.49867616709901</v>
      </c>
      <c r="K34" s="22">
        <v>70.366091766328523</v>
      </c>
      <c r="L34" s="21">
        <v>24</v>
      </c>
      <c r="M34" s="22">
        <v>1.65551080807169</v>
      </c>
      <c r="N34" s="22">
        <v>17.203197914310898</v>
      </c>
      <c r="O34" s="22">
        <v>30.835886698233171</v>
      </c>
      <c r="P34" s="22">
        <v>28.72062067059505</v>
      </c>
      <c r="Q34" s="22">
        <v>44.867582001282528</v>
      </c>
      <c r="R34" s="22">
        <v>65.017383312012598</v>
      </c>
      <c r="S34" s="22">
        <v>16.510965685831476</v>
      </c>
      <c r="T34" s="22">
        <f t="shared" si="0"/>
        <v>16.910410780975194</v>
      </c>
      <c r="U34" s="21">
        <v>57</v>
      </c>
      <c r="V34" s="22">
        <v>5.1405242584877797</v>
      </c>
      <c r="W34" s="22">
        <v>22.335875937026699</v>
      </c>
      <c r="X34" s="22">
        <v>51.549653196341644</v>
      </c>
      <c r="Y34" s="22">
        <v>43.905360919485403</v>
      </c>
      <c r="Z34" s="22">
        <v>76.161297204906447</v>
      </c>
      <c r="AA34" s="22">
        <v>167.414327343514</v>
      </c>
      <c r="AB34" s="22">
        <v>36.586068632741949</v>
      </c>
      <c r="AC34" s="22">
        <f t="shared" si="1"/>
        <v>41.238180878421765</v>
      </c>
      <c r="AD34" s="21">
        <v>25</v>
      </c>
      <c r="AE34" s="22">
        <v>39.216374037963099</v>
      </c>
      <c r="AF34" s="22">
        <v>64.933756723491143</v>
      </c>
      <c r="AG34" s="22">
        <v>145.02524220820257</v>
      </c>
      <c r="AH34" s="22">
        <v>115.17121403122501</v>
      </c>
      <c r="AI34" s="22">
        <v>181.57702682430499</v>
      </c>
      <c r="AJ34" s="22">
        <v>431.49867616709901</v>
      </c>
      <c r="AK34" s="22">
        <v>103.73088054155856</v>
      </c>
      <c r="AL34" s="22">
        <f t="shared" si="2"/>
        <v>94.792983435676007</v>
      </c>
    </row>
    <row r="35" spans="1:38" x14ac:dyDescent="0.75">
      <c r="A35" s="20" t="s">
        <v>87</v>
      </c>
      <c r="B35" s="25" t="s">
        <v>262</v>
      </c>
      <c r="C35" s="20" t="s">
        <v>87</v>
      </c>
      <c r="D35" s="21">
        <v>25</v>
      </c>
      <c r="E35" s="22">
        <v>12.3613350602757</v>
      </c>
      <c r="F35" s="22">
        <v>40.909133979369251</v>
      </c>
      <c r="G35" s="22">
        <v>67.201564504155741</v>
      </c>
      <c r="H35" s="22">
        <v>65.548910665627901</v>
      </c>
      <c r="I35" s="22">
        <v>85.071726720572258</v>
      </c>
      <c r="J35" s="22">
        <v>170.16167737138801</v>
      </c>
      <c r="K35" s="22">
        <v>38.179527964106391</v>
      </c>
      <c r="L35" s="21" t="s">
        <v>291</v>
      </c>
      <c r="M35" s="22" t="s">
        <v>291</v>
      </c>
      <c r="N35" s="22" t="s">
        <v>291</v>
      </c>
      <c r="O35" s="22" t="s">
        <v>291</v>
      </c>
      <c r="P35" s="22" t="s">
        <v>291</v>
      </c>
      <c r="Q35" s="22" t="s">
        <v>291</v>
      </c>
      <c r="R35" s="22" t="s">
        <v>291</v>
      </c>
      <c r="S35" s="22" t="s">
        <v>291</v>
      </c>
      <c r="T35" s="22">
        <f t="shared" si="0"/>
        <v>16.910410780975194</v>
      </c>
      <c r="U35" s="21">
        <v>8</v>
      </c>
      <c r="V35" s="22">
        <v>22.386531115564601</v>
      </c>
      <c r="W35" s="22">
        <v>36.755438141736249</v>
      </c>
      <c r="X35" s="22">
        <v>61.422751294897168</v>
      </c>
      <c r="Y35" s="22">
        <v>57.463376250067299</v>
      </c>
      <c r="Z35" s="22">
        <v>86.430616595274643</v>
      </c>
      <c r="AA35" s="22">
        <v>103.632493082799</v>
      </c>
      <c r="AB35" s="22">
        <v>27.706791085911181</v>
      </c>
      <c r="AC35" s="22">
        <f t="shared" si="1"/>
        <v>41.238180878421765</v>
      </c>
      <c r="AD35" s="21">
        <v>16</v>
      </c>
      <c r="AE35" s="22">
        <v>12.3613350602757</v>
      </c>
      <c r="AF35" s="22">
        <v>52.4163827050835</v>
      </c>
      <c r="AG35" s="22">
        <v>73.275355652405764</v>
      </c>
      <c r="AH35" s="22">
        <v>68.291049128981996</v>
      </c>
      <c r="AI35" s="22">
        <v>85.55111461180303</v>
      </c>
      <c r="AJ35" s="22">
        <v>170.16167737138801</v>
      </c>
      <c r="AK35" s="22">
        <v>41.759021450967737</v>
      </c>
      <c r="AL35" s="22">
        <f t="shared" si="2"/>
        <v>94.792983435676007</v>
      </c>
    </row>
    <row r="36" spans="1:38" x14ac:dyDescent="0.75">
      <c r="A36" s="20" t="s">
        <v>88</v>
      </c>
      <c r="B36" s="25" t="s">
        <v>262</v>
      </c>
      <c r="C36" s="20" t="s">
        <v>88</v>
      </c>
      <c r="D36" s="21">
        <v>15</v>
      </c>
      <c r="E36" s="22">
        <v>8.1158613691422694</v>
      </c>
      <c r="F36" s="22">
        <v>40.119805344369702</v>
      </c>
      <c r="G36" s="22">
        <v>75.344261830219864</v>
      </c>
      <c r="H36" s="22">
        <v>64.880745114167098</v>
      </c>
      <c r="I36" s="22">
        <v>96.537247798968906</v>
      </c>
      <c r="J36" s="22">
        <v>288.05730084691203</v>
      </c>
      <c r="K36" s="22">
        <v>67.448603989702036</v>
      </c>
      <c r="L36" s="21" t="s">
        <v>291</v>
      </c>
      <c r="M36" s="22" t="s">
        <v>291</v>
      </c>
      <c r="N36" s="22" t="s">
        <v>291</v>
      </c>
      <c r="O36" s="22" t="s">
        <v>291</v>
      </c>
      <c r="P36" s="22" t="s">
        <v>291</v>
      </c>
      <c r="Q36" s="22" t="s">
        <v>291</v>
      </c>
      <c r="R36" s="22" t="s">
        <v>291</v>
      </c>
      <c r="S36" s="22" t="s">
        <v>291</v>
      </c>
      <c r="T36" s="22">
        <f t="shared" si="0"/>
        <v>16.910410780975194</v>
      </c>
      <c r="U36" s="21" t="s">
        <v>291</v>
      </c>
      <c r="V36" s="22" t="s">
        <v>291</v>
      </c>
      <c r="W36" s="22" t="s">
        <v>291</v>
      </c>
      <c r="X36" s="22" t="s">
        <v>291</v>
      </c>
      <c r="Y36" s="22" t="s">
        <v>291</v>
      </c>
      <c r="Z36" s="22" t="s">
        <v>291</v>
      </c>
      <c r="AA36" s="22" t="s">
        <v>291</v>
      </c>
      <c r="AB36" s="22" t="s">
        <v>291</v>
      </c>
      <c r="AC36" s="22">
        <f t="shared" si="1"/>
        <v>41.238180878421765</v>
      </c>
      <c r="AD36" s="21" t="s">
        <v>291</v>
      </c>
      <c r="AE36" s="22" t="s">
        <v>291</v>
      </c>
      <c r="AF36" s="22" t="s">
        <v>291</v>
      </c>
      <c r="AG36" s="22" t="s">
        <v>291</v>
      </c>
      <c r="AH36" s="22" t="s">
        <v>291</v>
      </c>
      <c r="AI36" s="22" t="s">
        <v>291</v>
      </c>
      <c r="AJ36" s="22" t="s">
        <v>291</v>
      </c>
      <c r="AK36" s="22" t="s">
        <v>291</v>
      </c>
      <c r="AL36" s="22">
        <f t="shared" si="2"/>
        <v>94.792983435676007</v>
      </c>
    </row>
    <row r="37" spans="1:38" x14ac:dyDescent="0.75">
      <c r="A37" s="20" t="s">
        <v>266</v>
      </c>
      <c r="B37" s="25" t="s">
        <v>262</v>
      </c>
      <c r="C37" s="20" t="s">
        <v>266</v>
      </c>
      <c r="D37" s="21">
        <v>44</v>
      </c>
      <c r="E37" s="22">
        <v>10.826588237327901</v>
      </c>
      <c r="F37" s="22">
        <v>32.293543920160126</v>
      </c>
      <c r="G37" s="22">
        <v>74.301854031669805</v>
      </c>
      <c r="H37" s="22">
        <v>52.717871887742703</v>
      </c>
      <c r="I37" s="22">
        <v>108.33411607449824</v>
      </c>
      <c r="J37" s="22">
        <v>203.59784787280401</v>
      </c>
      <c r="K37" s="22">
        <v>54.21132668730089</v>
      </c>
      <c r="L37" s="21">
        <v>10</v>
      </c>
      <c r="M37" s="22">
        <v>19.432843617474798</v>
      </c>
      <c r="N37" s="22">
        <v>20.3520186683951</v>
      </c>
      <c r="O37" s="22">
        <v>30.58101935297476</v>
      </c>
      <c r="P37" s="22">
        <v>30.116473637164351</v>
      </c>
      <c r="Q37" s="22">
        <v>37.360326653052326</v>
      </c>
      <c r="R37" s="22">
        <v>48.114682162653999</v>
      </c>
      <c r="S37" s="22">
        <v>9.316530817759018</v>
      </c>
      <c r="T37" s="22">
        <f t="shared" si="0"/>
        <v>16.910410780975194</v>
      </c>
      <c r="U37" s="21">
        <v>16</v>
      </c>
      <c r="V37" s="22">
        <v>30.7648430577872</v>
      </c>
      <c r="W37" s="22">
        <v>42.402537579704472</v>
      </c>
      <c r="X37" s="22">
        <v>70.992477051243014</v>
      </c>
      <c r="Y37" s="22">
        <v>61.764997083090293</v>
      </c>
      <c r="Z37" s="22">
        <v>82.175070823575922</v>
      </c>
      <c r="AA37" s="22">
        <v>203.59784787280401</v>
      </c>
      <c r="AB37" s="22">
        <v>42.516183492162746</v>
      </c>
      <c r="AC37" s="22">
        <f t="shared" si="1"/>
        <v>41.238180878421765</v>
      </c>
      <c r="AD37" s="21">
        <v>15</v>
      </c>
      <c r="AE37" s="22">
        <v>40.326294912279103</v>
      </c>
      <c r="AF37" s="22">
        <v>71.0178928397265</v>
      </c>
      <c r="AG37" s="22">
        <v>118.87969300459788</v>
      </c>
      <c r="AH37" s="22">
        <v>116.579344176061</v>
      </c>
      <c r="AI37" s="22">
        <v>174.98521764570501</v>
      </c>
      <c r="AJ37" s="22">
        <v>195.70724419870501</v>
      </c>
      <c r="AK37" s="22">
        <v>52.596516315163662</v>
      </c>
      <c r="AL37" s="22">
        <f t="shared" si="2"/>
        <v>94.792983435676007</v>
      </c>
    </row>
    <row r="38" spans="1:38" x14ac:dyDescent="0.75">
      <c r="A38" s="23" t="s">
        <v>90</v>
      </c>
      <c r="B38" s="24" t="s">
        <v>262</v>
      </c>
      <c r="C38" s="23" t="s">
        <v>90</v>
      </c>
      <c r="D38" s="21" t="s">
        <v>291</v>
      </c>
      <c r="E38" s="22" t="s">
        <v>291</v>
      </c>
      <c r="F38" s="22" t="s">
        <v>291</v>
      </c>
      <c r="G38" s="22" t="s">
        <v>291</v>
      </c>
      <c r="H38" s="22" t="s">
        <v>291</v>
      </c>
      <c r="I38" s="22" t="s">
        <v>291</v>
      </c>
      <c r="J38" s="22" t="s">
        <v>291</v>
      </c>
      <c r="K38" s="22" t="s">
        <v>291</v>
      </c>
      <c r="L38" s="21" t="s">
        <v>291</v>
      </c>
      <c r="M38" s="22" t="s">
        <v>291</v>
      </c>
      <c r="N38" s="22" t="s">
        <v>291</v>
      </c>
      <c r="O38" s="22" t="s">
        <v>291</v>
      </c>
      <c r="P38" s="22" t="s">
        <v>291</v>
      </c>
      <c r="Q38" s="22" t="s">
        <v>291</v>
      </c>
      <c r="R38" s="22" t="s">
        <v>291</v>
      </c>
      <c r="S38" s="22" t="s">
        <v>291</v>
      </c>
      <c r="T38" s="22">
        <f t="shared" si="0"/>
        <v>16.910410780975194</v>
      </c>
      <c r="U38" s="21" t="s">
        <v>291</v>
      </c>
      <c r="V38" s="22" t="s">
        <v>291</v>
      </c>
      <c r="W38" s="22" t="s">
        <v>291</v>
      </c>
      <c r="X38" s="22" t="s">
        <v>291</v>
      </c>
      <c r="Y38" s="22" t="s">
        <v>291</v>
      </c>
      <c r="Z38" s="22" t="s">
        <v>291</v>
      </c>
      <c r="AA38" s="22" t="s">
        <v>291</v>
      </c>
      <c r="AB38" s="22" t="s">
        <v>291</v>
      </c>
      <c r="AC38" s="22">
        <f t="shared" si="1"/>
        <v>41.238180878421765</v>
      </c>
      <c r="AD38" s="21" t="s">
        <v>291</v>
      </c>
      <c r="AE38" s="22" t="s">
        <v>291</v>
      </c>
      <c r="AF38" s="22" t="s">
        <v>291</v>
      </c>
      <c r="AG38" s="22" t="s">
        <v>291</v>
      </c>
      <c r="AH38" s="22" t="s">
        <v>291</v>
      </c>
      <c r="AI38" s="22" t="s">
        <v>291</v>
      </c>
      <c r="AJ38" s="22" t="s">
        <v>291</v>
      </c>
      <c r="AK38" s="22" t="s">
        <v>291</v>
      </c>
      <c r="AL38" s="22">
        <f t="shared" si="2"/>
        <v>94.792983435676007</v>
      </c>
    </row>
    <row r="39" spans="1:38" x14ac:dyDescent="0.75">
      <c r="A39" s="20" t="s">
        <v>316</v>
      </c>
      <c r="B39" s="25" t="s">
        <v>262</v>
      </c>
      <c r="C39" s="20" t="s">
        <v>316</v>
      </c>
      <c r="D39" s="21">
        <v>10</v>
      </c>
      <c r="E39" s="22">
        <v>58.134811645315601</v>
      </c>
      <c r="F39" s="22">
        <v>64.542168254452875</v>
      </c>
      <c r="G39" s="22">
        <v>109.80691749489047</v>
      </c>
      <c r="H39" s="22">
        <v>107.0900132315555</v>
      </c>
      <c r="I39" s="22">
        <v>154.19316516543225</v>
      </c>
      <c r="J39" s="22">
        <v>190.794972185756</v>
      </c>
      <c r="K39" s="22">
        <v>47.149255565582315</v>
      </c>
      <c r="L39" s="21" t="s">
        <v>291</v>
      </c>
      <c r="M39" s="22" t="s">
        <v>291</v>
      </c>
      <c r="N39" s="22" t="s">
        <v>291</v>
      </c>
      <c r="O39" s="22" t="s">
        <v>291</v>
      </c>
      <c r="P39" s="22" t="s">
        <v>291</v>
      </c>
      <c r="Q39" s="22" t="s">
        <v>291</v>
      </c>
      <c r="R39" s="22" t="s">
        <v>291</v>
      </c>
      <c r="S39" s="22" t="s">
        <v>291</v>
      </c>
      <c r="T39" s="22">
        <f t="shared" si="0"/>
        <v>16.910410780975194</v>
      </c>
      <c r="U39" s="21" t="s">
        <v>291</v>
      </c>
      <c r="V39" s="22" t="s">
        <v>291</v>
      </c>
      <c r="W39" s="22" t="s">
        <v>291</v>
      </c>
      <c r="X39" s="22" t="s">
        <v>291</v>
      </c>
      <c r="Y39" s="22" t="s">
        <v>291</v>
      </c>
      <c r="Z39" s="22" t="s">
        <v>291</v>
      </c>
      <c r="AA39" s="22" t="s">
        <v>291</v>
      </c>
      <c r="AB39" s="22" t="s">
        <v>291</v>
      </c>
      <c r="AC39" s="22">
        <f t="shared" si="1"/>
        <v>41.238180878421765</v>
      </c>
      <c r="AD39" s="21">
        <v>8</v>
      </c>
      <c r="AE39" s="22">
        <v>58.134811645315601</v>
      </c>
      <c r="AF39" s="22">
        <v>75.226109667706524</v>
      </c>
      <c r="AG39" s="22">
        <v>120.20335791956003</v>
      </c>
      <c r="AH39" s="22">
        <v>112.7379676057395</v>
      </c>
      <c r="AI39" s="22">
        <v>164.92697034887675</v>
      </c>
      <c r="AJ39" s="22">
        <v>190.794972185756</v>
      </c>
      <c r="AK39" s="22">
        <v>47.075356650399769</v>
      </c>
      <c r="AL39" s="22">
        <f t="shared" si="2"/>
        <v>94.792983435676007</v>
      </c>
    </row>
    <row r="40" spans="1:38" x14ac:dyDescent="0.75">
      <c r="A40" s="20" t="s">
        <v>103</v>
      </c>
      <c r="B40" s="25" t="s">
        <v>262</v>
      </c>
      <c r="C40" s="20" t="s">
        <v>103</v>
      </c>
      <c r="D40" s="21">
        <v>65</v>
      </c>
      <c r="E40" s="22">
        <v>12.1377987745472</v>
      </c>
      <c r="F40" s="22">
        <v>34.778068991318605</v>
      </c>
      <c r="G40" s="22">
        <v>94.440624517876273</v>
      </c>
      <c r="H40" s="22">
        <v>71.028264897080703</v>
      </c>
      <c r="I40" s="22">
        <v>110.303875408447</v>
      </c>
      <c r="J40" s="22">
        <v>443.19081708138799</v>
      </c>
      <c r="K40" s="22">
        <v>88.87664026050291</v>
      </c>
      <c r="L40" s="21">
        <v>13</v>
      </c>
      <c r="M40" s="22">
        <v>12.1377987745472</v>
      </c>
      <c r="N40" s="22">
        <v>23.160820068032002</v>
      </c>
      <c r="O40" s="22">
        <v>50.392437478984704</v>
      </c>
      <c r="P40" s="22">
        <v>56.413300242114502</v>
      </c>
      <c r="Q40" s="22">
        <v>73.348609883172955</v>
      </c>
      <c r="R40" s="22">
        <v>98.878489669262095</v>
      </c>
      <c r="S40" s="22">
        <v>30.619062596883623</v>
      </c>
      <c r="T40" s="22">
        <f t="shared" si="0"/>
        <v>16.910410780975194</v>
      </c>
      <c r="U40" s="21">
        <v>34</v>
      </c>
      <c r="V40" s="22">
        <v>13.381935364030401</v>
      </c>
      <c r="W40" s="22">
        <v>41.981411400962799</v>
      </c>
      <c r="X40" s="22">
        <v>80.787705240745836</v>
      </c>
      <c r="Y40" s="22">
        <v>65.315243497292954</v>
      </c>
      <c r="Z40" s="22">
        <v>95.723960664219803</v>
      </c>
      <c r="AA40" s="22">
        <v>216.38568690826</v>
      </c>
      <c r="AB40" s="22">
        <v>56.648671970497958</v>
      </c>
      <c r="AC40" s="22">
        <f t="shared" si="1"/>
        <v>41.238180878421765</v>
      </c>
      <c r="AD40" s="21">
        <v>17</v>
      </c>
      <c r="AE40" s="22">
        <v>19.725174779348901</v>
      </c>
      <c r="AF40" s="22">
        <v>58.018171959574701</v>
      </c>
      <c r="AG40" s="22">
        <v>159.16481018320451</v>
      </c>
      <c r="AH40" s="22">
        <v>110.397246393654</v>
      </c>
      <c r="AI40" s="22">
        <v>220.0689098528145</v>
      </c>
      <c r="AJ40" s="22">
        <v>443.19081708138799</v>
      </c>
      <c r="AK40" s="22">
        <v>132.66074662948364</v>
      </c>
      <c r="AL40" s="22">
        <f t="shared" si="2"/>
        <v>94.792983435676007</v>
      </c>
    </row>
    <row r="41" spans="1:38" x14ac:dyDescent="0.75">
      <c r="A41" s="20" t="s">
        <v>104</v>
      </c>
      <c r="B41" s="25" t="s">
        <v>262</v>
      </c>
      <c r="C41" s="20" t="s">
        <v>104</v>
      </c>
      <c r="D41" s="21" t="s">
        <v>291</v>
      </c>
      <c r="E41" s="22" t="s">
        <v>291</v>
      </c>
      <c r="F41" s="22" t="s">
        <v>291</v>
      </c>
      <c r="G41" s="22" t="s">
        <v>291</v>
      </c>
      <c r="H41" s="22" t="s">
        <v>291</v>
      </c>
      <c r="I41" s="22" t="s">
        <v>291</v>
      </c>
      <c r="J41" s="22" t="s">
        <v>291</v>
      </c>
      <c r="K41" s="22" t="s">
        <v>291</v>
      </c>
      <c r="L41" s="21" t="s">
        <v>291</v>
      </c>
      <c r="M41" s="22" t="s">
        <v>291</v>
      </c>
      <c r="N41" s="22" t="s">
        <v>291</v>
      </c>
      <c r="O41" s="22" t="s">
        <v>291</v>
      </c>
      <c r="P41" s="22" t="s">
        <v>291</v>
      </c>
      <c r="Q41" s="22" t="s">
        <v>291</v>
      </c>
      <c r="R41" s="22" t="s">
        <v>291</v>
      </c>
      <c r="S41" s="22" t="s">
        <v>291</v>
      </c>
      <c r="T41" s="22">
        <f t="shared" si="0"/>
        <v>16.910410780975194</v>
      </c>
      <c r="U41" s="21" t="s">
        <v>291</v>
      </c>
      <c r="V41" s="22" t="s">
        <v>291</v>
      </c>
      <c r="W41" s="22" t="s">
        <v>291</v>
      </c>
      <c r="X41" s="22" t="s">
        <v>291</v>
      </c>
      <c r="Y41" s="22" t="s">
        <v>291</v>
      </c>
      <c r="Z41" s="22" t="s">
        <v>291</v>
      </c>
      <c r="AA41" s="22" t="s">
        <v>291</v>
      </c>
      <c r="AB41" s="22" t="s">
        <v>291</v>
      </c>
      <c r="AC41" s="22">
        <f t="shared" si="1"/>
        <v>41.238180878421765</v>
      </c>
      <c r="AD41" s="21" t="s">
        <v>291</v>
      </c>
      <c r="AE41" s="22" t="s">
        <v>291</v>
      </c>
      <c r="AF41" s="22" t="s">
        <v>291</v>
      </c>
      <c r="AG41" s="22" t="s">
        <v>291</v>
      </c>
      <c r="AH41" s="22" t="s">
        <v>291</v>
      </c>
      <c r="AI41" s="22" t="s">
        <v>291</v>
      </c>
      <c r="AJ41" s="22" t="s">
        <v>291</v>
      </c>
      <c r="AK41" s="22" t="s">
        <v>291</v>
      </c>
      <c r="AL41" s="22">
        <f t="shared" si="2"/>
        <v>94.792983435676007</v>
      </c>
    </row>
    <row r="42" spans="1:38" x14ac:dyDescent="0.75">
      <c r="A42" s="20" t="s">
        <v>109</v>
      </c>
      <c r="B42" s="25" t="s">
        <v>262</v>
      </c>
      <c r="C42" s="20" t="s">
        <v>109</v>
      </c>
      <c r="D42" s="21">
        <v>281</v>
      </c>
      <c r="E42" s="22">
        <v>5.6270811406112102</v>
      </c>
      <c r="F42" s="22">
        <v>12.3720476488563</v>
      </c>
      <c r="G42" s="22">
        <v>30.779133888536702</v>
      </c>
      <c r="H42" s="22">
        <v>19.065785610621699</v>
      </c>
      <c r="I42" s="22">
        <v>32.920903578568598</v>
      </c>
      <c r="J42" s="22">
        <v>352.08756958088497</v>
      </c>
      <c r="K42" s="22">
        <v>38.937115574469154</v>
      </c>
      <c r="L42" s="21">
        <v>140</v>
      </c>
      <c r="M42" s="22">
        <v>5.6270811406112102</v>
      </c>
      <c r="N42" s="22">
        <v>12.116263957667549</v>
      </c>
      <c r="O42" s="22">
        <v>18.709360976764113</v>
      </c>
      <c r="P42" s="22">
        <v>17.338080773729452</v>
      </c>
      <c r="Q42" s="22">
        <v>23.864253317641275</v>
      </c>
      <c r="R42" s="22">
        <v>42.555197996241603</v>
      </c>
      <c r="S42" s="22">
        <v>8.3408147576548295</v>
      </c>
      <c r="T42" s="22">
        <f t="shared" si="0"/>
        <v>16.910410780975194</v>
      </c>
      <c r="U42" s="21">
        <v>56</v>
      </c>
      <c r="V42" s="22">
        <v>9.3291782090745308</v>
      </c>
      <c r="W42" s="22">
        <v>21.977948784150726</v>
      </c>
      <c r="X42" s="22">
        <v>42.81768863459552</v>
      </c>
      <c r="Y42" s="22">
        <v>38.376509755677802</v>
      </c>
      <c r="Z42" s="22">
        <v>53.344008706116547</v>
      </c>
      <c r="AA42" s="22">
        <v>187.88896996914499</v>
      </c>
      <c r="AB42" s="22">
        <v>29.642478888437786</v>
      </c>
      <c r="AC42" s="22">
        <f t="shared" si="1"/>
        <v>41.238180878421765</v>
      </c>
      <c r="AD42" s="21">
        <v>23</v>
      </c>
      <c r="AE42" s="22">
        <v>33.441010207614397</v>
      </c>
      <c r="AF42" s="22">
        <v>65.954291812440204</v>
      </c>
      <c r="AG42" s="22">
        <v>117.93078758383798</v>
      </c>
      <c r="AH42" s="22">
        <v>88.9864640629105</v>
      </c>
      <c r="AI42" s="22">
        <v>137.93096010264799</v>
      </c>
      <c r="AJ42" s="22">
        <v>352.08756958088497</v>
      </c>
      <c r="AK42" s="22">
        <v>80.236115335805579</v>
      </c>
      <c r="AL42" s="22">
        <f t="shared" si="2"/>
        <v>94.792983435676007</v>
      </c>
    </row>
    <row r="43" spans="1:38" x14ac:dyDescent="0.75">
      <c r="A43" s="20" t="s">
        <v>114</v>
      </c>
      <c r="B43" s="25" t="s">
        <v>262</v>
      </c>
      <c r="C43" s="20" t="s">
        <v>114</v>
      </c>
      <c r="D43" s="21">
        <v>46</v>
      </c>
      <c r="E43" s="22">
        <v>6.3384199750171897</v>
      </c>
      <c r="F43" s="22">
        <v>15.492910234472449</v>
      </c>
      <c r="G43" s="22">
        <v>64.786712103740001</v>
      </c>
      <c r="H43" s="22">
        <v>40.805608055436352</v>
      </c>
      <c r="I43" s="22">
        <v>79.22997305998625</v>
      </c>
      <c r="J43" s="22">
        <v>419.72630109090898</v>
      </c>
      <c r="K43" s="22">
        <v>80.791634348494824</v>
      </c>
      <c r="L43" s="21">
        <v>16</v>
      </c>
      <c r="M43" s="22">
        <v>11.2075940169796</v>
      </c>
      <c r="N43" s="22">
        <v>12.928631970464426</v>
      </c>
      <c r="O43" s="22">
        <v>22.421330805272362</v>
      </c>
      <c r="P43" s="22">
        <v>18.218373957750799</v>
      </c>
      <c r="Q43" s="22">
        <v>24.825465943036324</v>
      </c>
      <c r="R43" s="22">
        <v>83.015184341357397</v>
      </c>
      <c r="S43" s="22">
        <v>17.198873852607257</v>
      </c>
      <c r="T43" s="22">
        <f t="shared" si="0"/>
        <v>16.910410780975194</v>
      </c>
      <c r="U43" s="21">
        <v>15</v>
      </c>
      <c r="V43" s="22">
        <v>6.3384199750171897</v>
      </c>
      <c r="W43" s="22">
        <v>34.7220571323247</v>
      </c>
      <c r="X43" s="22">
        <v>81.787795373044702</v>
      </c>
      <c r="Y43" s="22">
        <v>44.8136273363179</v>
      </c>
      <c r="Z43" s="22">
        <v>58.727334988576601</v>
      </c>
      <c r="AA43" s="22">
        <v>419.72630109090898</v>
      </c>
      <c r="AB43" s="22">
        <v>109.09473533838315</v>
      </c>
      <c r="AC43" s="22">
        <f t="shared" si="1"/>
        <v>41.238180878421765</v>
      </c>
      <c r="AD43" s="21">
        <v>13</v>
      </c>
      <c r="AE43" s="22">
        <v>25.712500831477801</v>
      </c>
      <c r="AF43" s="22">
        <v>64.987252132621592</v>
      </c>
      <c r="AG43" s="22">
        <v>105.55113658157052</v>
      </c>
      <c r="AH43" s="22">
        <v>80.220112399760595</v>
      </c>
      <c r="AI43" s="22">
        <v>127.88388750827599</v>
      </c>
      <c r="AJ43" s="22">
        <v>311.744477079109</v>
      </c>
      <c r="AK43" s="22">
        <v>72.039465217580826</v>
      </c>
      <c r="AL43" s="22">
        <f t="shared" si="2"/>
        <v>94.792983435676007</v>
      </c>
    </row>
    <row r="44" spans="1:38" x14ac:dyDescent="0.75">
      <c r="A44" s="20" t="s">
        <v>119</v>
      </c>
      <c r="B44" s="25" t="s">
        <v>262</v>
      </c>
      <c r="C44" s="20" t="s">
        <v>119</v>
      </c>
      <c r="D44" s="21">
        <v>54</v>
      </c>
      <c r="E44" s="22">
        <v>5.4055565372516297</v>
      </c>
      <c r="F44" s="22">
        <v>13.733711033857226</v>
      </c>
      <c r="G44" s="22">
        <v>28.476935756801247</v>
      </c>
      <c r="H44" s="22">
        <v>23.058187748199998</v>
      </c>
      <c r="I44" s="22">
        <v>32.164122676526127</v>
      </c>
      <c r="J44" s="22">
        <v>154.46105977847199</v>
      </c>
      <c r="K44" s="22">
        <v>24.625466120201377</v>
      </c>
      <c r="L44" s="21">
        <v>14</v>
      </c>
      <c r="M44" s="22">
        <v>5.4055565372516297</v>
      </c>
      <c r="N44" s="22">
        <v>9.2008195522678999</v>
      </c>
      <c r="O44" s="22">
        <v>16.012884300532274</v>
      </c>
      <c r="P44" s="22">
        <v>12.086811634009649</v>
      </c>
      <c r="Q44" s="22">
        <v>26.425083339799549</v>
      </c>
      <c r="R44" s="22">
        <v>31.283170299237501</v>
      </c>
      <c r="S44" s="22">
        <v>8.9694460640200919</v>
      </c>
      <c r="T44" s="22">
        <f t="shared" si="0"/>
        <v>16.910410780975194</v>
      </c>
      <c r="U44" s="21">
        <v>30</v>
      </c>
      <c r="V44" s="22">
        <v>9.7443517957312995</v>
      </c>
      <c r="W44" s="22">
        <v>17.705452814759202</v>
      </c>
      <c r="X44" s="22">
        <v>29.962460639909771</v>
      </c>
      <c r="Y44" s="22">
        <v>26.546285878342452</v>
      </c>
      <c r="Z44" s="22">
        <v>34.568843063443047</v>
      </c>
      <c r="AA44" s="22">
        <v>86.732426880233902</v>
      </c>
      <c r="AB44" s="22">
        <v>15.983058310579414</v>
      </c>
      <c r="AC44" s="22">
        <f t="shared" si="1"/>
        <v>41.238180878421765</v>
      </c>
      <c r="AD44" s="21" t="s">
        <v>291</v>
      </c>
      <c r="AE44" s="22" t="s">
        <v>291</v>
      </c>
      <c r="AF44" s="22" t="s">
        <v>291</v>
      </c>
      <c r="AG44" s="22" t="s">
        <v>291</v>
      </c>
      <c r="AH44" s="22" t="s">
        <v>291</v>
      </c>
      <c r="AI44" s="22" t="s">
        <v>291</v>
      </c>
      <c r="AJ44" s="22" t="s">
        <v>291</v>
      </c>
      <c r="AK44" s="22" t="s">
        <v>291</v>
      </c>
      <c r="AL44" s="22">
        <f t="shared" si="2"/>
        <v>94.792983435676007</v>
      </c>
    </row>
    <row r="45" spans="1:38" x14ac:dyDescent="0.75">
      <c r="A45" s="20" t="s">
        <v>120</v>
      </c>
      <c r="B45" s="25" t="s">
        <v>262</v>
      </c>
      <c r="C45" s="20" t="s">
        <v>120</v>
      </c>
      <c r="D45" s="21">
        <v>34</v>
      </c>
      <c r="E45" s="22">
        <v>3.04339760184717</v>
      </c>
      <c r="F45" s="22">
        <v>6.7442622243173824</v>
      </c>
      <c r="G45" s="22">
        <v>11.734673341881743</v>
      </c>
      <c r="H45" s="22">
        <v>9.331311844648285</v>
      </c>
      <c r="I45" s="22">
        <v>13.278475160167174</v>
      </c>
      <c r="J45" s="22">
        <v>54.378999320009903</v>
      </c>
      <c r="K45" s="22">
        <v>9.4703305972423042</v>
      </c>
      <c r="L45" s="21" t="s">
        <v>291</v>
      </c>
      <c r="M45" s="22" t="s">
        <v>291</v>
      </c>
      <c r="N45" s="22" t="s">
        <v>291</v>
      </c>
      <c r="O45" s="22" t="s">
        <v>291</v>
      </c>
      <c r="P45" s="22" t="s">
        <v>291</v>
      </c>
      <c r="Q45" s="22" t="s">
        <v>291</v>
      </c>
      <c r="R45" s="22" t="s">
        <v>291</v>
      </c>
      <c r="S45" s="22" t="s">
        <v>291</v>
      </c>
      <c r="T45" s="22">
        <f t="shared" si="0"/>
        <v>16.910410780975194</v>
      </c>
      <c r="U45" s="21">
        <v>14</v>
      </c>
      <c r="V45" s="22">
        <v>6.4575970582401396</v>
      </c>
      <c r="W45" s="22">
        <v>7.6034428740610052</v>
      </c>
      <c r="X45" s="22">
        <v>9.5617153398973951</v>
      </c>
      <c r="Y45" s="22">
        <v>9.3427766827464147</v>
      </c>
      <c r="Z45" s="22">
        <v>10.494409826756051</v>
      </c>
      <c r="AA45" s="22">
        <v>17.780716210220699</v>
      </c>
      <c r="AB45" s="22">
        <v>2.863741847969651</v>
      </c>
      <c r="AC45" s="22">
        <f t="shared" si="1"/>
        <v>41.238180878421765</v>
      </c>
      <c r="AD45" s="21">
        <v>13</v>
      </c>
      <c r="AE45" s="22">
        <v>6.1003335300316097</v>
      </c>
      <c r="AF45" s="22">
        <v>8.1641524026076251</v>
      </c>
      <c r="AG45" s="22">
        <v>17.35002743710335</v>
      </c>
      <c r="AH45" s="22">
        <v>13.7964833082707</v>
      </c>
      <c r="AI45" s="22">
        <v>22.130275790084802</v>
      </c>
      <c r="AJ45" s="22">
        <v>54.378999320009903</v>
      </c>
      <c r="AK45" s="22">
        <v>13.180918270441751</v>
      </c>
      <c r="AL45" s="22">
        <f t="shared" si="2"/>
        <v>94.792983435676007</v>
      </c>
    </row>
    <row r="46" spans="1:38" x14ac:dyDescent="0.75">
      <c r="A46" s="20" t="s">
        <v>127</v>
      </c>
      <c r="B46" s="25" t="s">
        <v>262</v>
      </c>
      <c r="C46" s="20" t="s">
        <v>127</v>
      </c>
      <c r="D46" s="21">
        <v>19</v>
      </c>
      <c r="E46" s="22">
        <v>7.11340531270538</v>
      </c>
      <c r="F46" s="22">
        <v>30.493669054249001</v>
      </c>
      <c r="G46" s="22">
        <v>68.801301202559458</v>
      </c>
      <c r="H46" s="22">
        <v>50.545236154064</v>
      </c>
      <c r="I46" s="22">
        <v>109.37195958183599</v>
      </c>
      <c r="J46" s="22">
        <v>153.59881734656301</v>
      </c>
      <c r="K46" s="22">
        <v>44.241440686274508</v>
      </c>
      <c r="L46" s="21" t="s">
        <v>291</v>
      </c>
      <c r="M46" s="22" t="s">
        <v>291</v>
      </c>
      <c r="N46" s="22" t="s">
        <v>291</v>
      </c>
      <c r="O46" s="22" t="s">
        <v>291</v>
      </c>
      <c r="P46" s="22" t="s">
        <v>291</v>
      </c>
      <c r="Q46" s="22" t="s">
        <v>291</v>
      </c>
      <c r="R46" s="22" t="s">
        <v>291</v>
      </c>
      <c r="S46" s="22" t="s">
        <v>291</v>
      </c>
      <c r="T46" s="22">
        <f t="shared" si="0"/>
        <v>16.910410780975194</v>
      </c>
      <c r="U46" s="21">
        <v>13</v>
      </c>
      <c r="V46" s="22">
        <v>26.892628746123702</v>
      </c>
      <c r="W46" s="22">
        <v>38.518149247065949</v>
      </c>
      <c r="X46" s="22">
        <v>68.147533352347992</v>
      </c>
      <c r="Y46" s="22">
        <v>50.545236154064</v>
      </c>
      <c r="Z46" s="22">
        <v>96.722156893862348</v>
      </c>
      <c r="AA46" s="22">
        <v>153.59881734656301</v>
      </c>
      <c r="AB46" s="22">
        <v>38.859562226913482</v>
      </c>
      <c r="AC46" s="22">
        <f t="shared" si="1"/>
        <v>41.238180878421765</v>
      </c>
      <c r="AD46" s="21" t="s">
        <v>291</v>
      </c>
      <c r="AE46" s="22" t="s">
        <v>291</v>
      </c>
      <c r="AF46" s="22" t="s">
        <v>291</v>
      </c>
      <c r="AG46" s="22" t="s">
        <v>291</v>
      </c>
      <c r="AH46" s="22" t="s">
        <v>291</v>
      </c>
      <c r="AI46" s="22" t="s">
        <v>291</v>
      </c>
      <c r="AJ46" s="22" t="s">
        <v>291</v>
      </c>
      <c r="AK46" s="22" t="s">
        <v>291</v>
      </c>
      <c r="AL46" s="22">
        <f t="shared" si="2"/>
        <v>94.792983435676007</v>
      </c>
    </row>
    <row r="47" spans="1:38" x14ac:dyDescent="0.75">
      <c r="A47" s="20" t="s">
        <v>129</v>
      </c>
      <c r="B47" s="25" t="s">
        <v>262</v>
      </c>
      <c r="C47" s="20" t="s">
        <v>129</v>
      </c>
      <c r="D47" s="21">
        <v>14</v>
      </c>
      <c r="E47" s="22">
        <v>8.2439369395826496</v>
      </c>
      <c r="F47" s="22">
        <v>19.911962147185651</v>
      </c>
      <c r="G47" s="22">
        <v>43.959545187472443</v>
      </c>
      <c r="H47" s="22">
        <v>35.0156881332233</v>
      </c>
      <c r="I47" s="22">
        <v>66.174780584539775</v>
      </c>
      <c r="J47" s="22">
        <v>102.918418905924</v>
      </c>
      <c r="K47" s="22">
        <v>32.953872696625126</v>
      </c>
      <c r="L47" s="21" t="s">
        <v>291</v>
      </c>
      <c r="M47" s="22" t="s">
        <v>291</v>
      </c>
      <c r="N47" s="22" t="s">
        <v>291</v>
      </c>
      <c r="O47" s="22" t="s">
        <v>291</v>
      </c>
      <c r="P47" s="22" t="s">
        <v>291</v>
      </c>
      <c r="Q47" s="22" t="s">
        <v>291</v>
      </c>
      <c r="R47" s="22" t="s">
        <v>291</v>
      </c>
      <c r="S47" s="22" t="s">
        <v>291</v>
      </c>
      <c r="T47" s="22">
        <f t="shared" si="0"/>
        <v>16.910410780975194</v>
      </c>
      <c r="U47" s="21">
        <v>9</v>
      </c>
      <c r="V47" s="22">
        <v>8.6136510019045698</v>
      </c>
      <c r="W47" s="22">
        <v>20.824279090628451</v>
      </c>
      <c r="X47" s="22">
        <v>53.991589617061287</v>
      </c>
      <c r="Y47" s="22">
        <v>43.1296134546524</v>
      </c>
      <c r="Z47" s="22">
        <v>98.366066472216261</v>
      </c>
      <c r="AA47" s="22">
        <v>102.918418905924</v>
      </c>
      <c r="AB47" s="22">
        <v>37.176676413042792</v>
      </c>
      <c r="AC47" s="22">
        <f t="shared" si="1"/>
        <v>41.238180878421765</v>
      </c>
      <c r="AD47" s="21" t="s">
        <v>291</v>
      </c>
      <c r="AE47" s="22" t="s">
        <v>291</v>
      </c>
      <c r="AF47" s="22" t="s">
        <v>291</v>
      </c>
      <c r="AG47" s="22" t="s">
        <v>291</v>
      </c>
      <c r="AH47" s="22" t="s">
        <v>291</v>
      </c>
      <c r="AI47" s="22" t="s">
        <v>291</v>
      </c>
      <c r="AJ47" s="22" t="s">
        <v>291</v>
      </c>
      <c r="AK47" s="22" t="s">
        <v>291</v>
      </c>
      <c r="AL47" s="22">
        <f t="shared" si="2"/>
        <v>94.792983435676007</v>
      </c>
    </row>
    <row r="48" spans="1:38" x14ac:dyDescent="0.75">
      <c r="A48" s="20" t="s">
        <v>131</v>
      </c>
      <c r="B48" s="25" t="s">
        <v>262</v>
      </c>
      <c r="C48" s="20" t="s">
        <v>131</v>
      </c>
      <c r="D48" s="21">
        <v>29</v>
      </c>
      <c r="E48" s="22">
        <v>3.28929615416703</v>
      </c>
      <c r="F48" s="22">
        <v>6.5943999978444996</v>
      </c>
      <c r="G48" s="22">
        <v>18.53500263652829</v>
      </c>
      <c r="H48" s="22">
        <v>11.464088770822899</v>
      </c>
      <c r="I48" s="22">
        <v>16.496801462515599</v>
      </c>
      <c r="J48" s="22">
        <v>96.580140342667505</v>
      </c>
      <c r="K48" s="22">
        <v>21.219384050212309</v>
      </c>
      <c r="L48" s="21">
        <v>11</v>
      </c>
      <c r="M48" s="22">
        <v>3.3504875239173302</v>
      </c>
      <c r="N48" s="22">
        <v>5.2721731969534904</v>
      </c>
      <c r="O48" s="22">
        <v>10.068740964366617</v>
      </c>
      <c r="P48" s="22">
        <v>11.3589016293111</v>
      </c>
      <c r="Q48" s="22">
        <v>14.543969871349899</v>
      </c>
      <c r="R48" s="22">
        <v>16.6624199584801</v>
      </c>
      <c r="S48" s="22">
        <v>5.1347549240683072</v>
      </c>
      <c r="T48" s="22">
        <f t="shared" si="0"/>
        <v>16.910410780975194</v>
      </c>
      <c r="U48" s="21" t="s">
        <v>291</v>
      </c>
      <c r="V48" s="22" t="s">
        <v>291</v>
      </c>
      <c r="W48" s="22" t="s">
        <v>291</v>
      </c>
      <c r="X48" s="22" t="s">
        <v>291</v>
      </c>
      <c r="Y48" s="22" t="s">
        <v>291</v>
      </c>
      <c r="Z48" s="22" t="s">
        <v>291</v>
      </c>
      <c r="AA48" s="22" t="s">
        <v>291</v>
      </c>
      <c r="AB48" s="22" t="s">
        <v>291</v>
      </c>
      <c r="AC48" s="22">
        <f t="shared" si="1"/>
        <v>41.238180878421765</v>
      </c>
      <c r="AD48" s="21">
        <v>8</v>
      </c>
      <c r="AE48" s="22">
        <v>11.067825852893201</v>
      </c>
      <c r="AF48" s="22">
        <v>15.659282767687625</v>
      </c>
      <c r="AG48" s="22">
        <v>42.013859320286336</v>
      </c>
      <c r="AH48" s="22">
        <v>35.735262971815345</v>
      </c>
      <c r="AI48" s="22">
        <v>65.937232043568741</v>
      </c>
      <c r="AJ48" s="22">
        <v>96.580140342667505</v>
      </c>
      <c r="AK48" s="22">
        <v>29.568757332383282</v>
      </c>
      <c r="AL48" s="22">
        <f t="shared" si="2"/>
        <v>94.792983435676007</v>
      </c>
    </row>
    <row r="49" spans="1:38" x14ac:dyDescent="0.75">
      <c r="A49" s="20" t="s">
        <v>132</v>
      </c>
      <c r="B49" s="25" t="s">
        <v>262</v>
      </c>
      <c r="C49" s="20" t="s">
        <v>132</v>
      </c>
      <c r="D49" s="21">
        <v>28</v>
      </c>
      <c r="E49" s="22">
        <v>16.541174903778298</v>
      </c>
      <c r="F49" s="22">
        <v>35.612380302792928</v>
      </c>
      <c r="G49" s="22">
        <v>66.883172369839244</v>
      </c>
      <c r="H49" s="22">
        <v>48.83704084922455</v>
      </c>
      <c r="I49" s="22">
        <v>74.501254527796249</v>
      </c>
      <c r="J49" s="22">
        <v>327.715103331541</v>
      </c>
      <c r="K49" s="22">
        <v>68.895003371061023</v>
      </c>
      <c r="L49" s="21" t="s">
        <v>291</v>
      </c>
      <c r="M49" s="22" t="s">
        <v>291</v>
      </c>
      <c r="N49" s="22" t="s">
        <v>291</v>
      </c>
      <c r="O49" s="22" t="s">
        <v>291</v>
      </c>
      <c r="P49" s="22" t="s">
        <v>291</v>
      </c>
      <c r="Q49" s="22" t="s">
        <v>291</v>
      </c>
      <c r="R49" s="22" t="s">
        <v>291</v>
      </c>
      <c r="S49" s="22" t="s">
        <v>291</v>
      </c>
      <c r="T49" s="22">
        <f t="shared" si="0"/>
        <v>16.910410780975194</v>
      </c>
      <c r="U49" s="21">
        <v>15</v>
      </c>
      <c r="V49" s="22">
        <v>20.355670607341001</v>
      </c>
      <c r="W49" s="22">
        <v>33.984249331391602</v>
      </c>
      <c r="X49" s="22">
        <v>53.779383418940867</v>
      </c>
      <c r="Y49" s="22">
        <v>54.908936217341498</v>
      </c>
      <c r="Z49" s="22">
        <v>80.403602940410195</v>
      </c>
      <c r="AA49" s="22">
        <v>87.7515905630829</v>
      </c>
      <c r="AB49" s="22">
        <v>23.776543488868199</v>
      </c>
      <c r="AC49" s="22">
        <f t="shared" si="1"/>
        <v>41.238180878421765</v>
      </c>
      <c r="AD49" s="21">
        <v>8</v>
      </c>
      <c r="AE49" s="22">
        <v>25.106260252335801</v>
      </c>
      <c r="AF49" s="22">
        <v>36.869680326321046</v>
      </c>
      <c r="AG49" s="22">
        <v>104.52855828480675</v>
      </c>
      <c r="AH49" s="22">
        <v>43.293423378480298</v>
      </c>
      <c r="AI49" s="22">
        <v>214.35848497250879</v>
      </c>
      <c r="AJ49" s="22">
        <v>327.715103331541</v>
      </c>
      <c r="AK49" s="22">
        <v>120.76309307847953</v>
      </c>
      <c r="AL49" s="22">
        <f t="shared" si="2"/>
        <v>94.792983435676007</v>
      </c>
    </row>
    <row r="50" spans="1:38" x14ac:dyDescent="0.75">
      <c r="A50" s="20" t="s">
        <v>133</v>
      </c>
      <c r="B50" s="25" t="s">
        <v>262</v>
      </c>
      <c r="C50" s="20" t="s">
        <v>133</v>
      </c>
      <c r="D50" s="21">
        <v>83</v>
      </c>
      <c r="E50" s="22">
        <v>5.0774416378843998</v>
      </c>
      <c r="F50" s="22">
        <v>19.1124276269761</v>
      </c>
      <c r="G50" s="22">
        <v>37.616564741588029</v>
      </c>
      <c r="H50" s="22">
        <v>30.151217425898199</v>
      </c>
      <c r="I50" s="22">
        <v>43.921672306309098</v>
      </c>
      <c r="J50" s="22">
        <v>159.205353418881</v>
      </c>
      <c r="K50" s="22">
        <v>29.374882408603881</v>
      </c>
      <c r="L50" s="21">
        <v>24</v>
      </c>
      <c r="M50" s="22">
        <v>5.0774416378843998</v>
      </c>
      <c r="N50" s="22">
        <v>18.653390519199998</v>
      </c>
      <c r="O50" s="22">
        <v>26.102263630661465</v>
      </c>
      <c r="P50" s="22">
        <v>21.0378179193644</v>
      </c>
      <c r="Q50" s="22">
        <v>26.525401004266726</v>
      </c>
      <c r="R50" s="22">
        <v>126.195462328109</v>
      </c>
      <c r="S50" s="22">
        <v>22.297293045929486</v>
      </c>
      <c r="T50" s="22">
        <f t="shared" si="0"/>
        <v>16.910410780975194</v>
      </c>
      <c r="U50" s="21">
        <v>31</v>
      </c>
      <c r="V50" s="22">
        <v>23.540079924546301</v>
      </c>
      <c r="W50" s="22">
        <v>31.360031390857699</v>
      </c>
      <c r="X50" s="22">
        <v>38.117914630559298</v>
      </c>
      <c r="Y50" s="22">
        <v>34.982511489529898</v>
      </c>
      <c r="Z50" s="22">
        <v>45.497427636014898</v>
      </c>
      <c r="AA50" s="22">
        <v>68.407726416034606</v>
      </c>
      <c r="AB50" s="22">
        <v>10.838435172206509</v>
      </c>
      <c r="AC50" s="22">
        <f t="shared" si="1"/>
        <v>41.238180878421765</v>
      </c>
      <c r="AD50" s="21">
        <v>15</v>
      </c>
      <c r="AE50" s="22">
        <v>14.442832290484001</v>
      </c>
      <c r="AF50" s="22">
        <v>36.324154701196299</v>
      </c>
      <c r="AG50" s="22">
        <v>75.497386001437874</v>
      </c>
      <c r="AH50" s="22">
        <v>77.645856271037999</v>
      </c>
      <c r="AI50" s="22">
        <v>96.401009207907805</v>
      </c>
      <c r="AJ50" s="22">
        <v>159.205353418881</v>
      </c>
      <c r="AK50" s="22">
        <v>40.719164647755555</v>
      </c>
      <c r="AL50" s="22">
        <f t="shared" si="2"/>
        <v>94.792983435676007</v>
      </c>
    </row>
    <row r="51" spans="1:38" x14ac:dyDescent="0.75">
      <c r="A51" s="20" t="s">
        <v>134</v>
      </c>
      <c r="B51" s="25" t="s">
        <v>262</v>
      </c>
      <c r="C51" s="20" t="s">
        <v>134</v>
      </c>
      <c r="D51" s="21">
        <v>35</v>
      </c>
      <c r="E51" s="22">
        <v>5.4975827930478998</v>
      </c>
      <c r="F51" s="22">
        <v>9.9958122557560607</v>
      </c>
      <c r="G51" s="22">
        <v>22.827199705602695</v>
      </c>
      <c r="H51" s="22">
        <v>15.241648034175199</v>
      </c>
      <c r="I51" s="22">
        <v>30.574470831165801</v>
      </c>
      <c r="J51" s="22">
        <v>110.83805318400699</v>
      </c>
      <c r="K51" s="22">
        <v>20.731846646084552</v>
      </c>
      <c r="L51" s="21">
        <v>8</v>
      </c>
      <c r="M51" s="22">
        <v>5.4975827930478998</v>
      </c>
      <c r="N51" s="22">
        <v>5.7099819931577196</v>
      </c>
      <c r="O51" s="22">
        <v>11.509951176962211</v>
      </c>
      <c r="P51" s="22">
        <v>8.4409024568196998</v>
      </c>
      <c r="Q51" s="22">
        <v>14.6261414462362</v>
      </c>
      <c r="R51" s="22">
        <v>30.574470831165801</v>
      </c>
      <c r="S51" s="22">
        <v>8.5139781726054338</v>
      </c>
      <c r="T51" s="22">
        <f t="shared" si="0"/>
        <v>16.910410780975194</v>
      </c>
      <c r="U51" s="21">
        <v>11</v>
      </c>
      <c r="V51" s="22">
        <v>13.559438793620901</v>
      </c>
      <c r="W51" s="22">
        <v>15.241648034175199</v>
      </c>
      <c r="X51" s="22">
        <v>25.954488706005392</v>
      </c>
      <c r="Y51" s="22">
        <v>21.920275391508898</v>
      </c>
      <c r="Z51" s="22">
        <v>28.803470980582599</v>
      </c>
      <c r="AA51" s="22">
        <v>53.750156611068</v>
      </c>
      <c r="AB51" s="22">
        <v>12.244012942522879</v>
      </c>
      <c r="AC51" s="22">
        <f t="shared" si="1"/>
        <v>41.238180878421765</v>
      </c>
      <c r="AD51" s="21" t="s">
        <v>291</v>
      </c>
      <c r="AE51" s="22" t="s">
        <v>291</v>
      </c>
      <c r="AF51" s="22" t="s">
        <v>291</v>
      </c>
      <c r="AG51" s="22" t="s">
        <v>291</v>
      </c>
      <c r="AH51" s="22" t="s">
        <v>291</v>
      </c>
      <c r="AI51" s="22" t="s">
        <v>291</v>
      </c>
      <c r="AJ51" s="22" t="s">
        <v>291</v>
      </c>
      <c r="AK51" s="22" t="s">
        <v>291</v>
      </c>
      <c r="AL51" s="22">
        <f t="shared" si="2"/>
        <v>94.792983435676007</v>
      </c>
    </row>
    <row r="52" spans="1:38" x14ac:dyDescent="0.75">
      <c r="A52" s="20" t="s">
        <v>135</v>
      </c>
      <c r="B52" s="25" t="s">
        <v>262</v>
      </c>
      <c r="C52" s="20" t="s">
        <v>135</v>
      </c>
      <c r="D52" s="21">
        <v>29</v>
      </c>
      <c r="E52" s="22">
        <v>17.635414782472498</v>
      </c>
      <c r="F52" s="22">
        <v>37.269734570868948</v>
      </c>
      <c r="G52" s="22">
        <v>83.331856042620046</v>
      </c>
      <c r="H52" s="22">
        <v>58.422607562601598</v>
      </c>
      <c r="I52" s="22">
        <v>108.985137111665</v>
      </c>
      <c r="J52" s="22">
        <v>292.90788168005702</v>
      </c>
      <c r="K52" s="22">
        <v>69.315113256561062</v>
      </c>
      <c r="L52" s="21" t="s">
        <v>291</v>
      </c>
      <c r="M52" s="22" t="s">
        <v>291</v>
      </c>
      <c r="N52" s="22" t="s">
        <v>291</v>
      </c>
      <c r="O52" s="22" t="s">
        <v>291</v>
      </c>
      <c r="P52" s="22" t="s">
        <v>291</v>
      </c>
      <c r="Q52" s="22" t="s">
        <v>291</v>
      </c>
      <c r="R52" s="22" t="s">
        <v>291</v>
      </c>
      <c r="S52" s="22" t="s">
        <v>291</v>
      </c>
      <c r="T52" s="22">
        <f t="shared" si="0"/>
        <v>16.910410780975194</v>
      </c>
      <c r="U52" s="21">
        <v>9</v>
      </c>
      <c r="V52" s="22">
        <v>26.9055785000903</v>
      </c>
      <c r="W52" s="22">
        <v>31.068040276259801</v>
      </c>
      <c r="X52" s="22">
        <v>48.329537641096962</v>
      </c>
      <c r="Y52" s="22">
        <v>41.950519783770602</v>
      </c>
      <c r="Z52" s="22">
        <v>62.011736938085747</v>
      </c>
      <c r="AA52" s="22">
        <v>90.993162783545401</v>
      </c>
      <c r="AB52" s="22">
        <v>20.818094365274984</v>
      </c>
      <c r="AC52" s="22">
        <f t="shared" si="1"/>
        <v>41.238180878421765</v>
      </c>
      <c r="AD52" s="21">
        <v>17</v>
      </c>
      <c r="AE52" s="22">
        <v>17.635414782472498</v>
      </c>
      <c r="AF52" s="22">
        <v>42.337243979563652</v>
      </c>
      <c r="AG52" s="22">
        <v>110.29362568739614</v>
      </c>
      <c r="AH52" s="22">
        <v>94.798314089403107</v>
      </c>
      <c r="AI52" s="22">
        <v>141.09262409755399</v>
      </c>
      <c r="AJ52" s="22">
        <v>292.90788168005702</v>
      </c>
      <c r="AK52" s="22">
        <v>79.224641679184273</v>
      </c>
      <c r="AL52" s="22">
        <f t="shared" si="2"/>
        <v>94.792983435676007</v>
      </c>
    </row>
    <row r="53" spans="1:38" x14ac:dyDescent="0.75">
      <c r="A53" s="20" t="s">
        <v>136</v>
      </c>
      <c r="B53" s="25" t="s">
        <v>262</v>
      </c>
      <c r="C53" s="20" t="s">
        <v>136</v>
      </c>
      <c r="D53" s="21">
        <v>15</v>
      </c>
      <c r="E53" s="22">
        <v>6.5426463989239103</v>
      </c>
      <c r="F53" s="22">
        <v>7.4430740508538999</v>
      </c>
      <c r="G53" s="22">
        <v>23.759309432044105</v>
      </c>
      <c r="H53" s="22">
        <v>22.2470974710312</v>
      </c>
      <c r="I53" s="22">
        <v>40.008673449761098</v>
      </c>
      <c r="J53" s="22">
        <v>67.692736036803396</v>
      </c>
      <c r="K53" s="22">
        <v>17.774025417668472</v>
      </c>
      <c r="L53" s="21" t="s">
        <v>291</v>
      </c>
      <c r="M53" s="22" t="s">
        <v>291</v>
      </c>
      <c r="N53" s="22" t="s">
        <v>291</v>
      </c>
      <c r="O53" s="22" t="s">
        <v>291</v>
      </c>
      <c r="P53" s="22" t="s">
        <v>291</v>
      </c>
      <c r="Q53" s="22" t="s">
        <v>291</v>
      </c>
      <c r="R53" s="22" t="s">
        <v>291</v>
      </c>
      <c r="S53" s="22" t="s">
        <v>291</v>
      </c>
      <c r="T53" s="22">
        <f t="shared" si="0"/>
        <v>16.910410780975194</v>
      </c>
      <c r="U53" s="21" t="s">
        <v>291</v>
      </c>
      <c r="V53" s="22" t="s">
        <v>291</v>
      </c>
      <c r="W53" s="22" t="s">
        <v>291</v>
      </c>
      <c r="X53" s="22" t="s">
        <v>291</v>
      </c>
      <c r="Y53" s="22" t="s">
        <v>291</v>
      </c>
      <c r="Z53" s="22" t="s">
        <v>291</v>
      </c>
      <c r="AA53" s="22" t="s">
        <v>291</v>
      </c>
      <c r="AB53" s="22" t="s">
        <v>291</v>
      </c>
      <c r="AC53" s="22">
        <f t="shared" si="1"/>
        <v>41.238180878421765</v>
      </c>
      <c r="AD53" s="21" t="s">
        <v>291</v>
      </c>
      <c r="AE53" s="22" t="s">
        <v>291</v>
      </c>
      <c r="AF53" s="22" t="s">
        <v>291</v>
      </c>
      <c r="AG53" s="22" t="s">
        <v>291</v>
      </c>
      <c r="AH53" s="22" t="s">
        <v>291</v>
      </c>
      <c r="AI53" s="22" t="s">
        <v>291</v>
      </c>
      <c r="AJ53" s="22" t="s">
        <v>291</v>
      </c>
      <c r="AK53" s="22" t="s">
        <v>291</v>
      </c>
      <c r="AL53" s="22">
        <f t="shared" si="2"/>
        <v>94.792983435676007</v>
      </c>
    </row>
    <row r="54" spans="1:38" x14ac:dyDescent="0.75">
      <c r="A54" s="20" t="s">
        <v>267</v>
      </c>
      <c r="B54" s="25" t="s">
        <v>262</v>
      </c>
      <c r="C54" s="20" t="s">
        <v>267</v>
      </c>
      <c r="D54" s="21">
        <v>72</v>
      </c>
      <c r="E54" s="22">
        <v>3.9228181220366301</v>
      </c>
      <c r="F54" s="22">
        <v>13.151389545263699</v>
      </c>
      <c r="G54" s="22">
        <v>52.189753165951878</v>
      </c>
      <c r="H54" s="22">
        <v>21.7422840365785</v>
      </c>
      <c r="I54" s="22">
        <v>34.728120175964001</v>
      </c>
      <c r="J54" s="22">
        <v>913.939431748944</v>
      </c>
      <c r="K54" s="22">
        <v>138.60639282923492</v>
      </c>
      <c r="L54" s="21">
        <v>21</v>
      </c>
      <c r="M54" s="22">
        <v>3.9228181220366301</v>
      </c>
      <c r="N54" s="22">
        <v>8.5073997614480596</v>
      </c>
      <c r="O54" s="22">
        <v>13.430119793810729</v>
      </c>
      <c r="P54" s="22">
        <v>12.781778674818</v>
      </c>
      <c r="Q54" s="22">
        <v>16.91248833830435</v>
      </c>
      <c r="R54" s="22">
        <v>23.6175206683243</v>
      </c>
      <c r="S54" s="22">
        <v>5.7598244465296737</v>
      </c>
      <c r="T54" s="22">
        <f t="shared" si="0"/>
        <v>16.910410780975194</v>
      </c>
      <c r="U54" s="21">
        <v>37</v>
      </c>
      <c r="V54" s="22">
        <v>7.8205520752462796</v>
      </c>
      <c r="W54" s="22">
        <v>18.352234412522499</v>
      </c>
      <c r="X54" s="22">
        <v>74.966706282452108</v>
      </c>
      <c r="Y54" s="22">
        <v>25.842135829917499</v>
      </c>
      <c r="Z54" s="22">
        <v>35.550990016860752</v>
      </c>
      <c r="AA54" s="22">
        <v>913.939431748944</v>
      </c>
      <c r="AB54" s="22">
        <v>189.56145380369216</v>
      </c>
      <c r="AC54" s="22">
        <f t="shared" si="1"/>
        <v>41.238180878421765</v>
      </c>
      <c r="AD54" s="21">
        <v>11</v>
      </c>
      <c r="AE54" s="22">
        <v>15.432351833232101</v>
      </c>
      <c r="AF54" s="22">
        <v>22.7328655694687</v>
      </c>
      <c r="AG54" s="22">
        <v>60.290135118556876</v>
      </c>
      <c r="AH54" s="22">
        <v>60.128776458953702</v>
      </c>
      <c r="AI54" s="22">
        <v>71.458569071727396</v>
      </c>
      <c r="AJ54" s="22">
        <v>134.19972848881</v>
      </c>
      <c r="AK54" s="22">
        <v>36.871229839710274</v>
      </c>
      <c r="AL54" s="22">
        <f t="shared" si="2"/>
        <v>94.792983435676007</v>
      </c>
    </row>
    <row r="55" spans="1:38" x14ac:dyDescent="0.75">
      <c r="A55" s="20" t="s">
        <v>144</v>
      </c>
      <c r="B55" s="25" t="s">
        <v>262</v>
      </c>
      <c r="C55" s="20" t="s">
        <v>144</v>
      </c>
      <c r="D55" s="21">
        <v>110</v>
      </c>
      <c r="E55" s="22">
        <v>9.6794374907782998</v>
      </c>
      <c r="F55" s="22">
        <v>49.34223195698975</v>
      </c>
      <c r="G55" s="22">
        <v>115.93364863820152</v>
      </c>
      <c r="H55" s="22">
        <v>75.290100247720048</v>
      </c>
      <c r="I55" s="22">
        <v>139.30017507418927</v>
      </c>
      <c r="J55" s="22">
        <v>840.44055216747404</v>
      </c>
      <c r="K55" s="22">
        <v>123.08279610380011</v>
      </c>
      <c r="L55" s="21">
        <v>22</v>
      </c>
      <c r="M55" s="22">
        <v>9.6794374907782998</v>
      </c>
      <c r="N55" s="22">
        <v>31.707414258101878</v>
      </c>
      <c r="O55" s="22">
        <v>47.451413821239164</v>
      </c>
      <c r="P55" s="22">
        <v>50.904134635583347</v>
      </c>
      <c r="Q55" s="22">
        <v>61.733233349188851</v>
      </c>
      <c r="R55" s="22">
        <v>87.462149947828905</v>
      </c>
      <c r="S55" s="22">
        <v>19.449551374495034</v>
      </c>
      <c r="T55" s="22">
        <f t="shared" si="0"/>
        <v>16.910410780975194</v>
      </c>
      <c r="U55" s="21">
        <v>51</v>
      </c>
      <c r="V55" s="22">
        <v>17.730958949151699</v>
      </c>
      <c r="W55" s="22">
        <v>50.135966797057698</v>
      </c>
      <c r="X55" s="22">
        <v>122.4268714852297</v>
      </c>
      <c r="Y55" s="22">
        <v>71.582625853399804</v>
      </c>
      <c r="Z55" s="22">
        <v>128.49465828787299</v>
      </c>
      <c r="AA55" s="22">
        <v>840.44055216747404</v>
      </c>
      <c r="AB55" s="22">
        <v>158.19052114884792</v>
      </c>
      <c r="AC55" s="22">
        <f t="shared" si="1"/>
        <v>41.238180878421765</v>
      </c>
      <c r="AD55" s="21">
        <v>37</v>
      </c>
      <c r="AE55" s="22">
        <v>28.213079571472999</v>
      </c>
      <c r="AF55" s="22">
        <v>79.047757774414038</v>
      </c>
      <c r="AG55" s="22">
        <v>147.7026973077889</v>
      </c>
      <c r="AH55" s="22">
        <v>127.354583689027</v>
      </c>
      <c r="AI55" s="22">
        <v>209.73351346221199</v>
      </c>
      <c r="AJ55" s="22">
        <v>355.837046145827</v>
      </c>
      <c r="AK55" s="22">
        <v>83.242701433151737</v>
      </c>
      <c r="AL55" s="22">
        <f t="shared" si="2"/>
        <v>94.792983435676007</v>
      </c>
    </row>
    <row r="56" spans="1:38" x14ac:dyDescent="0.75">
      <c r="A56" s="20" t="s">
        <v>148</v>
      </c>
      <c r="B56" s="25" t="s">
        <v>262</v>
      </c>
      <c r="C56" s="20" t="s">
        <v>148</v>
      </c>
      <c r="D56" s="21">
        <v>77</v>
      </c>
      <c r="E56" s="22">
        <v>5.9056530263807101</v>
      </c>
      <c r="F56" s="22">
        <v>12.728966585202151</v>
      </c>
      <c r="G56" s="22">
        <v>32.902752831621505</v>
      </c>
      <c r="H56" s="22">
        <v>20.769897322954499</v>
      </c>
      <c r="I56" s="22">
        <v>40.657618086033395</v>
      </c>
      <c r="J56" s="22">
        <v>207.779068132948</v>
      </c>
      <c r="K56" s="22">
        <v>33.952810254147899</v>
      </c>
      <c r="L56" s="21">
        <v>16</v>
      </c>
      <c r="M56" s="22">
        <v>5.9056530263807101</v>
      </c>
      <c r="N56" s="22">
        <v>8.274796958867217</v>
      </c>
      <c r="O56" s="22">
        <v>15.641617852916632</v>
      </c>
      <c r="P56" s="22">
        <v>12.555871173599449</v>
      </c>
      <c r="Q56" s="22">
        <v>20.389698927216223</v>
      </c>
      <c r="R56" s="22">
        <v>34.158882928955698</v>
      </c>
      <c r="S56" s="22">
        <v>9.1080988161753673</v>
      </c>
      <c r="T56" s="22">
        <f t="shared" si="0"/>
        <v>16.910410780975194</v>
      </c>
      <c r="U56" s="21">
        <v>37</v>
      </c>
      <c r="V56" s="22">
        <v>6.1386904954038197</v>
      </c>
      <c r="W56" s="22">
        <v>12.003096968484751</v>
      </c>
      <c r="X56" s="22">
        <v>27.235014072628346</v>
      </c>
      <c r="Y56" s="22">
        <v>19.014082976849799</v>
      </c>
      <c r="Z56" s="22">
        <v>28.734087611145597</v>
      </c>
      <c r="AA56" s="22">
        <v>157.598547505222</v>
      </c>
      <c r="AB56" s="22">
        <v>26.938949045153187</v>
      </c>
      <c r="AC56" s="22">
        <f t="shared" si="1"/>
        <v>41.238180878421765</v>
      </c>
      <c r="AD56" s="21">
        <v>23</v>
      </c>
      <c r="AE56" s="22">
        <v>12.736101028983001</v>
      </c>
      <c r="AF56" s="22">
        <v>26.932225695830301</v>
      </c>
      <c r="AG56" s="22">
        <v>55.06893747020321</v>
      </c>
      <c r="AH56" s="22">
        <v>45.769582328079302</v>
      </c>
      <c r="AI56" s="22">
        <v>63.748588354196897</v>
      </c>
      <c r="AJ56" s="22">
        <v>207.779068132948</v>
      </c>
      <c r="AK56" s="22">
        <v>43.907413058428283</v>
      </c>
      <c r="AL56" s="22">
        <f t="shared" si="2"/>
        <v>94.792983435676007</v>
      </c>
    </row>
    <row r="57" spans="1:38" x14ac:dyDescent="0.75">
      <c r="A57" s="20" t="s">
        <v>152</v>
      </c>
      <c r="B57" s="25" t="s">
        <v>262</v>
      </c>
      <c r="C57" s="20" t="s">
        <v>152</v>
      </c>
      <c r="D57" s="21">
        <v>23</v>
      </c>
      <c r="E57" s="22">
        <v>18.102376527314899</v>
      </c>
      <c r="F57" s="22">
        <v>33.2286394141885</v>
      </c>
      <c r="G57" s="22">
        <v>103.55037750960224</v>
      </c>
      <c r="H57" s="22">
        <v>59.370623194605102</v>
      </c>
      <c r="I57" s="22">
        <v>115.366155965896</v>
      </c>
      <c r="J57" s="22">
        <v>454.50533622219501</v>
      </c>
      <c r="K57" s="22">
        <v>116.19523488911148</v>
      </c>
      <c r="L57" s="21" t="s">
        <v>291</v>
      </c>
      <c r="M57" s="22" t="s">
        <v>291</v>
      </c>
      <c r="N57" s="22" t="s">
        <v>291</v>
      </c>
      <c r="O57" s="22" t="s">
        <v>291</v>
      </c>
      <c r="P57" s="22" t="s">
        <v>291</v>
      </c>
      <c r="Q57" s="22" t="s">
        <v>291</v>
      </c>
      <c r="R57" s="22" t="s">
        <v>291</v>
      </c>
      <c r="S57" s="22" t="s">
        <v>291</v>
      </c>
      <c r="T57" s="22">
        <f t="shared" si="0"/>
        <v>16.910410780975194</v>
      </c>
      <c r="U57" s="21">
        <v>11</v>
      </c>
      <c r="V57" s="22">
        <v>23.293031362897</v>
      </c>
      <c r="W57" s="22">
        <v>33.2286394141885</v>
      </c>
      <c r="X57" s="22">
        <v>66.543957384996915</v>
      </c>
      <c r="Y57" s="22">
        <v>55.610426949523202</v>
      </c>
      <c r="Z57" s="22">
        <v>111.481753614369</v>
      </c>
      <c r="AA57" s="22">
        <v>133.31352381878401</v>
      </c>
      <c r="AB57" s="22">
        <v>41.001290981241119</v>
      </c>
      <c r="AC57" s="22">
        <f t="shared" si="1"/>
        <v>41.238180878421765</v>
      </c>
      <c r="AD57" s="21" t="s">
        <v>291</v>
      </c>
      <c r="AE57" s="22" t="s">
        <v>291</v>
      </c>
      <c r="AF57" s="22" t="s">
        <v>291</v>
      </c>
      <c r="AG57" s="22" t="s">
        <v>291</v>
      </c>
      <c r="AH57" s="22" t="s">
        <v>291</v>
      </c>
      <c r="AI57" s="22" t="s">
        <v>291</v>
      </c>
      <c r="AJ57" s="22" t="s">
        <v>291</v>
      </c>
      <c r="AK57" s="22" t="s">
        <v>291</v>
      </c>
      <c r="AL57" s="22">
        <f t="shared" si="2"/>
        <v>94.792983435676007</v>
      </c>
    </row>
    <row r="58" spans="1:38" x14ac:dyDescent="0.75">
      <c r="A58" s="20" t="s">
        <v>155</v>
      </c>
      <c r="B58" s="25" t="s">
        <v>262</v>
      </c>
      <c r="C58" s="20" t="s">
        <v>155</v>
      </c>
      <c r="D58" s="21">
        <v>118</v>
      </c>
      <c r="E58" s="22">
        <v>2.6274329778045602</v>
      </c>
      <c r="F58" s="22">
        <v>5.8215570191032722</v>
      </c>
      <c r="G58" s="22">
        <v>14.49662151352249</v>
      </c>
      <c r="H58" s="22">
        <v>9.05295124190779</v>
      </c>
      <c r="I58" s="22">
        <v>16.204580784134102</v>
      </c>
      <c r="J58" s="22">
        <v>98.730159794831394</v>
      </c>
      <c r="K58" s="22">
        <v>15.612873423712598</v>
      </c>
      <c r="L58" s="21">
        <v>30</v>
      </c>
      <c r="M58" s="22">
        <v>3.58700797313546</v>
      </c>
      <c r="N58" s="22">
        <v>5.0619721045307404</v>
      </c>
      <c r="O58" s="22">
        <v>7.7068430955575549</v>
      </c>
      <c r="P58" s="22">
        <v>6.5962345281805597</v>
      </c>
      <c r="Q58" s="22">
        <v>8.1416679268899426</v>
      </c>
      <c r="R58" s="22">
        <v>20.703733362805401</v>
      </c>
      <c r="S58" s="22">
        <v>4.1199498312402003</v>
      </c>
      <c r="T58" s="22">
        <f t="shared" si="0"/>
        <v>16.910410780975194</v>
      </c>
      <c r="U58" s="21">
        <v>45</v>
      </c>
      <c r="V58" s="22">
        <v>5.3558205377657799</v>
      </c>
      <c r="W58" s="22">
        <v>10.840576446599851</v>
      </c>
      <c r="X58" s="22">
        <v>16.67473525193471</v>
      </c>
      <c r="Y58" s="22">
        <v>13.658967131753499</v>
      </c>
      <c r="Z58" s="22">
        <v>19.230374822129999</v>
      </c>
      <c r="AA58" s="22">
        <v>83.796781159327296</v>
      </c>
      <c r="AB58" s="22">
        <v>12.112852559972152</v>
      </c>
      <c r="AC58" s="22">
        <f t="shared" si="1"/>
        <v>41.238180878421765</v>
      </c>
      <c r="AD58" s="21">
        <v>12</v>
      </c>
      <c r="AE58" s="22">
        <v>14.0010737497975</v>
      </c>
      <c r="AF58" s="22">
        <v>25.4755069903029</v>
      </c>
      <c r="AG58" s="22">
        <v>38.209099160692382</v>
      </c>
      <c r="AH58" s="22">
        <v>32.638229876902201</v>
      </c>
      <c r="AI58" s="22">
        <v>51.15509700368537</v>
      </c>
      <c r="AJ58" s="22">
        <v>81.249386650023396</v>
      </c>
      <c r="AK58" s="22">
        <v>18.409227280317534</v>
      </c>
      <c r="AL58" s="22">
        <f t="shared" si="2"/>
        <v>94.792983435676007</v>
      </c>
    </row>
    <row r="59" spans="1:38" x14ac:dyDescent="0.75">
      <c r="A59" s="20" t="s">
        <v>160</v>
      </c>
      <c r="B59" s="25" t="s">
        <v>262</v>
      </c>
      <c r="C59" s="20" t="s">
        <v>160</v>
      </c>
      <c r="D59" s="21">
        <v>64</v>
      </c>
      <c r="E59" s="22">
        <v>0.53872737926868597</v>
      </c>
      <c r="F59" s="22">
        <v>2.68677129377379</v>
      </c>
      <c r="G59" s="22">
        <v>6.4944922861504804</v>
      </c>
      <c r="H59" s="22">
        <v>4.38708843753375</v>
      </c>
      <c r="I59" s="22">
        <v>9.0763399992567564</v>
      </c>
      <c r="J59" s="22">
        <v>27.581945514919902</v>
      </c>
      <c r="K59" s="22">
        <v>5.7180943463691349</v>
      </c>
      <c r="L59" s="21">
        <v>18</v>
      </c>
      <c r="M59" s="22">
        <v>0.53872737926868597</v>
      </c>
      <c r="N59" s="22">
        <v>2.1392280391378775</v>
      </c>
      <c r="O59" s="22">
        <v>3.9154587277794062</v>
      </c>
      <c r="P59" s="22">
        <v>3.1739036296559897</v>
      </c>
      <c r="Q59" s="22">
        <v>4.5663465528140179</v>
      </c>
      <c r="R59" s="22">
        <v>11.077329016710401</v>
      </c>
      <c r="S59" s="22">
        <v>2.8239743282432239</v>
      </c>
      <c r="T59" s="22">
        <f t="shared" si="0"/>
        <v>16.910410780975194</v>
      </c>
      <c r="U59" s="21">
        <v>17</v>
      </c>
      <c r="V59" s="22">
        <v>0.72502546398402701</v>
      </c>
      <c r="W59" s="22">
        <v>4.3852486843333702</v>
      </c>
      <c r="X59" s="22">
        <v>6.9640031228488679</v>
      </c>
      <c r="Y59" s="22">
        <v>5.7244403688721404</v>
      </c>
      <c r="Z59" s="22">
        <v>10.927227236216449</v>
      </c>
      <c r="AA59" s="22">
        <v>14.176026019525001</v>
      </c>
      <c r="AB59" s="22">
        <v>4.0658726437830586</v>
      </c>
      <c r="AC59" s="22">
        <f t="shared" si="1"/>
        <v>41.238180878421765</v>
      </c>
      <c r="AD59" s="21">
        <v>9</v>
      </c>
      <c r="AE59" s="22">
        <v>8.8270933802165796</v>
      </c>
      <c r="AF59" s="22">
        <v>10.107667241582689</v>
      </c>
      <c r="AG59" s="22">
        <v>16.819133631902631</v>
      </c>
      <c r="AH59" s="22">
        <v>17.097429482093698</v>
      </c>
      <c r="AI59" s="22">
        <v>22.1620054679742</v>
      </c>
      <c r="AJ59" s="22">
        <v>27.581945514919902</v>
      </c>
      <c r="AK59" s="22">
        <v>6.7730752884929935</v>
      </c>
      <c r="AL59" s="22">
        <f t="shared" si="2"/>
        <v>94.792983435676007</v>
      </c>
    </row>
    <row r="60" spans="1:38" x14ac:dyDescent="0.75">
      <c r="A60" s="20" t="s">
        <v>332</v>
      </c>
      <c r="B60" s="25" t="s">
        <v>262</v>
      </c>
      <c r="C60" s="20" t="s">
        <v>332</v>
      </c>
      <c r="D60" s="21">
        <v>19</v>
      </c>
      <c r="E60" s="22">
        <v>15.3377247522297</v>
      </c>
      <c r="F60" s="22">
        <v>28.7777355059043</v>
      </c>
      <c r="G60" s="22">
        <v>70.161410612590004</v>
      </c>
      <c r="H60" s="22">
        <v>57.998594528343297</v>
      </c>
      <c r="I60" s="22">
        <v>113.613348908299</v>
      </c>
      <c r="J60" s="22">
        <v>176.88697900233601</v>
      </c>
      <c r="K60" s="22">
        <v>48.761550923593255</v>
      </c>
      <c r="L60" s="21" t="s">
        <v>291</v>
      </c>
      <c r="M60" s="22" t="s">
        <v>291</v>
      </c>
      <c r="N60" s="22" t="s">
        <v>291</v>
      </c>
      <c r="O60" s="22" t="s">
        <v>291</v>
      </c>
      <c r="P60" s="22" t="s">
        <v>291</v>
      </c>
      <c r="Q60" s="22" t="s">
        <v>291</v>
      </c>
      <c r="R60" s="22" t="s">
        <v>291</v>
      </c>
      <c r="S60" s="22" t="s">
        <v>291</v>
      </c>
      <c r="T60" s="22">
        <f t="shared" si="0"/>
        <v>16.910410780975194</v>
      </c>
      <c r="U60" s="21">
        <v>9</v>
      </c>
      <c r="V60" s="22">
        <v>31.612323123245002</v>
      </c>
      <c r="W60" s="22">
        <v>45.288480077303902</v>
      </c>
      <c r="X60" s="22">
        <v>89.456281356633497</v>
      </c>
      <c r="Y60" s="22">
        <v>73.375541170641796</v>
      </c>
      <c r="Z60" s="22">
        <v>126.958257837659</v>
      </c>
      <c r="AA60" s="22">
        <v>176.88697900233601</v>
      </c>
      <c r="AB60" s="22">
        <v>49.357812943867074</v>
      </c>
      <c r="AC60" s="22">
        <f t="shared" si="1"/>
        <v>41.238180878421765</v>
      </c>
      <c r="AD60" s="21" t="s">
        <v>291</v>
      </c>
      <c r="AE60" s="22" t="s">
        <v>291</v>
      </c>
      <c r="AF60" s="22" t="s">
        <v>291</v>
      </c>
      <c r="AG60" s="22" t="s">
        <v>291</v>
      </c>
      <c r="AH60" s="22" t="s">
        <v>291</v>
      </c>
      <c r="AI60" s="22" t="s">
        <v>291</v>
      </c>
      <c r="AJ60" s="22" t="s">
        <v>291</v>
      </c>
      <c r="AK60" s="22" t="s">
        <v>291</v>
      </c>
      <c r="AL60" s="22">
        <f t="shared" si="2"/>
        <v>94.792983435676007</v>
      </c>
    </row>
    <row r="61" spans="1:38" x14ac:dyDescent="0.75">
      <c r="A61" s="20" t="s">
        <v>165</v>
      </c>
      <c r="B61" s="25" t="s">
        <v>262</v>
      </c>
      <c r="C61" s="20" t="s">
        <v>165</v>
      </c>
      <c r="D61" s="21">
        <v>157</v>
      </c>
      <c r="E61" s="22">
        <v>10.194625072704399</v>
      </c>
      <c r="F61" s="22">
        <v>35.698475698185199</v>
      </c>
      <c r="G61" s="22">
        <v>104.67175654633746</v>
      </c>
      <c r="H61" s="22">
        <v>64.200500562476705</v>
      </c>
      <c r="I61" s="22">
        <v>123.14647792375101</v>
      </c>
      <c r="J61" s="22">
        <v>705.84892578983101</v>
      </c>
      <c r="K61" s="22">
        <v>113.12600781240046</v>
      </c>
      <c r="L61" s="21">
        <v>33</v>
      </c>
      <c r="M61" s="22">
        <v>10.194625072704399</v>
      </c>
      <c r="N61" s="22">
        <v>16.519307212119049</v>
      </c>
      <c r="O61" s="22">
        <v>43.770449087281946</v>
      </c>
      <c r="P61" s="22">
        <v>31.698593976603402</v>
      </c>
      <c r="Q61" s="22">
        <v>45.313944107328552</v>
      </c>
      <c r="R61" s="22">
        <v>268.95024694071202</v>
      </c>
      <c r="S61" s="22">
        <v>48.548449816279209</v>
      </c>
      <c r="T61" s="22">
        <f t="shared" si="0"/>
        <v>16.910410780975194</v>
      </c>
      <c r="U61" s="21">
        <v>58</v>
      </c>
      <c r="V61" s="22">
        <v>12.3676807854701</v>
      </c>
      <c r="W61" s="22">
        <v>38.936627191999577</v>
      </c>
      <c r="X61" s="22">
        <v>88.402614542542324</v>
      </c>
      <c r="Y61" s="22">
        <v>61.366518650186549</v>
      </c>
      <c r="Z61" s="22">
        <v>112.88505775102576</v>
      </c>
      <c r="AA61" s="22">
        <v>417.82674968016602</v>
      </c>
      <c r="AB61" s="22">
        <v>82.011362325627061</v>
      </c>
      <c r="AC61" s="22">
        <f t="shared" si="1"/>
        <v>41.238180878421765</v>
      </c>
      <c r="AD61" s="21">
        <v>62</v>
      </c>
      <c r="AE61" s="22">
        <v>24.827996131199502</v>
      </c>
      <c r="AF61" s="22">
        <v>58.244010016342074</v>
      </c>
      <c r="AG61" s="22">
        <v>156.99818737165143</v>
      </c>
      <c r="AH61" s="22">
        <v>98.195631218180296</v>
      </c>
      <c r="AI61" s="22">
        <v>206.57746504803328</v>
      </c>
      <c r="AJ61" s="22">
        <v>705.84892578983101</v>
      </c>
      <c r="AK61" s="22">
        <v>140.75657913126926</v>
      </c>
      <c r="AL61" s="22">
        <f t="shared" si="2"/>
        <v>94.792983435676007</v>
      </c>
    </row>
    <row r="62" spans="1:38" x14ac:dyDescent="0.75">
      <c r="A62" s="23" t="s">
        <v>169</v>
      </c>
      <c r="B62" s="24" t="s">
        <v>262</v>
      </c>
      <c r="C62" s="23" t="s">
        <v>169</v>
      </c>
      <c r="D62" s="21">
        <v>9</v>
      </c>
      <c r="E62" s="22">
        <v>16.347574921271001</v>
      </c>
      <c r="F62" s="22">
        <v>52.617256879792947</v>
      </c>
      <c r="G62" s="22">
        <v>67.710246080020212</v>
      </c>
      <c r="H62" s="22">
        <v>62.372341214413801</v>
      </c>
      <c r="I62" s="22">
        <v>91.231450714360548</v>
      </c>
      <c r="J62" s="22">
        <v>110.222735655322</v>
      </c>
      <c r="K62" s="22">
        <v>28.36269455739458</v>
      </c>
      <c r="L62" s="21" t="s">
        <v>291</v>
      </c>
      <c r="M62" s="22" t="s">
        <v>291</v>
      </c>
      <c r="N62" s="22" t="s">
        <v>291</v>
      </c>
      <c r="O62" s="22" t="s">
        <v>291</v>
      </c>
      <c r="P62" s="22" t="s">
        <v>291</v>
      </c>
      <c r="Q62" s="22" t="s">
        <v>291</v>
      </c>
      <c r="R62" s="22" t="s">
        <v>291</v>
      </c>
      <c r="S62" s="22" t="s">
        <v>291</v>
      </c>
      <c r="T62" s="22">
        <f t="shared" si="0"/>
        <v>16.910410780975194</v>
      </c>
      <c r="U62" s="21" t="s">
        <v>291</v>
      </c>
      <c r="V62" s="22" t="s">
        <v>291</v>
      </c>
      <c r="W62" s="22" t="s">
        <v>291</v>
      </c>
      <c r="X62" s="22" t="s">
        <v>291</v>
      </c>
      <c r="Y62" s="22" t="s">
        <v>291</v>
      </c>
      <c r="Z62" s="22" t="s">
        <v>291</v>
      </c>
      <c r="AA62" s="22" t="s">
        <v>291</v>
      </c>
      <c r="AB62" s="22" t="s">
        <v>291</v>
      </c>
      <c r="AC62" s="22">
        <f t="shared" si="1"/>
        <v>41.238180878421765</v>
      </c>
      <c r="AD62" s="21" t="s">
        <v>291</v>
      </c>
      <c r="AE62" s="22" t="s">
        <v>291</v>
      </c>
      <c r="AF62" s="22" t="s">
        <v>291</v>
      </c>
      <c r="AG62" s="22" t="s">
        <v>291</v>
      </c>
      <c r="AH62" s="22" t="s">
        <v>291</v>
      </c>
      <c r="AI62" s="22" t="s">
        <v>291</v>
      </c>
      <c r="AJ62" s="22" t="s">
        <v>291</v>
      </c>
      <c r="AK62" s="22" t="s">
        <v>291</v>
      </c>
      <c r="AL62" s="22">
        <f t="shared" si="2"/>
        <v>94.792983435676007</v>
      </c>
    </row>
    <row r="63" spans="1:38" x14ac:dyDescent="0.75">
      <c r="A63" s="20" t="s">
        <v>170</v>
      </c>
      <c r="B63" s="25" t="s">
        <v>262</v>
      </c>
      <c r="C63" s="20" t="s">
        <v>170</v>
      </c>
      <c r="D63" s="21">
        <v>118</v>
      </c>
      <c r="E63" s="22">
        <v>4.6246382563137702</v>
      </c>
      <c r="F63" s="22">
        <v>13.166123282059125</v>
      </c>
      <c r="G63" s="22">
        <v>39.848766633134431</v>
      </c>
      <c r="H63" s="22">
        <v>22.630332322411199</v>
      </c>
      <c r="I63" s="22">
        <v>43.410760442443625</v>
      </c>
      <c r="J63" s="22">
        <v>352.75212623237502</v>
      </c>
      <c r="K63" s="22">
        <v>50.196946619498028</v>
      </c>
      <c r="L63" s="21">
        <v>32</v>
      </c>
      <c r="M63" s="22">
        <v>5.2585191634079802</v>
      </c>
      <c r="N63" s="22">
        <v>11.283151406195525</v>
      </c>
      <c r="O63" s="22">
        <v>15.380150823335409</v>
      </c>
      <c r="P63" s="22">
        <v>13.55026565254075</v>
      </c>
      <c r="Q63" s="22">
        <v>18.853558599345124</v>
      </c>
      <c r="R63" s="22">
        <v>31.538965010088098</v>
      </c>
      <c r="S63" s="22">
        <v>6.613026785805868</v>
      </c>
      <c r="T63" s="22">
        <f t="shared" si="0"/>
        <v>16.910410780975194</v>
      </c>
      <c r="U63" s="21">
        <v>38</v>
      </c>
      <c r="V63" s="22">
        <v>8.2594869314920505</v>
      </c>
      <c r="W63" s="22">
        <v>14.295340937061376</v>
      </c>
      <c r="X63" s="22">
        <v>32.385195801724358</v>
      </c>
      <c r="Y63" s="22">
        <v>26.715174183829149</v>
      </c>
      <c r="Z63" s="22">
        <v>37.499491232110174</v>
      </c>
      <c r="AA63" s="22">
        <v>100.822922635353</v>
      </c>
      <c r="AB63" s="22">
        <v>22.860704053605012</v>
      </c>
      <c r="AC63" s="22">
        <f t="shared" si="1"/>
        <v>41.238180878421765</v>
      </c>
      <c r="AD63" s="21">
        <v>40</v>
      </c>
      <c r="AE63" s="22">
        <v>9.4405788411724707</v>
      </c>
      <c r="AF63" s="22">
        <v>25.649744656648</v>
      </c>
      <c r="AG63" s="22">
        <v>73.030535930185451</v>
      </c>
      <c r="AH63" s="22">
        <v>46.304482441545801</v>
      </c>
      <c r="AI63" s="22">
        <v>85.4724994703014</v>
      </c>
      <c r="AJ63" s="22">
        <v>352.75212623237502</v>
      </c>
      <c r="AK63" s="22">
        <v>71.662145438280376</v>
      </c>
      <c r="AL63" s="22">
        <f t="shared" si="2"/>
        <v>94.792983435676007</v>
      </c>
    </row>
    <row r="64" spans="1:38" x14ac:dyDescent="0.75">
      <c r="A64" s="20" t="s">
        <v>174</v>
      </c>
      <c r="B64" s="25" t="s">
        <v>262</v>
      </c>
      <c r="C64" s="20" t="s">
        <v>174</v>
      </c>
      <c r="D64" s="21">
        <v>152</v>
      </c>
      <c r="E64" s="22">
        <v>8.2885077093314994</v>
      </c>
      <c r="F64" s="22">
        <v>30.592037118313876</v>
      </c>
      <c r="G64" s="22">
        <v>65.404778401055538</v>
      </c>
      <c r="H64" s="22">
        <v>50.713638168345597</v>
      </c>
      <c r="I64" s="22">
        <v>87.00953347427928</v>
      </c>
      <c r="J64" s="22">
        <v>332.40694948818401</v>
      </c>
      <c r="K64" s="22">
        <v>49.612073137885425</v>
      </c>
      <c r="L64" s="21">
        <v>36</v>
      </c>
      <c r="M64" s="22">
        <v>8.3402910713559297</v>
      </c>
      <c r="N64" s="22">
        <v>19.253974382859099</v>
      </c>
      <c r="O64" s="22">
        <v>30.881961333738559</v>
      </c>
      <c r="P64" s="22">
        <v>29.049868068313252</v>
      </c>
      <c r="Q64" s="22">
        <v>41.788249923108069</v>
      </c>
      <c r="R64" s="22">
        <v>60.348631238209499</v>
      </c>
      <c r="S64" s="22">
        <v>13.941949011081237</v>
      </c>
      <c r="T64" s="22">
        <f t="shared" si="0"/>
        <v>16.910410780975194</v>
      </c>
      <c r="U64" s="21">
        <v>52</v>
      </c>
      <c r="V64" s="22">
        <v>8.2885077093314994</v>
      </c>
      <c r="W64" s="22">
        <v>38.243059293727654</v>
      </c>
      <c r="X64" s="22">
        <v>64.79485046343261</v>
      </c>
      <c r="Y64" s="22">
        <v>52.714712670804147</v>
      </c>
      <c r="Z64" s="22">
        <v>83.673253881299146</v>
      </c>
      <c r="AA64" s="22">
        <v>144.46300478224899</v>
      </c>
      <c r="AB64" s="22">
        <v>34.508532173404291</v>
      </c>
      <c r="AC64" s="22">
        <f t="shared" si="1"/>
        <v>41.238180878421765</v>
      </c>
      <c r="AD64" s="21">
        <v>58</v>
      </c>
      <c r="AE64" s="22">
        <v>20.503046588592301</v>
      </c>
      <c r="AF64" s="22">
        <v>50.784079594384323</v>
      </c>
      <c r="AG64" s="22">
        <v>91.913076505026268</v>
      </c>
      <c r="AH64" s="22">
        <v>78.168456187394355</v>
      </c>
      <c r="AI64" s="22">
        <v>121.23156345681301</v>
      </c>
      <c r="AJ64" s="22">
        <v>332.40694948818401</v>
      </c>
      <c r="AK64" s="22">
        <v>60.524995352978294</v>
      </c>
      <c r="AL64" s="22">
        <f t="shared" si="2"/>
        <v>94.792983435676007</v>
      </c>
    </row>
    <row r="65" spans="1:38" x14ac:dyDescent="0.75">
      <c r="A65" s="20" t="s">
        <v>175</v>
      </c>
      <c r="B65" s="25" t="s">
        <v>262</v>
      </c>
      <c r="C65" s="20" t="s">
        <v>175</v>
      </c>
      <c r="D65" s="21">
        <v>450</v>
      </c>
      <c r="E65" s="22">
        <v>1.6842232092921301</v>
      </c>
      <c r="F65" s="22">
        <v>5.1594380446899573</v>
      </c>
      <c r="G65" s="22">
        <v>12.591941755204047</v>
      </c>
      <c r="H65" s="22">
        <v>8.1104905142169592</v>
      </c>
      <c r="I65" s="22">
        <v>15.496969057691</v>
      </c>
      <c r="J65" s="22">
        <v>197.62010021277399</v>
      </c>
      <c r="K65" s="22">
        <v>15.738843820147494</v>
      </c>
      <c r="L65" s="21">
        <v>205</v>
      </c>
      <c r="M65" s="22">
        <v>1.6842232092921301</v>
      </c>
      <c r="N65" s="22">
        <v>4.6742507859062652</v>
      </c>
      <c r="O65" s="22">
        <v>9.5434123326359739</v>
      </c>
      <c r="P65" s="22">
        <v>6.7230362547049802</v>
      </c>
      <c r="Q65" s="22">
        <v>12.1356222544891</v>
      </c>
      <c r="R65" s="22">
        <v>142.47623712027101</v>
      </c>
      <c r="S65" s="22">
        <v>10.930311196160776</v>
      </c>
      <c r="T65" s="22">
        <f t="shared" si="0"/>
        <v>16.910410780975194</v>
      </c>
      <c r="U65" s="21">
        <v>158</v>
      </c>
      <c r="V65" s="22">
        <v>2.2509646997967701</v>
      </c>
      <c r="W65" s="22">
        <v>9.9312848440212456</v>
      </c>
      <c r="X65" s="22">
        <v>16.064268482045598</v>
      </c>
      <c r="Y65" s="22">
        <v>13.85684417548285</v>
      </c>
      <c r="Z65" s="22">
        <v>20.572735009424576</v>
      </c>
      <c r="AA65" s="22">
        <v>66.188479644781907</v>
      </c>
      <c r="AB65" s="22">
        <v>9.1731624220249568</v>
      </c>
      <c r="AC65" s="22">
        <f t="shared" si="1"/>
        <v>41.238180878421765</v>
      </c>
      <c r="AD65" s="21">
        <v>14</v>
      </c>
      <c r="AE65" s="22">
        <v>8.5190129897424693</v>
      </c>
      <c r="AF65" s="22">
        <v>21.713051667812699</v>
      </c>
      <c r="AG65" s="22">
        <v>58.340785480072519</v>
      </c>
      <c r="AH65" s="22">
        <v>44.349390310124704</v>
      </c>
      <c r="AI65" s="22">
        <v>73.70440318735163</v>
      </c>
      <c r="AJ65" s="22">
        <v>197.62010021277399</v>
      </c>
      <c r="AK65" s="22">
        <v>52.555583139440905</v>
      </c>
      <c r="AL65" s="22">
        <f t="shared" si="2"/>
        <v>94.792983435676007</v>
      </c>
    </row>
    <row r="66" spans="1:38" x14ac:dyDescent="0.75">
      <c r="A66" s="20" t="s">
        <v>176</v>
      </c>
      <c r="B66" s="25" t="s">
        <v>262</v>
      </c>
      <c r="C66" s="20" t="s">
        <v>176</v>
      </c>
      <c r="D66" s="21">
        <v>9408</v>
      </c>
      <c r="E66" s="22">
        <v>2.3376266080311501</v>
      </c>
      <c r="F66" s="22">
        <v>7.695739115166055</v>
      </c>
      <c r="G66" s="22">
        <v>15.02089850168875</v>
      </c>
      <c r="H66" s="22">
        <v>11.816843094241751</v>
      </c>
      <c r="I66" s="22">
        <v>17.769189632121176</v>
      </c>
      <c r="J66" s="22">
        <v>337.37385415709099</v>
      </c>
      <c r="K66" s="22">
        <v>13.093450107106047</v>
      </c>
      <c r="L66" s="21">
        <v>3972</v>
      </c>
      <c r="M66" s="22">
        <v>2.8621521855790402</v>
      </c>
      <c r="N66" s="22">
        <v>9.2754097649072325</v>
      </c>
      <c r="O66" s="22">
        <v>15.549062024454551</v>
      </c>
      <c r="P66" s="22">
        <v>13.607302295078449</v>
      </c>
      <c r="Q66" s="22">
        <v>19.247991622918825</v>
      </c>
      <c r="R66" s="22">
        <v>93.7949641473284</v>
      </c>
      <c r="S66" s="22">
        <v>8.9537766143133766</v>
      </c>
      <c r="T66" s="22">
        <f t="shared" si="0"/>
        <v>16.910410780975194</v>
      </c>
      <c r="U66" s="21">
        <v>799</v>
      </c>
      <c r="V66" s="22">
        <v>4.9993125131799498</v>
      </c>
      <c r="W66" s="22">
        <v>16.974302526491901</v>
      </c>
      <c r="X66" s="22">
        <v>28.960376449373108</v>
      </c>
      <c r="Y66" s="22">
        <v>26.351687560284301</v>
      </c>
      <c r="Z66" s="22">
        <v>38.143552462735798</v>
      </c>
      <c r="AA66" s="22">
        <v>121.42424482191601</v>
      </c>
      <c r="AB66" s="22">
        <v>15.59427175249219</v>
      </c>
      <c r="AC66" s="22">
        <f t="shared" si="1"/>
        <v>41.238180878421765</v>
      </c>
      <c r="AD66" s="21">
        <v>137</v>
      </c>
      <c r="AE66" s="22">
        <v>2.3376266080311501</v>
      </c>
      <c r="AF66" s="22">
        <v>35.836397916995402</v>
      </c>
      <c r="AG66" s="22">
        <v>67.324023553512831</v>
      </c>
      <c r="AH66" s="22">
        <v>56.528603838574703</v>
      </c>
      <c r="AI66" s="22">
        <v>83.758241925724491</v>
      </c>
      <c r="AJ66" s="22">
        <v>337.37385415709099</v>
      </c>
      <c r="AK66" s="22">
        <v>49.129719763301132</v>
      </c>
      <c r="AL66" s="22">
        <f t="shared" si="2"/>
        <v>94.792983435676007</v>
      </c>
    </row>
    <row r="67" spans="1:38" x14ac:dyDescent="0.75">
      <c r="A67" s="20" t="s">
        <v>177</v>
      </c>
      <c r="B67" s="25" t="s">
        <v>262</v>
      </c>
      <c r="C67" s="20" t="s">
        <v>177</v>
      </c>
      <c r="D67" s="21">
        <v>8</v>
      </c>
      <c r="E67" s="22">
        <v>2.49789258477337</v>
      </c>
      <c r="F67" s="22">
        <v>3.4779133334026273</v>
      </c>
      <c r="G67" s="22">
        <v>8.4171957285329242</v>
      </c>
      <c r="H67" s="22">
        <v>5.3580428110393008</v>
      </c>
      <c r="I67" s="22">
        <v>6.2135578389271178</v>
      </c>
      <c r="J67" s="22">
        <v>33.6747235337779</v>
      </c>
      <c r="K67" s="22">
        <v>10.299360811886123</v>
      </c>
      <c r="L67" s="21" t="s">
        <v>291</v>
      </c>
      <c r="M67" s="22" t="s">
        <v>291</v>
      </c>
      <c r="N67" s="22" t="s">
        <v>291</v>
      </c>
      <c r="O67" s="22" t="s">
        <v>291</v>
      </c>
      <c r="P67" s="22" t="s">
        <v>291</v>
      </c>
      <c r="Q67" s="22" t="s">
        <v>291</v>
      </c>
      <c r="R67" s="22" t="s">
        <v>291</v>
      </c>
      <c r="S67" s="22" t="s">
        <v>291</v>
      </c>
      <c r="T67" s="22">
        <f t="shared" si="0"/>
        <v>16.910410780975194</v>
      </c>
      <c r="U67" s="21" t="s">
        <v>291</v>
      </c>
      <c r="V67" s="22" t="s">
        <v>291</v>
      </c>
      <c r="W67" s="22" t="s">
        <v>291</v>
      </c>
      <c r="X67" s="22" t="s">
        <v>291</v>
      </c>
      <c r="Y67" s="22" t="s">
        <v>291</v>
      </c>
      <c r="Z67" s="22" t="s">
        <v>291</v>
      </c>
      <c r="AA67" s="22" t="s">
        <v>291</v>
      </c>
      <c r="AB67" s="22" t="s">
        <v>291</v>
      </c>
      <c r="AC67" s="22">
        <f t="shared" si="1"/>
        <v>41.238180878421765</v>
      </c>
      <c r="AD67" s="21" t="s">
        <v>291</v>
      </c>
      <c r="AE67" s="22" t="s">
        <v>291</v>
      </c>
      <c r="AF67" s="22" t="s">
        <v>291</v>
      </c>
      <c r="AG67" s="22" t="s">
        <v>291</v>
      </c>
      <c r="AH67" s="22" t="s">
        <v>291</v>
      </c>
      <c r="AI67" s="22" t="s">
        <v>291</v>
      </c>
      <c r="AJ67" s="22" t="s">
        <v>291</v>
      </c>
      <c r="AK67" s="22" t="s">
        <v>291</v>
      </c>
      <c r="AL67" s="22">
        <f t="shared" si="2"/>
        <v>94.792983435676007</v>
      </c>
    </row>
    <row r="68" spans="1:38" x14ac:dyDescent="0.75">
      <c r="A68" s="20" t="s">
        <v>180</v>
      </c>
      <c r="B68" s="25" t="s">
        <v>262</v>
      </c>
      <c r="C68" s="20" t="s">
        <v>180</v>
      </c>
      <c r="D68" s="21">
        <v>48</v>
      </c>
      <c r="E68" s="22">
        <v>14.7791236550419</v>
      </c>
      <c r="F68" s="22">
        <v>59.446745273414471</v>
      </c>
      <c r="G68" s="22">
        <v>124.99123159793373</v>
      </c>
      <c r="H68" s="22">
        <v>110.0686544523135</v>
      </c>
      <c r="I68" s="22">
        <v>181.58256367137349</v>
      </c>
      <c r="J68" s="22">
        <v>408.06882181604101</v>
      </c>
      <c r="K68" s="22">
        <v>82.753801348629096</v>
      </c>
      <c r="L68" s="21" t="s">
        <v>291</v>
      </c>
      <c r="M68" s="22" t="s">
        <v>291</v>
      </c>
      <c r="N68" s="22" t="s">
        <v>291</v>
      </c>
      <c r="O68" s="22" t="s">
        <v>291</v>
      </c>
      <c r="P68" s="22" t="s">
        <v>291</v>
      </c>
      <c r="Q68" s="22" t="s">
        <v>291</v>
      </c>
      <c r="R68" s="22" t="s">
        <v>291</v>
      </c>
      <c r="S68" s="22" t="s">
        <v>291</v>
      </c>
      <c r="T68" s="22">
        <f t="shared" si="0"/>
        <v>16.910410780975194</v>
      </c>
      <c r="U68" s="21">
        <v>17</v>
      </c>
      <c r="V68" s="22">
        <v>14.7791236550419</v>
      </c>
      <c r="W68" s="22">
        <v>44.383933364807206</v>
      </c>
      <c r="X68" s="22">
        <v>93.011141050007311</v>
      </c>
      <c r="Y68" s="22">
        <v>62.855132589118199</v>
      </c>
      <c r="Z68" s="22">
        <v>143.0742301860015</v>
      </c>
      <c r="AA68" s="22">
        <v>220.24985956904601</v>
      </c>
      <c r="AB68" s="22">
        <v>63.951348004567677</v>
      </c>
      <c r="AC68" s="22">
        <f t="shared" si="1"/>
        <v>41.238180878421765</v>
      </c>
      <c r="AD68" s="21">
        <v>26</v>
      </c>
      <c r="AE68" s="22">
        <v>59.149151243839498</v>
      </c>
      <c r="AF68" s="22">
        <v>99.681653939329266</v>
      </c>
      <c r="AG68" s="22">
        <v>160.73845662149762</v>
      </c>
      <c r="AH68" s="22">
        <v>155.682497965724</v>
      </c>
      <c r="AI68" s="22">
        <v>199.14931048653074</v>
      </c>
      <c r="AJ68" s="22">
        <v>408.06882181604101</v>
      </c>
      <c r="AK68" s="22">
        <v>83.253093445120228</v>
      </c>
      <c r="AL68" s="22">
        <f t="shared" si="2"/>
        <v>94.792983435676007</v>
      </c>
    </row>
  </sheetData>
  <autoFilter ref="A4:K68" xr:uid="{06FE7AD9-0140-41F9-9457-B9EF7971B412}"/>
  <conditionalFormatting sqref="D5:AL68">
    <cfRule type="cellIs" dxfId="1" priority="1" operator="equal">
      <formula>0</formula>
    </cfRule>
    <cfRule type="cellIs" dxfId="0" priority="2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8BCD3004DB946A91692817C368FDF" ma:contentTypeVersion="4" ma:contentTypeDescription="Create a new document." ma:contentTypeScope="" ma:versionID="13d065cf372f82e20a4622adee39fbdb">
  <xsd:schema xmlns:xsd="http://www.w3.org/2001/XMLSchema" xmlns:xs="http://www.w3.org/2001/XMLSchema" xmlns:p="http://schemas.microsoft.com/office/2006/metadata/properties" xmlns:ns2="d7b42bf0-a675-472c-a37c-b127de69176c" targetNamespace="http://schemas.microsoft.com/office/2006/metadata/properties" ma:root="true" ma:fieldsID="5630bdbc889afdd1c9d78c368a895c1e" ns2:_="">
    <xsd:import namespace="d7b42bf0-a675-472c-a37c-b127de691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2bf0-a675-472c-a37c-b127de691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9342E-EEF3-451A-9367-9BAB240464C3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C0C8AE-7F9C-40CE-A000-989D3AAEBF8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53390D-C25E-4366-9812-B70C4C7B628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7b42bf0-a675-472c-a37c-b127de69176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ECDEC7-7835-4FA3-835F-4F2FA10950F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51ab61d-f685-446d-b8c0-c371345174f2}" enabled="0" method="" siteId="{d51ab61d-f685-446d-b8c0-c371345174f2}" removed="1"/>
  <clbl:label id="{dffd51a4-5314-4c60-bce6-0affc34d9cd7}" enabled="1" method="Standard" siteId="{4a156c19-bc94-41ac-aacf-9546864908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User Inputs</vt:lpstr>
      <vt:lpstr>Inputs (detail)</vt:lpstr>
      <vt:lpstr>Outputs</vt:lpstr>
      <vt:lpstr>Assumptions</vt:lpstr>
      <vt:lpstr>Helpers &gt;</vt:lpstr>
      <vt:lpstr>Transport Calcs</vt:lpstr>
      <vt:lpstr>Emissions Calcs</vt:lpstr>
      <vt:lpstr>List Selections</vt:lpstr>
      <vt:lpstr>Travel Matrix</vt:lpstr>
      <vt:lpstr>Raw Data &gt;</vt:lpstr>
      <vt:lpstr>Electricity Emissions</vt:lpstr>
      <vt:lpstr>Hotel Emissions</vt:lpstr>
      <vt:lpstr>'User Inputs'!Country_List</vt:lpstr>
      <vt:lpstr>Country_List</vt:lpstr>
      <vt:lpstr>'User Inputs'!Selection</vt:lpstr>
      <vt:lpstr>Selection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Athanasia Arapogianni</dc:creator>
  <cp:keywords/>
  <dc:description/>
  <cp:lastModifiedBy>athanasia arapogianni</cp:lastModifiedBy>
  <cp:revision/>
  <dcterms:created xsi:type="dcterms:W3CDTF">2024-02-08T12:02:49Z</dcterms:created>
  <dcterms:modified xsi:type="dcterms:W3CDTF">2026-03-03T11:38:01Z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0x010100F6F8BCD3004DB946A91692817C368FDF</vt:lpwstr>
  </property>
  <property fmtid="{D5CDD505-2E9C-101B-9397-08002B2CF9AE}" pid="3" name="{A44787D4-0540-4523-9961-78E4036D8C6D}">
    <vt:lpwstr>{6B6F2216-B875-42EB-8970-A0DF1D4CE167}</vt:lpwstr>
  </property>
</Properties>
</file>